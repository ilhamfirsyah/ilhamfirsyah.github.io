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Semester 5\Kerja Praktik\"/>
    </mc:Choice>
  </mc:AlternateContent>
  <xr:revisionPtr revIDLastSave="0" documentId="13_ncr:1_{21732013-4466-4142-B0A0-5B5E9DDA529C}" xr6:coauthVersionLast="47" xr6:coauthVersionMax="47" xr10:uidLastSave="{00000000-0000-0000-0000-000000000000}"/>
  <bookViews>
    <workbookView xWindow="-110" yWindow="-110" windowWidth="19420" windowHeight="10300" activeTab="4" xr2:uid="{DE781452-0875-4B14-90AA-1A23369A799C}"/>
  </bookViews>
  <sheets>
    <sheet name="Database Offline" sheetId="2" r:id="rId1"/>
    <sheet name="Data" sheetId="1" r:id="rId2"/>
    <sheet name="Data Siap Olah" sheetId="3" r:id="rId3"/>
    <sheet name="Pivot" sheetId="5" r:id="rId4"/>
    <sheet name="Dashboard" sheetId="6" r:id="rId5"/>
    <sheet name="Bahan" sheetId="7" r:id="rId6"/>
  </sheets>
  <definedNames>
    <definedName name="_xlnm._FilterDatabase" localSheetId="2" hidden="1">'Data Siap Olah'!$A$1:$BF$402</definedName>
    <definedName name="_xlnm._FilterDatabase" localSheetId="0" hidden="1">'Database Offline'!$A$1:$BG$402</definedName>
    <definedName name="Pemotong_Jenis_Kelamin">#N/A</definedName>
    <definedName name="Pemotong_Jenis_layanan_yang_pernah_Anda_dapatkan_di_Polresta_Sidoarjo?">#N/A</definedName>
    <definedName name="Pemotong_Pendidikan_Terakhir">#N/A</definedName>
  </definedNames>
  <calcPr calcId="191029"/>
  <pivotCaches>
    <pivotCache cacheId="9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5" l="1" a="1"/>
  <c r="H82" i="5" s="1"/>
  <c r="I82" i="5" s="1"/>
  <c r="I63" i="5" a="1"/>
  <c r="I63" i="5" s="1"/>
  <c r="M63" i="5" s="1"/>
  <c r="H63" i="5" a="1"/>
  <c r="H63" i="5" s="1"/>
  <c r="L63" i="5" s="1"/>
  <c r="AO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C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I112" i="5"/>
  <c r="I111" i="5"/>
  <c r="I110" i="5"/>
  <c r="I107" i="5"/>
  <c r="I109" i="5"/>
  <c r="I108" i="5"/>
  <c r="I113" i="5"/>
  <c r="B111" i="5"/>
  <c r="E124" i="5"/>
  <c r="B113" i="5"/>
  <c r="K14" i="5"/>
  <c r="K6" i="5"/>
  <c r="K15" i="5"/>
  <c r="B106" i="5"/>
  <c r="B114" i="5"/>
  <c r="K16" i="5"/>
  <c r="E122" i="5"/>
  <c r="E20" i="5"/>
  <c r="B108" i="5"/>
  <c r="K10" i="5"/>
  <c r="E21" i="5"/>
  <c r="B116" i="5"/>
  <c r="K11" i="5"/>
  <c r="E24" i="5"/>
  <c r="H99" i="5"/>
  <c r="E25" i="5"/>
  <c r="B117" i="5"/>
  <c r="H100" i="5"/>
  <c r="E123" i="5"/>
  <c r="H97" i="5"/>
  <c r="B118" i="5"/>
  <c r="K12" i="5"/>
  <c r="K17" i="5"/>
  <c r="K8" i="5"/>
  <c r="E121" i="5"/>
  <c r="B110" i="5"/>
  <c r="K4" i="5"/>
  <c r="K9" i="5"/>
  <c r="E22" i="5"/>
  <c r="E120" i="5"/>
  <c r="K13" i="5"/>
  <c r="B115" i="5"/>
  <c r="E23" i="5"/>
  <c r="B112" i="5"/>
  <c r="K5" i="5"/>
  <c r="B107" i="5"/>
  <c r="H98" i="5"/>
  <c r="K7" i="5"/>
  <c r="G103" i="5"/>
  <c r="J107" i="5" l="1"/>
  <c r="J108" i="5"/>
  <c r="J109" i="5"/>
  <c r="J110" i="5"/>
  <c r="J111" i="5"/>
  <c r="J112" i="5"/>
  <c r="E113" i="5"/>
  <c r="F113" i="5" s="1"/>
  <c r="E112" i="5"/>
  <c r="E114" i="5"/>
  <c r="E115" i="5"/>
  <c r="E116" i="5"/>
  <c r="E111" i="5"/>
  <c r="I66" i="5"/>
  <c r="M66" i="5" s="1"/>
  <c r="I67" i="5"/>
  <c r="M67" i="5" s="1"/>
  <c r="I65" i="5"/>
  <c r="M65" i="5" s="1"/>
  <c r="I64" i="5"/>
  <c r="M64" i="5" s="1"/>
  <c r="I70" i="5"/>
  <c r="M70" i="5" s="1"/>
  <c r="I69" i="5"/>
  <c r="M69" i="5" s="1"/>
  <c r="I68" i="5"/>
  <c r="M68" i="5" s="1"/>
  <c r="H88" i="5"/>
  <c r="I88" i="5" s="1"/>
  <c r="H87" i="5"/>
  <c r="I87" i="5" s="1"/>
  <c r="H86" i="5"/>
  <c r="I86" i="5" s="1"/>
  <c r="H85" i="5"/>
  <c r="I85" i="5" s="1"/>
  <c r="H84" i="5"/>
  <c r="I84" i="5" s="1"/>
  <c r="H83" i="5"/>
  <c r="I83" i="5" s="1"/>
  <c r="H89" i="5"/>
  <c r="I89" i="5" s="1"/>
  <c r="H90" i="5"/>
  <c r="I90" i="5" s="1"/>
  <c r="H101" i="5"/>
  <c r="I71" i="5"/>
  <c r="H70" i="5"/>
  <c r="L70" i="5" s="1"/>
  <c r="H69" i="5"/>
  <c r="L69" i="5" s="1"/>
  <c r="H68" i="5"/>
  <c r="L68" i="5" s="1"/>
  <c r="H67" i="5"/>
  <c r="L67" i="5" s="1"/>
  <c r="H66" i="5"/>
  <c r="L66" i="5" s="1"/>
  <c r="H65" i="5"/>
  <c r="L65" i="5" s="1"/>
  <c r="H64" i="5"/>
  <c r="H71" i="5"/>
  <c r="L71" i="5" s="1"/>
  <c r="C107" i="5"/>
  <c r="C106" i="5"/>
  <c r="F20" i="5"/>
  <c r="F21" i="5"/>
  <c r="F22" i="5"/>
  <c r="F23" i="5"/>
  <c r="F24" i="5"/>
  <c r="L4" i="5"/>
  <c r="L5" i="5"/>
  <c r="L6" i="5"/>
  <c r="L7" i="5"/>
  <c r="L8" i="5"/>
  <c r="L9" i="5"/>
  <c r="L10" i="5"/>
  <c r="L11" i="5"/>
  <c r="L12" i="5"/>
  <c r="L13" i="5"/>
  <c r="L14" i="5"/>
  <c r="L15" i="5"/>
  <c r="L16" i="5"/>
  <c r="F112" i="5" l="1"/>
  <c r="F111" i="5"/>
  <c r="H72" i="5"/>
  <c r="L64" i="5"/>
  <c r="I72" i="5"/>
  <c r="M71" i="5"/>
  <c r="F115" i="5"/>
  <c r="F114" i="5"/>
  <c r="I98" i="5"/>
  <c r="I99" i="5"/>
  <c r="I100" i="5"/>
  <c r="I97" i="5"/>
  <c r="J63" i="5" l="1"/>
</calcChain>
</file>

<file path=xl/sharedStrings.xml><?xml version="1.0" encoding="utf-8"?>
<sst xmlns="http://schemas.openxmlformats.org/spreadsheetml/2006/main" count="36433" uniqueCount="2639">
  <si>
    <t>No</t>
  </si>
  <si>
    <t>Timestamp</t>
  </si>
  <si>
    <t>Nama Responden</t>
  </si>
  <si>
    <t>Alamat Rumah</t>
  </si>
  <si>
    <t>Kabupaten</t>
  </si>
  <si>
    <t>Kecamatan</t>
  </si>
  <si>
    <t>No HP / WA</t>
  </si>
  <si>
    <t>Nama Interviewer / Surveyor</t>
  </si>
  <si>
    <t>Kode Interviewer</t>
  </si>
  <si>
    <t>Tanggal Interviewer</t>
  </si>
  <si>
    <t>Jam Interview</t>
  </si>
  <si>
    <t>Apakah anggota keluarga Anda (yang tinggal serumah) bekerja di salah satu bidang berikut?   [Bekerja di Perusahaan Riset Pemasaran]</t>
  </si>
  <si>
    <t>Apakah anggota keluarga Anda (yang tinggal serumah) bekerja di salah satu bidang berikut?   [Perusahaan Periklanan / Agen Periklanan]</t>
  </si>
  <si>
    <t>Apakah anggota keluarga Anda (yang tinggal serumah) bekerja di salah satu bidang berikut?   [Media massa (TV, Radio, Surat kabar, Majalah, Tabloid)]</t>
  </si>
  <si>
    <t>Apakah anggota keluarga Anda (yang tinggal serumah) bekerja di salah satu bidang berikut?   [Pegawai Polresta Sidoarjo]</t>
  </si>
  <si>
    <t>Jenis Kelamin Responden</t>
  </si>
  <si>
    <t>Jenis layanan yang pernah Anda dapatkan di Polresta Sidoarjo?</t>
  </si>
  <si>
    <t>Berapa usia Bapak/Ibu saat ini (per Juli 2025)? Catat usia responden</t>
  </si>
  <si>
    <t xml:space="preserve">Koding Usia </t>
  </si>
  <si>
    <t xml:space="preserve">Koding usia </t>
  </si>
  <si>
    <t>Pendidikan terakhir yang Anda tamatkan dan berijazah</t>
  </si>
  <si>
    <t>Apa pekerjaan Anda saat ini?</t>
  </si>
  <si>
    <t>Koding pekerjaan</t>
  </si>
  <si>
    <t>Koding Nilai Kepuasan Dimensi Persyaratan</t>
  </si>
  <si>
    <t>Koding Nilai Kepentingan Dimensi Persyaratan</t>
  </si>
  <si>
    <t>2. Koding Nilai Kepuasan Dimensi Prosedur</t>
  </si>
  <si>
    <t>Koding Nilai Kepentingan Dimensi Prosedur</t>
  </si>
  <si>
    <t>3. Koding Nilai Kepuasan Dimensi Waktu Pelayanan/Penyelesaian</t>
  </si>
  <si>
    <t>Koding Nilai Kepentingan Dimensi Waktu Pelayanan/Penyelesaian</t>
  </si>
  <si>
    <t>4. Koding Nilai Kepuasan Dimensi Tarif / Biaya</t>
  </si>
  <si>
    <t>Koding Nilai Kepentingan Dimensi Tarif/ Biaya</t>
  </si>
  <si>
    <t>5. Koding Nilai Kepuasan Dimensi Produk Spesifikasi Jenis Layanan</t>
  </si>
  <si>
    <t>Koding Nilai Kepentingan Dimensi Produk Spesifikasi Jenis Layanan</t>
  </si>
  <si>
    <t>6. Koding Nilai Kepuasan Dimensi Kompetensi Pelaksana</t>
  </si>
  <si>
    <t>Koding Nilai Kepentingan Dimensi Kompetensi Pelaksana</t>
  </si>
  <si>
    <t>7. Koding Nilai Kepuasan Dimensi Perilaku Pelaksana</t>
  </si>
  <si>
    <t>Koding Nilai Kepentingan Dimensi Perilaku Pelaksana</t>
  </si>
  <si>
    <t>8. Koding Nilai Kepuasan Dimensi Penanganan Pengaduan, Saran &amp; Masukan</t>
  </si>
  <si>
    <t>Koding Nilai Kepentingan Dimensi Penanganan Pengaduan, Saran &amp; Masukan</t>
  </si>
  <si>
    <t>9. Koding Nilai Kepuasan Dimensi Kualitas Sarana dan Prasarana</t>
  </si>
  <si>
    <t>Koding Nilai Kepentingan Dimensi Kualitas Sarana dan Prasarana</t>
  </si>
  <si>
    <t>Media Sosial</t>
  </si>
  <si>
    <t>Konversi media sosial</t>
  </si>
  <si>
    <t>Koding Media Sosial</t>
  </si>
  <si>
    <t>Website Polresta Sidoarjo</t>
  </si>
  <si>
    <t>Konversi website</t>
  </si>
  <si>
    <t>Koding Website Polresta Sidoarjo</t>
  </si>
  <si>
    <t>Pegawai Polresta Sidoarjo</t>
  </si>
  <si>
    <t>Konversi Pegawai</t>
  </si>
  <si>
    <t>Koding Pegawai Polresta Sidoarjo</t>
  </si>
  <si>
    <t>Lainnya</t>
  </si>
  <si>
    <t>Koding Lainnya</t>
  </si>
  <si>
    <t>Column 50</t>
  </si>
  <si>
    <t>Konversi Lainnya</t>
  </si>
  <si>
    <t>People(Contoh: perilaku dan kompetensi petugas dalam melayani, dll)</t>
  </si>
  <si>
    <t>Koding People</t>
  </si>
  <si>
    <t>Process(Contoh: Kemudahan dan waktu pelayanan, dll)</t>
  </si>
  <si>
    <t>Koding Process</t>
  </si>
  <si>
    <t>Physical Evidence(Contoh: Ruangan pelayanan, dll)</t>
  </si>
  <si>
    <t>Koding Physical Evidence</t>
  </si>
  <si>
    <t>Lainnya jika ada…</t>
  </si>
  <si>
    <t>Chorlina Juniar F.</t>
  </si>
  <si>
    <t>Jl. Dayu</t>
  </si>
  <si>
    <t>Sidoarjo</t>
  </si>
  <si>
    <t>085704818275</t>
  </si>
  <si>
    <t>Eva Riana Dewi</t>
  </si>
  <si>
    <t>SVY07</t>
  </si>
  <si>
    <t>30 Juni 2025</t>
  </si>
  <si>
    <t>10.20 - 10.30</t>
  </si>
  <si>
    <t>Tidak</t>
  </si>
  <si>
    <t>Perempuan</t>
  </si>
  <si>
    <t>Layanan SAT INTELKAM (SKCK)</t>
  </si>
  <si>
    <t>21-25 tahun</t>
  </si>
  <si>
    <t>SMA</t>
  </si>
  <si>
    <t>Pegawai/karyawan swasta</t>
  </si>
  <si>
    <t>Ya</t>
  </si>
  <si>
    <t>Orang Tua</t>
  </si>
  <si>
    <t>Keluarga</t>
  </si>
  <si>
    <t>Petugasnya ramah dan baik</t>
  </si>
  <si>
    <t>sudah baik/bagus</t>
  </si>
  <si>
    <t>Prosesnya sangat cepat</t>
  </si>
  <si>
    <t>proses pelayanan cepat dan mudah</t>
  </si>
  <si>
    <t>Ruangannya juga bagus</t>
  </si>
  <si>
    <t/>
  </si>
  <si>
    <t>Miftah</t>
  </si>
  <si>
    <t>Raya larangan</t>
  </si>
  <si>
    <t>Candi</t>
  </si>
  <si>
    <t>083863344302</t>
  </si>
  <si>
    <t>M Irwanda</t>
  </si>
  <si>
    <t>SVY 04</t>
  </si>
  <si>
    <t>08.38</t>
  </si>
  <si>
    <t>27</t>
  </si>
  <si>
    <t>26-30 tahun</t>
  </si>
  <si>
    <t>Sarjana (S1) / D4</t>
  </si>
  <si>
    <t>Mahasiswa</t>
  </si>
  <si>
    <t>Mahasiswa/Pelajar</t>
  </si>
  <si>
    <t>-</t>
  </si>
  <si>
    <t>Mohon untuk mempertahankan pelayanan yang sudah baik</t>
  </si>
  <si>
    <t>Tidak ada</t>
  </si>
  <si>
    <t>tidak ada</t>
  </si>
  <si>
    <t>Firdaus Adityana Sukma</t>
  </si>
  <si>
    <t>Jl Diponogoro selawutan gang kelurahan</t>
  </si>
  <si>
    <t>087715217009</t>
  </si>
  <si>
    <t>Maeni</t>
  </si>
  <si>
    <t>SVY09 Maeni L</t>
  </si>
  <si>
    <t>08.53</t>
  </si>
  <si>
    <t>Laki-laki</t>
  </si>
  <si>
    <t>Layanan SPKT</t>
  </si>
  <si>
    <t>32</t>
  </si>
  <si>
    <t>31-35 tahun</t>
  </si>
  <si>
    <t>Wiraswasta/pengusaha</t>
  </si>
  <si>
    <t>Lebih di tingkatkan lagi kualitas pelayanannya</t>
  </si>
  <si>
    <t>meningkatkan kinerja pelayanan</t>
  </si>
  <si>
    <t>Prosesnya waktunya cepat jadi di tingkatkan</t>
  </si>
  <si>
    <t>Sudah cukup kantin juga sudah ada, parkirnya juga rapi aksesnya gampang</t>
  </si>
  <si>
    <t>Wahyu Ardiansyah</t>
  </si>
  <si>
    <t>Lemah putro 3/02</t>
  </si>
  <si>
    <t>083112003343</t>
  </si>
  <si>
    <t>10.46 - 10.58</t>
  </si>
  <si>
    <t>Pelayanannya Ramah</t>
  </si>
  <si>
    <t>Proses jadinya juga cepat</t>
  </si>
  <si>
    <t>Ruangannya sudah nyaman</t>
  </si>
  <si>
    <t>Tidak ada saran sudah baik dan cukup semua</t>
  </si>
  <si>
    <t>Muhammad asfari faizun</t>
  </si>
  <si>
    <t>Desa kemantren</t>
  </si>
  <si>
    <t>Tulangan</t>
  </si>
  <si>
    <t>082234355211</t>
  </si>
  <si>
    <t>M irwanda</t>
  </si>
  <si>
    <t>Svy 04</t>
  </si>
  <si>
    <t>08.54</t>
  </si>
  <si>
    <t>18</t>
  </si>
  <si>
    <t>18-20 tahun</t>
  </si>
  <si>
    <t>Sedang mencari pekerjaan</t>
  </si>
  <si>
    <t>Belum bekerja</t>
  </si>
  <si>
    <t>Walidatul Qomariyah</t>
  </si>
  <si>
    <t>Ds. Pademonegoro</t>
  </si>
  <si>
    <t>Sukodono</t>
  </si>
  <si>
    <t>089527410606</t>
  </si>
  <si>
    <t>Septia</t>
  </si>
  <si>
    <t>SVY03</t>
  </si>
  <si>
    <t>20/06/2025</t>
  </si>
  <si>
    <t>10:43</t>
  </si>
  <si>
    <t>Guru</t>
  </si>
  <si>
    <t>Guru/Dosen</t>
  </si>
  <si>
    <t>Teman</t>
  </si>
  <si>
    <t>Ruang tunggu ditambah kursi, ditambah kabel colokan</t>
  </si>
  <si>
    <t>kursi ditambah atau diperbaiki yang rusak</t>
  </si>
  <si>
    <t>Wahyu Lestari Ningrum</t>
  </si>
  <si>
    <t>Boro</t>
  </si>
  <si>
    <t>Tanggulangin</t>
  </si>
  <si>
    <t>089677116063</t>
  </si>
  <si>
    <t>30 juni 2025</t>
  </si>
  <si>
    <t>09.40 - 10.15</t>
  </si>
  <si>
    <t>36-40 tahun</t>
  </si>
  <si>
    <t>Pegawai Pemerintahan (PNS)</t>
  </si>
  <si>
    <t>Perilaku petugas sudah cukup baik</t>
  </si>
  <si>
    <t>Waktu sudah cepat</t>
  </si>
  <si>
    <t>mempercepat waktu pelayanan</t>
  </si>
  <si>
    <t>Ruangan pelayanan sudah baik</t>
  </si>
  <si>
    <t>Kurang prasaranan untuk foto copy agar tidak terlalu jauh</t>
  </si>
  <si>
    <t>Ervita Olivia</t>
  </si>
  <si>
    <t>Ds. Pekarungan</t>
  </si>
  <si>
    <t>083149008822</t>
  </si>
  <si>
    <t>30/06/2025</t>
  </si>
  <si>
    <t>10:55</t>
  </si>
  <si>
    <t>Masih nyari kerja</t>
  </si>
  <si>
    <t>keluarga</t>
  </si>
  <si>
    <t>Anggieta amalia</t>
  </si>
  <si>
    <t>Perumahan citra fajar golf</t>
  </si>
  <si>
    <t>08983386000</t>
  </si>
  <si>
    <t>30 Juni</t>
  </si>
  <si>
    <t>09.11</t>
  </si>
  <si>
    <t>Dari keluarga atau ayah</t>
  </si>
  <si>
    <t>Limas Azida Mumtaza</t>
  </si>
  <si>
    <t>Ds. Kloposepuluh</t>
  </si>
  <si>
    <t>081217765952</t>
  </si>
  <si>
    <t>10:48</t>
  </si>
  <si>
    <t>Siswono</t>
  </si>
  <si>
    <t>Perum jenggolo asri A-11 Rt 01 Rw 08</t>
  </si>
  <si>
    <t>Buduran</t>
  </si>
  <si>
    <t>08113118368</t>
  </si>
  <si>
    <t>10.38 - 10 45</t>
  </si>
  <si>
    <t>56-60 tahun</t>
  </si>
  <si>
    <t>Pensiun pegawai Accounting</t>
  </si>
  <si>
    <t>Pensiunan</t>
  </si>
  <si>
    <t>Sudah tahu dan langsung datang</t>
  </si>
  <si>
    <t>Mengetahui sendiri</t>
  </si>
  <si>
    <t>Sudah bagus untuk petugas yang melayani</t>
  </si>
  <si>
    <t>Waktu sudah praktis dan cepat</t>
  </si>
  <si>
    <t>Ruangan dan fasilitas sudah baik</t>
  </si>
  <si>
    <t>ruangan lebih memadai dan nyaman</t>
  </si>
  <si>
    <t>Tidak ada saran karena sudah bagus</t>
  </si>
  <si>
    <t>Rini Tresno Wati</t>
  </si>
  <si>
    <t>Jl Jati Utara RT 8 RW 3</t>
  </si>
  <si>
    <t>085708113304</t>
  </si>
  <si>
    <t>09.26</t>
  </si>
  <si>
    <t>42th</t>
  </si>
  <si>
    <t>41-45 tahun</t>
  </si>
  <si>
    <t>Orang Terdekat</t>
  </si>
  <si>
    <t>Cukup karena sudah sesuai</t>
  </si>
  <si>
    <t>Lebih di majukan, dan cukup puas</t>
  </si>
  <si>
    <t>Ruang tunggu kurang banyak, jadi mengantri lokete pengaduan kurang banyk sedangkan yg melaporkan banyk</t>
  </si>
  <si>
    <t>Satria</t>
  </si>
  <si>
    <t>Jalan raya Pendopo RT 07 RW 02</t>
  </si>
  <si>
    <t>082244323121</t>
  </si>
  <si>
    <t>09.30</t>
  </si>
  <si>
    <t>Baru lulus smk</t>
  </si>
  <si>
    <t>Ani Nismah</t>
  </si>
  <si>
    <t>Sukodono Rt.04 Rw 01</t>
  </si>
  <si>
    <t>085731477478</t>
  </si>
  <si>
    <t>Rani</t>
  </si>
  <si>
    <t>SVY06</t>
  </si>
  <si>
    <t>08:41</t>
  </si>
  <si>
    <t>Mina alfianus fadhila</t>
  </si>
  <si>
    <t>Kampung batik jetis gang 4 RT 15 RW 03</t>
  </si>
  <si>
    <t>082236844142</t>
  </si>
  <si>
    <t>09.55</t>
  </si>
  <si>
    <t>20</t>
  </si>
  <si>
    <t>Harus ada spare waktu ketika petugas meninggalkan pos pelayanan di jam pelayanan</t>
  </si>
  <si>
    <t>Lebih di perbaiki lagi untuk kejelasan syarat administrasi</t>
  </si>
  <si>
    <t>Tri Hendro Wahyono</t>
  </si>
  <si>
    <t>Perumtas 3 blok H3 No 31</t>
  </si>
  <si>
    <t>085736943689</t>
  </si>
  <si>
    <t>11.44</t>
  </si>
  <si>
    <t>46</t>
  </si>
  <si>
    <t>46-50 tahun</t>
  </si>
  <si>
    <t>Harus di tambahkan informasi alur perizinan perloket ke loket</t>
  </si>
  <si>
    <t>memberi alur pelayanan</t>
  </si>
  <si>
    <t>Diberikan nomor antrian untuk semua pelayanan</t>
  </si>
  <si>
    <t>Sri Rilmiyati</t>
  </si>
  <si>
    <t>083857925812</t>
  </si>
  <si>
    <t>10:00</t>
  </si>
  <si>
    <t>Ibu Rumah Tangga</t>
  </si>
  <si>
    <t>Orang lain</t>
  </si>
  <si>
    <t>Ramah tapi tidak senyum</t>
  </si>
  <si>
    <t>lebih ramah lagi</t>
  </si>
  <si>
    <t>Ruang pelayanan di luar panas</t>
  </si>
  <si>
    <t>ac kurang dingin, harus diperbaiki</t>
  </si>
  <si>
    <t>MOCHAMMAD RIZKY AL-HAQQI</t>
  </si>
  <si>
    <t>Alam Pesona I Blok HB-8 RT. 64 RW. 11</t>
  </si>
  <si>
    <t>Krian</t>
  </si>
  <si>
    <t>081227549948</t>
  </si>
  <si>
    <t>M. MISBAH</t>
  </si>
  <si>
    <t>SVY01</t>
  </si>
  <si>
    <t>09.12</t>
  </si>
  <si>
    <t>21</t>
  </si>
  <si>
    <t>Freelance</t>
  </si>
  <si>
    <t>dari teman</t>
  </si>
  <si>
    <t>Sudah baik</t>
  </si>
  <si>
    <t>MOCH. SUGIANTO</t>
  </si>
  <si>
    <t>Dsn Dukuh Ds. Banjarbendo</t>
  </si>
  <si>
    <t>081357876202</t>
  </si>
  <si>
    <t>09.25</t>
  </si>
  <si>
    <t>60</t>
  </si>
  <si>
    <t>Diploma (D1–D3) / Akademi</t>
  </si>
  <si>
    <t>Pensiunan PT</t>
  </si>
  <si>
    <t>Lebih professional lagi</t>
  </si>
  <si>
    <t>Dipertahankan yang sudah baik</t>
  </si>
  <si>
    <t>Ruangan diperluas</t>
  </si>
  <si>
    <t>Andhika Rizky Pratama</t>
  </si>
  <si>
    <t>Ds. Kebonagung</t>
  </si>
  <si>
    <t>082299318213</t>
  </si>
  <si>
    <t>10:23</t>
  </si>
  <si>
    <t>TIdak ada</t>
  </si>
  <si>
    <t>Kursi di ruang tunggu kurang nyaman</t>
  </si>
  <si>
    <t>SABAR</t>
  </si>
  <si>
    <t>Dsn. Wonodadi Ds. Tunggon RT. 01/02</t>
  </si>
  <si>
    <t>Ponorogo</t>
  </si>
  <si>
    <t>Ngrayun</t>
  </si>
  <si>
    <t>081330113564</t>
  </si>
  <si>
    <t>11.38</t>
  </si>
  <si>
    <t>Layanan Pembuatan SIM A</t>
  </si>
  <si>
    <t>43</t>
  </si>
  <si>
    <t>SMP</t>
  </si>
  <si>
    <t>Supir</t>
  </si>
  <si>
    <t>Jasa Kursus</t>
  </si>
  <si>
    <t>Tempat kursus mengemudi</t>
  </si>
  <si>
    <t>Pertahankan yang sudah baik</t>
  </si>
  <si>
    <t>Baik</t>
  </si>
  <si>
    <t>Muslikhah</t>
  </si>
  <si>
    <t>Jogoyudo Sekardangan Rt 09 Rw 03</t>
  </si>
  <si>
    <t>08981318090</t>
  </si>
  <si>
    <t>11.10 - 11.30</t>
  </si>
  <si>
    <t>Masyarakat</t>
  </si>
  <si>
    <t>Sudah cukup puas</t>
  </si>
  <si>
    <t>Waktu pelayanan cukup cepat tidak perlu menunggu lama</t>
  </si>
  <si>
    <t>Ruangan baik dan memadai</t>
  </si>
  <si>
    <t>AFRINDA PUTRI RAMADHANI</t>
  </si>
  <si>
    <t>Dsn. Krajan Ds. Kalimati</t>
  </si>
  <si>
    <t>Tarik</t>
  </si>
  <si>
    <t>089678077145</t>
  </si>
  <si>
    <t>11.51</t>
  </si>
  <si>
    <t>Layanan Pembuatan SIM C</t>
  </si>
  <si>
    <t>Tetangga</t>
  </si>
  <si>
    <t>Penise Chandra Indiayana</t>
  </si>
  <si>
    <t>Sambung rejo</t>
  </si>
  <si>
    <t>082229126463</t>
  </si>
  <si>
    <t>10:40</t>
  </si>
  <si>
    <t>Ditingkatkan lagi</t>
  </si>
  <si>
    <t>FRANCISCUS DAMELLA</t>
  </si>
  <si>
    <t>Park Royal Regency JI-10 Sidokare</t>
  </si>
  <si>
    <t>082232163156</t>
  </si>
  <si>
    <t>25 Juni 2025</t>
  </si>
  <si>
    <t>12.00</t>
  </si>
  <si>
    <t>M. Muhtadhi Billah</t>
  </si>
  <si>
    <t>Ds.Masangan kulon</t>
  </si>
  <si>
    <t>087852527943</t>
  </si>
  <si>
    <t>30/30/2025</t>
  </si>
  <si>
    <t>08:58</t>
  </si>
  <si>
    <t>Masih Nyari Kerja</t>
  </si>
  <si>
    <t>M. ZIDAN ABDULLAH PASHA</t>
  </si>
  <si>
    <t>Dsn. Bandungan Ds. Persawahan RT. 02/02</t>
  </si>
  <si>
    <t>Porong</t>
  </si>
  <si>
    <t>081335002285</t>
  </si>
  <si>
    <t>12.09</t>
  </si>
  <si>
    <t>Petugas yang mengarahkan bersikpalh lebih ramah</t>
  </si>
  <si>
    <t>Sudah cukup tapi perlu diperbaiki lagi</t>
  </si>
  <si>
    <t>Suadah baik</t>
  </si>
  <si>
    <t>M. Rayhan Naufal Rafi</t>
  </si>
  <si>
    <t>082229974507</t>
  </si>
  <si>
    <t>09:05</t>
  </si>
  <si>
    <t>di website tidak ada tambahan persyaratan JKN, sedangkan di polsek ada tambahan persyaratan JKN</t>
  </si>
  <si>
    <t>BINTANG CHELSY THAHARA</t>
  </si>
  <si>
    <t>Ds. Pekarungan RT. 11/04</t>
  </si>
  <si>
    <t>085755750154</t>
  </si>
  <si>
    <t>12.19</t>
  </si>
  <si>
    <t>SPG</t>
  </si>
  <si>
    <t>Kakak</t>
  </si>
  <si>
    <t>Bisma Danendra</t>
  </si>
  <si>
    <t>Puri Indah B-03 Rt 27 Rw 08</t>
  </si>
  <si>
    <t>082139307984</t>
  </si>
  <si>
    <t>11.40 - 11.50</t>
  </si>
  <si>
    <t>Petugas cukup baik dalam pelayanan</t>
  </si>
  <si>
    <t>Prosesnya sangat mudah dan cepat</t>
  </si>
  <si>
    <t>Ruangan sudah baik dan bagus</t>
  </si>
  <si>
    <t>Sarana dan prasarana untuk print dan foto copy di sediakan di lebih dekat dengan polsek</t>
  </si>
  <si>
    <t>Jumoisah</t>
  </si>
  <si>
    <t>Bebekan Utara</t>
  </si>
  <si>
    <t>Taman</t>
  </si>
  <si>
    <t>083139321972</t>
  </si>
  <si>
    <t>10:50</t>
  </si>
  <si>
    <t>Cepat</t>
  </si>
  <si>
    <t>Bagus</t>
  </si>
  <si>
    <t>Richard Ishak S.</t>
  </si>
  <si>
    <t>Pesona Permata Gading 2 Blok SS No. 05 Rt 02 Rw 16</t>
  </si>
  <si>
    <t>08981465094</t>
  </si>
  <si>
    <t>12.00 - 12.10</t>
  </si>
  <si>
    <t>Tidak ada saran, pelayanan sudah Baik</t>
  </si>
  <si>
    <t>Pelayanannya sudah cepat</t>
  </si>
  <si>
    <t>Ruangannya sudah oke tidak ada saran</t>
  </si>
  <si>
    <t>FEBBY ARI OCTARIA</t>
  </si>
  <si>
    <t>Ds. Sumengko</t>
  </si>
  <si>
    <t>Gresik</t>
  </si>
  <si>
    <t>Wringin Anom</t>
  </si>
  <si>
    <t>0895396058300</t>
  </si>
  <si>
    <t>12.25</t>
  </si>
  <si>
    <t>Teman ayah</t>
  </si>
  <si>
    <t>IKHROJUS SOBAKH</t>
  </si>
  <si>
    <t>DS.MOJORANGUNG</t>
  </si>
  <si>
    <t>SIDIOARJO</t>
  </si>
  <si>
    <t>SUKODONO</t>
  </si>
  <si>
    <t>081335357677</t>
  </si>
  <si>
    <t>SEPTIA</t>
  </si>
  <si>
    <t>09:15</t>
  </si>
  <si>
    <t>BUMN</t>
  </si>
  <si>
    <t>TIDAK ADA</t>
  </si>
  <si>
    <t>AZZAHRA ZABRINA PUTRI A.</t>
  </si>
  <si>
    <t>Tanggulangin Asri N-6 Ds. Kalitengah</t>
  </si>
  <si>
    <t>082228698567</t>
  </si>
  <si>
    <t>12.35</t>
  </si>
  <si>
    <t>Orangtua</t>
  </si>
  <si>
    <t>Diperbaiki lagi</t>
  </si>
  <si>
    <t>Counter diperbanyak</t>
  </si>
  <si>
    <t>Susanah</t>
  </si>
  <si>
    <t>Ds.Candirejo</t>
  </si>
  <si>
    <t>Nganjuk</t>
  </si>
  <si>
    <t>Loceret</t>
  </si>
  <si>
    <t>085728308651</t>
  </si>
  <si>
    <t>11:04</t>
  </si>
  <si>
    <t>Saudara</t>
  </si>
  <si>
    <t>Moch. Wachid Yulianto</t>
  </si>
  <si>
    <t>082141389779</t>
  </si>
  <si>
    <t>10:32</t>
  </si>
  <si>
    <t>51-55 tahun</t>
  </si>
  <si>
    <t>Diri sendiri</t>
  </si>
  <si>
    <t>Ani isnawati</t>
  </si>
  <si>
    <t>Raya rangkah kidul Rt 04/ rw 01</t>
  </si>
  <si>
    <t>085730028450</t>
  </si>
  <si>
    <t>12.01</t>
  </si>
  <si>
    <t>47</t>
  </si>
  <si>
    <t>Pegawai Polsek Sidoarjo</t>
  </si>
  <si>
    <t>Lebih baik lagi dalam melakukan pelayanan atau perlu ditingkatkan lagi</t>
  </si>
  <si>
    <t>Kamisah</t>
  </si>
  <si>
    <t>083546780795</t>
  </si>
  <si>
    <t>11:14</t>
  </si>
  <si>
    <t>REYNALDO JHONATAN NABABAN</t>
  </si>
  <si>
    <t>Jaya Regency Blok Z-38 Ds. Pepe</t>
  </si>
  <si>
    <t>Sedati</t>
  </si>
  <si>
    <t>089509809208</t>
  </si>
  <si>
    <t>13.03</t>
  </si>
  <si>
    <t>Ira puspita</t>
  </si>
  <si>
    <t>Salam suko RT 15 RW 04</t>
  </si>
  <si>
    <t>085733921838</t>
  </si>
  <si>
    <t>13.31</t>
  </si>
  <si>
    <t>42</t>
  </si>
  <si>
    <t>Pegawai polsek sidoarjo</t>
  </si>
  <si>
    <t>Perlu ditambah lagi kursi pelayanan ruang tunggu</t>
  </si>
  <si>
    <t>M. Choirizal Khaidir</t>
  </si>
  <si>
    <t>Ketapang Daya</t>
  </si>
  <si>
    <t>Sampang</t>
  </si>
  <si>
    <t>Ketapang</t>
  </si>
  <si>
    <t>085233015657</t>
  </si>
  <si>
    <t>12:14</t>
  </si>
  <si>
    <t>Kesehatan</t>
  </si>
  <si>
    <t>DIMAS BAGUS WICAKSONO</t>
  </si>
  <si>
    <t>Ds. Wedoro</t>
  </si>
  <si>
    <t>Waru</t>
  </si>
  <si>
    <t>081331107811</t>
  </si>
  <si>
    <t>13.50</t>
  </si>
  <si>
    <t>Cukup. Ditingkatkan lagi</t>
  </si>
  <si>
    <t>Menambah petugas. Pemanggilan sesuai urutan  antrian</t>
  </si>
  <si>
    <t>menambah staff pelayanan</t>
  </si>
  <si>
    <t>Munik Indah Wati</t>
  </si>
  <si>
    <t>Sambungrejo</t>
  </si>
  <si>
    <t>089698914113</t>
  </si>
  <si>
    <t>12:30</t>
  </si>
  <si>
    <t>Lebih ditingkatkan lagi sarana dan prasana</t>
  </si>
  <si>
    <t>M. ADITYA RAMADHANI</t>
  </si>
  <si>
    <t>Griya Asri kalitengah RT. 02/07</t>
  </si>
  <si>
    <t>0895357758494</t>
  </si>
  <si>
    <t>14.03</t>
  </si>
  <si>
    <t>19</t>
  </si>
  <si>
    <t>Lebh responsif lagi agar sesuai SOP</t>
  </si>
  <si>
    <t>lebih responsif untuk pelayanannya</t>
  </si>
  <si>
    <t>Cukup baik. Ditingkatkan lagi agar tidak lama</t>
  </si>
  <si>
    <t>Zahrani putri ananta</t>
  </si>
  <si>
    <t>Jl raya Luwung Sarirojo</t>
  </si>
  <si>
    <t>0895322185236</t>
  </si>
  <si>
    <t>Ori harijono</t>
  </si>
  <si>
    <t>SVY08</t>
  </si>
  <si>
    <t>09.31</t>
  </si>
  <si>
    <t>23</t>
  </si>
  <si>
    <t>Sudah cukup</t>
  </si>
  <si>
    <t>Kalau bisa lebih ditingkatkan lagi</t>
  </si>
  <si>
    <t>Dwinida Rozana</t>
  </si>
  <si>
    <t>Hasyim Ashari Leboh Sidoarjo rt 8 rw 3</t>
  </si>
  <si>
    <t>081334679868</t>
  </si>
  <si>
    <t>09.45</t>
  </si>
  <si>
    <t>27TH</t>
  </si>
  <si>
    <t>Balai Desa</t>
  </si>
  <si>
    <t>Informasi dari pegawai lembaga pemerintahan</t>
  </si>
  <si>
    <t>Pelayanan bagus, saran kalau bisa butuh orang untuk menghandel atau seperti cs</t>
  </si>
  <si>
    <t>menambah petugas pelayanan</t>
  </si>
  <si>
    <t>Sangat bagus prosesnya bagus</t>
  </si>
  <si>
    <t>Kursi sudah lengkap bagus, kalau bisa di tambahi lagi karena kurang</t>
  </si>
  <si>
    <t>Parkir ditambahi karena kurang luas pengawasan parkir harus tanggap</t>
  </si>
  <si>
    <t>Noval Cahya</t>
  </si>
  <si>
    <t>Babatan Jati</t>
  </si>
  <si>
    <t>082232768119</t>
  </si>
  <si>
    <t>Ori Harijono</t>
  </si>
  <si>
    <t>10.16</t>
  </si>
  <si>
    <t>Dari mulut ke mulut</t>
  </si>
  <si>
    <t>Sudah cukup baik</t>
  </si>
  <si>
    <t>Kalau bisa staff ditambah</t>
  </si>
  <si>
    <t>Rajab Hatuina</t>
  </si>
  <si>
    <t>Desa Balonggarut</t>
  </si>
  <si>
    <t>Krembung</t>
  </si>
  <si>
    <t>082338255521</t>
  </si>
  <si>
    <t>11.03</t>
  </si>
  <si>
    <t>58</t>
  </si>
  <si>
    <t>Sering ke polresta utk urus surat2</t>
  </si>
  <si>
    <t>Yanti Wida Lestari</t>
  </si>
  <si>
    <t>Perum Gardenia City blok D no 3</t>
  </si>
  <si>
    <t>08123547469</t>
  </si>
  <si>
    <t>09.09</t>
  </si>
  <si>
    <t>54</t>
  </si>
  <si>
    <t>Pensiun</t>
  </si>
  <si>
    <t>Lebih ditingkatkan lagi</t>
  </si>
  <si>
    <t>Izzah Nur Fahma</t>
  </si>
  <si>
    <t>Desa Candinegoro Wonoayu</t>
  </si>
  <si>
    <t>Wonoayu</t>
  </si>
  <si>
    <t>085790572313</t>
  </si>
  <si>
    <t>11.27</t>
  </si>
  <si>
    <t>28</t>
  </si>
  <si>
    <t>Pegawai samsat</t>
  </si>
  <si>
    <t>Agar lebih informatif lagi</t>
  </si>
  <si>
    <t>memberikan informasi yang lebih jelas dan mudah dipahami</t>
  </si>
  <si>
    <t>Sudah lumayan baik</t>
  </si>
  <si>
    <t>Shonhaji</t>
  </si>
  <si>
    <t>Kyai Haji Mukmin , Sidokare</t>
  </si>
  <si>
    <t>088805503598</t>
  </si>
  <si>
    <t>12.50</t>
  </si>
  <si>
    <t>24</t>
  </si>
  <si>
    <t>Honorer</t>
  </si>
  <si>
    <t>Kalau bisa loket dan petugas ditambah</t>
  </si>
  <si>
    <t>Cindy Ayu</t>
  </si>
  <si>
    <t>Desa Janti Tulangan</t>
  </si>
  <si>
    <t>087856209975</t>
  </si>
  <si>
    <t>13.53</t>
  </si>
  <si>
    <t>22</t>
  </si>
  <si>
    <t>Harus lebih on time</t>
  </si>
  <si>
    <t>Agar lebih ringkas aja</t>
  </si>
  <si>
    <t>waktu lebih efisien</t>
  </si>
  <si>
    <t>Sudah bagus</t>
  </si>
  <si>
    <t>Putri Ayu Aulia</t>
  </si>
  <si>
    <t>Desa kedondong tulangan</t>
  </si>
  <si>
    <t>085648613165</t>
  </si>
  <si>
    <t>14.15</t>
  </si>
  <si>
    <t>Belum kerja</t>
  </si>
  <si>
    <t>Perlu dipercepat terutama utk week day</t>
  </si>
  <si>
    <t>Harum Putri</t>
  </si>
  <si>
    <t>085791212123</t>
  </si>
  <si>
    <t>12.41</t>
  </si>
  <si>
    <t>Harus lebih ramah</t>
  </si>
  <si>
    <t>Febrianto</t>
  </si>
  <si>
    <t>Ngampel Sari Candi RT. 03 RW.01</t>
  </si>
  <si>
    <t>085649726501</t>
  </si>
  <si>
    <t>Agushendris</t>
  </si>
  <si>
    <t>SVY05</t>
  </si>
  <si>
    <t>08.49</t>
  </si>
  <si>
    <t>Lebih profesional tidak tlp saat pelayanan</t>
  </si>
  <si>
    <t>Sudah bagus dan cepat</t>
  </si>
  <si>
    <t>Naila Anandia</t>
  </si>
  <si>
    <t>Perum graha rose regenci D-36</t>
  </si>
  <si>
    <t>082228958127</t>
  </si>
  <si>
    <t>30/06/25</t>
  </si>
  <si>
    <t>09.13</t>
  </si>
  <si>
    <t>Tidak ada sudah bagus</t>
  </si>
  <si>
    <t>Sudah cukup bagus</t>
  </si>
  <si>
    <t>Afandi</t>
  </si>
  <si>
    <t>Sidokerto RT.01 RW.08</t>
  </si>
  <si>
    <t>082210727103</t>
  </si>
  <si>
    <t>Orang tua</t>
  </si>
  <si>
    <t>Waktu percetakan SKCK lebih lama dibandingkan proses lainya, mungkin bisa lebih cepat</t>
  </si>
  <si>
    <t>Siti Maf'ula</t>
  </si>
  <si>
    <t>Sudimoro RT.02 RW.01</t>
  </si>
  <si>
    <t>085101153622</t>
  </si>
  <si>
    <t>09.56</t>
  </si>
  <si>
    <t>41</t>
  </si>
  <si>
    <t>Saat mengambil tumpukan antrian berkas, seharusnya dibalik jadi tumpukan yang dibawah yg pertama didahulukan</t>
  </si>
  <si>
    <t>perbaiki sistem antrian</t>
  </si>
  <si>
    <t>Ruang tunggu lebih diperlukan, kalau ada yang mengantar bisa cukup</t>
  </si>
  <si>
    <t>Arda Wijaya</t>
  </si>
  <si>
    <t>Janti RT.17 RW.04</t>
  </si>
  <si>
    <t>085706570560</t>
  </si>
  <si>
    <t>10.11</t>
  </si>
  <si>
    <t>31</t>
  </si>
  <si>
    <t>Sudah bagus, pertahankan</t>
  </si>
  <si>
    <t>Hasan Irsyad</t>
  </si>
  <si>
    <t>Sambung Rejo RT.07 RW.03</t>
  </si>
  <si>
    <t>089675758222</t>
  </si>
  <si>
    <t>34</t>
  </si>
  <si>
    <t>Google</t>
  </si>
  <si>
    <t>Lebih banyak senyum</t>
  </si>
  <si>
    <t>Sudah sangat bagus</t>
  </si>
  <si>
    <t>Sudah nyaman</t>
  </si>
  <si>
    <t>Rifa</t>
  </si>
  <si>
    <t>Puri indah BM.10</t>
  </si>
  <si>
    <t>Suko</t>
  </si>
  <si>
    <t>085954611116</t>
  </si>
  <si>
    <t>13.08</t>
  </si>
  <si>
    <t>45</t>
  </si>
  <si>
    <t>Intan Dwi Pratiwi</t>
  </si>
  <si>
    <t>Desa Sidodadi RT.06 RW.03</t>
  </si>
  <si>
    <t>085731709368</t>
  </si>
  <si>
    <t>14.16</t>
  </si>
  <si>
    <t>25</t>
  </si>
  <si>
    <t>Kedepannya semoga lebih baik lagi</t>
  </si>
  <si>
    <t>Sela Ayu Dwi</t>
  </si>
  <si>
    <t>Taman Pinang Indah Rt 29 Rw 9</t>
  </si>
  <si>
    <t>08777418117</t>
  </si>
  <si>
    <t>10.04</t>
  </si>
  <si>
    <t>23 TH</t>
  </si>
  <si>
    <t>Lebih cepat dari yg lalu</t>
  </si>
  <si>
    <t>Tidak sudah cukup</t>
  </si>
  <si>
    <t>Hafiz Zalifunas</t>
  </si>
  <si>
    <t>Keramay Jago Taman RT/RW 5/8</t>
  </si>
  <si>
    <t>081336839562</t>
  </si>
  <si>
    <t>Maeni L</t>
  </si>
  <si>
    <t>SVY02</t>
  </si>
  <si>
    <t>10.42</t>
  </si>
  <si>
    <t>20 TH</t>
  </si>
  <si>
    <t>Butuh nomer antrian</t>
  </si>
  <si>
    <t>Sudah cukup cepat</t>
  </si>
  <si>
    <t>Sudah cukup perlu di pertahankan</t>
  </si>
  <si>
    <t>Ibu Nur Hazizah</t>
  </si>
  <si>
    <t>Sari Rogo Rt 12 RW 3</t>
  </si>
  <si>
    <t>081908039063</t>
  </si>
  <si>
    <t>SVY09</t>
  </si>
  <si>
    <t>11.25</t>
  </si>
  <si>
    <t>42TH</t>
  </si>
  <si>
    <t>Orang terdekat</t>
  </si>
  <si>
    <t>Sangat puas</t>
  </si>
  <si>
    <t>Andiran Adi Nugroho</t>
  </si>
  <si>
    <t>Sono Indah Utara RT 5 RW 5</t>
  </si>
  <si>
    <t>081331739606</t>
  </si>
  <si>
    <t>SVY 09</t>
  </si>
  <si>
    <t>11.45</t>
  </si>
  <si>
    <t>18TH</t>
  </si>
  <si>
    <t>Sangat Puas</t>
  </si>
  <si>
    <t>Mudah langsung ke tempat</t>
  </si>
  <si>
    <t>Fristia Larassati</t>
  </si>
  <si>
    <t>Griya Candi Asri RT 17 RW 4</t>
  </si>
  <si>
    <t>081617271836</t>
  </si>
  <si>
    <t>13.01</t>
  </si>
  <si>
    <t>Ramah dan murah senyum, kedepannya peayanannya lebih ramah lagi</t>
  </si>
  <si>
    <t>Saran lebih di perjelas saja untuk pegawai disini lebih detail lagi memberikan penjelasan</t>
  </si>
  <si>
    <t>Sudah cukup butuh air</t>
  </si>
  <si>
    <t>Kedepannya semoga lebih baik lagi untuk penanganan semoga tugasnya selalu ramah</t>
  </si>
  <si>
    <t>Nur Aini</t>
  </si>
  <si>
    <t>Ds kali pecabean RT 10 RW 03</t>
  </si>
  <si>
    <t>083112271171</t>
  </si>
  <si>
    <t>13.10</t>
  </si>
  <si>
    <t>Harus lebih peduli ke masyarakat tidak main HP</t>
  </si>
  <si>
    <t>Lumayan</t>
  </si>
  <si>
    <t>Kursinya kurang untuk nulis</t>
  </si>
  <si>
    <t>Lebih baik lagi aja</t>
  </si>
  <si>
    <t>Muhammad Ridho</t>
  </si>
  <si>
    <t>Perumahan sukodono permai RT 55 RW 12</t>
  </si>
  <si>
    <t>Sukudono</t>
  </si>
  <si>
    <t>085904253289</t>
  </si>
  <si>
    <t>13.29</t>
  </si>
  <si>
    <t>19 TH</t>
  </si>
  <si>
    <t>Lebih Cepat</t>
  </si>
  <si>
    <t>Cukup</t>
  </si>
  <si>
    <t>Seperti pelayanannya tepat tanggap dalam melayani</t>
  </si>
  <si>
    <t>Titik Suharlia</t>
  </si>
  <si>
    <t>Gelang RT 3 RW 2</t>
  </si>
  <si>
    <t>089612150808</t>
  </si>
  <si>
    <t>08.46</t>
  </si>
  <si>
    <t>38TH</t>
  </si>
  <si>
    <t>Sodara</t>
  </si>
  <si>
    <t>Tetap di jaga kepuasan ke masyarakat dalam melayani</t>
  </si>
  <si>
    <t>Waktu tepat dan cepat</t>
  </si>
  <si>
    <t>Perlu di perbarui di polsej tulangan kursi di tambahi</t>
  </si>
  <si>
    <t>Tetap di jaga untuk pelayanan masyarakat</t>
  </si>
  <si>
    <t>Wahyu mardianto</t>
  </si>
  <si>
    <t>Ds Jati Alun Alun RT 01 RW 01</t>
  </si>
  <si>
    <t>085785208131</t>
  </si>
  <si>
    <t>01 Juli 2025</t>
  </si>
  <si>
    <t>09.03</t>
  </si>
  <si>
    <t>36TH</t>
  </si>
  <si>
    <t>Di jaga pelayanannya untuk masyarakat</t>
  </si>
  <si>
    <t>Sangat cepat</t>
  </si>
  <si>
    <t>Sudah nyaman dan bagus</t>
  </si>
  <si>
    <t>Mudah mudahn lancar terus dan bisa membantu masyarakat</t>
  </si>
  <si>
    <t>Ahmad Nukman</t>
  </si>
  <si>
    <t>Dusun patuk Rt 03 rw 04</t>
  </si>
  <si>
    <t>088803522208</t>
  </si>
  <si>
    <t>1 Juli 2025</t>
  </si>
  <si>
    <t>09.47 - 09.58</t>
  </si>
  <si>
    <t>Tidak ada saran sudah cukup</t>
  </si>
  <si>
    <t>Mungkin bisa di tambah tempat bermain anak dan kursi antri.an</t>
  </si>
  <si>
    <t>menambah tempat bermain anak</t>
  </si>
  <si>
    <t>Apriliadi</t>
  </si>
  <si>
    <t>Jl. Wadungasri Dalam GG 13 RT 02 RW 03</t>
  </si>
  <si>
    <t>082324530158</t>
  </si>
  <si>
    <t>Eva Riana D.</t>
  </si>
  <si>
    <t>13.20-13.32</t>
  </si>
  <si>
    <t>Saran untuk ruang tunggu kursi masih kurang perlu ditambah lagi</t>
  </si>
  <si>
    <t>Sofyan Eka H</t>
  </si>
  <si>
    <t>Dsn Kalibener RT 06 RW 01</t>
  </si>
  <si>
    <t>085749109729</t>
  </si>
  <si>
    <t>10.47-10.58</t>
  </si>
  <si>
    <t>Sudah mencukupi</t>
  </si>
  <si>
    <t>Tidak ada saran</t>
  </si>
  <si>
    <t>Kurang tempat duduk untuk antrian</t>
  </si>
  <si>
    <t>Ahmad Khusairi</t>
  </si>
  <si>
    <t>Sumo kali RT 18 RW 04</t>
  </si>
  <si>
    <t>081330473752</t>
  </si>
  <si>
    <t>11.05-11.15</t>
  </si>
  <si>
    <t>49</t>
  </si>
  <si>
    <t>Sudah tau karena rumah dekat dengn polres</t>
  </si>
  <si>
    <t>Ditingkatkan lebih baik lagi</t>
  </si>
  <si>
    <t>Cukup lebih baik waktu pelayanannya</t>
  </si>
  <si>
    <t>Cukup bagus untuk sarana dan prasarana</t>
  </si>
  <si>
    <t>Didit Anita sari</t>
  </si>
  <si>
    <t>Tambak sari Rt 01 rw 02</t>
  </si>
  <si>
    <t>081338245828</t>
  </si>
  <si>
    <t>10.00 - 10.12</t>
  </si>
  <si>
    <t>39</t>
  </si>
  <si>
    <t>Bidan</t>
  </si>
  <si>
    <t>Sudah Cukup</t>
  </si>
  <si>
    <t>Sudah cepat pelayanannya</t>
  </si>
  <si>
    <t>Kurangnya tempat duduk pelayanan, di tambah tempat duduknya.</t>
  </si>
  <si>
    <t>menyediakan air mineral</t>
  </si>
  <si>
    <t>Muh. Verdian</t>
  </si>
  <si>
    <t>Candi Sayang RT 04 RW 01</t>
  </si>
  <si>
    <t>082133089969</t>
  </si>
  <si>
    <t>10.15-10.25</t>
  </si>
  <si>
    <t>Waktu pelayanan sudah cepat</t>
  </si>
  <si>
    <t>Ruangan sudah cukup hanya parkiran ketika ada acara terlalu jauh</t>
  </si>
  <si>
    <t>Ryan Pangestu</t>
  </si>
  <si>
    <t>Jl. KH Saman Hudi Rt 04 Rw 04</t>
  </si>
  <si>
    <t>081234691669</t>
  </si>
  <si>
    <t>10.27 - 10.39</t>
  </si>
  <si>
    <t>Calon Bintara</t>
  </si>
  <si>
    <t>Seharusnya yang lanjut usia di dahulukan</t>
  </si>
  <si>
    <t>Semoga selalu konsisten</t>
  </si>
  <si>
    <t>Menyediakan tempat untuk lanjut usia</t>
  </si>
  <si>
    <t>Rofiqul</t>
  </si>
  <si>
    <t>Ds. Suko</t>
  </si>
  <si>
    <t>085784236014</t>
  </si>
  <si>
    <t>01/07/2025</t>
  </si>
  <si>
    <t>11:34</t>
  </si>
  <si>
    <t>Wahyu Chandra Febryansya</t>
  </si>
  <si>
    <t>0882010016226</t>
  </si>
  <si>
    <t>13:13</t>
  </si>
  <si>
    <t>Waktu Pelayanan dipercepat</t>
  </si>
  <si>
    <t>Rokhania Ramadhani</t>
  </si>
  <si>
    <t>Klurak candi</t>
  </si>
  <si>
    <t>085728782442</t>
  </si>
  <si>
    <t>13:26</t>
  </si>
  <si>
    <t>Lebih Ramah lagi pada masyrakat</t>
  </si>
  <si>
    <t>Lebih efisien lagi urutan pengumpulan</t>
  </si>
  <si>
    <t>Farelio Ramadhan</t>
  </si>
  <si>
    <t>Ds. jemundo</t>
  </si>
  <si>
    <t>081336922294</t>
  </si>
  <si>
    <t>10:31</t>
  </si>
  <si>
    <t>Kuliah</t>
  </si>
  <si>
    <t>Tetap dipertahankan</t>
  </si>
  <si>
    <t>Luth Faatin ifadah</t>
  </si>
  <si>
    <t>Bhayangkari 173 juwetkenongo</t>
  </si>
  <si>
    <t>085655226433</t>
  </si>
  <si>
    <t>10:47</t>
  </si>
  <si>
    <t>Kursinya kurang banyak diruang tunggu</t>
  </si>
  <si>
    <t>Faizar ariq setyawan</t>
  </si>
  <si>
    <t>Garuda VIII K/29</t>
  </si>
  <si>
    <t>089525039786</t>
  </si>
  <si>
    <t>belum kerja</t>
  </si>
  <si>
    <t>Ida Royani</t>
  </si>
  <si>
    <t>Serujo G. gajah</t>
  </si>
  <si>
    <t>087728144469</t>
  </si>
  <si>
    <t>10:08</t>
  </si>
  <si>
    <t>Anak</t>
  </si>
  <si>
    <t>Ria ayu sabrina</t>
  </si>
  <si>
    <t>Ds. suko</t>
  </si>
  <si>
    <t>081213348822</t>
  </si>
  <si>
    <t>09:48</t>
  </si>
  <si>
    <t>Ditambah untuk ruang tunggu di layanan skck</t>
  </si>
  <si>
    <t>Putri ayu mauliddyah</t>
  </si>
  <si>
    <t>Ds. pesawahan</t>
  </si>
  <si>
    <t>porong</t>
  </si>
  <si>
    <t>085730932779</t>
  </si>
  <si>
    <t>10:18</t>
  </si>
  <si>
    <t>Nomer antrian tidak sesuai</t>
  </si>
  <si>
    <t>Suci anggraeni</t>
  </si>
  <si>
    <t>Ds. pekauman</t>
  </si>
  <si>
    <t>087794974598</t>
  </si>
  <si>
    <t>10:06</t>
  </si>
  <si>
    <t>Ayu wulandam</t>
  </si>
  <si>
    <t>Ds.pamotan</t>
  </si>
  <si>
    <t>082230557464</t>
  </si>
  <si>
    <t>09:55</t>
  </si>
  <si>
    <t>Kurang banyak kursi tunggunya untuk ibu hamil,disablitas</t>
  </si>
  <si>
    <t>Yusuf Mafahur Ridho</t>
  </si>
  <si>
    <t>Gedangan RT. 02 RW. 02</t>
  </si>
  <si>
    <t>Gedangan</t>
  </si>
  <si>
    <t>085704181263</t>
  </si>
  <si>
    <t>12.11</t>
  </si>
  <si>
    <t>Vivi Putri Agustin</t>
  </si>
  <si>
    <t>Perum Harmoni Kota A5-06</t>
  </si>
  <si>
    <t>085733508859</t>
  </si>
  <si>
    <t>Mungkin waktu pelayanan bisa dipercepat lagi</t>
  </si>
  <si>
    <t>Cirokulon RT. 17 RW.04</t>
  </si>
  <si>
    <t>Balongbendo</t>
  </si>
  <si>
    <t>089513747617</t>
  </si>
  <si>
    <t>12.37</t>
  </si>
  <si>
    <t>Petugas aktif menjelaskan di tempat, jangan sering ditingal</t>
  </si>
  <si>
    <t>Saran waktu proses bisa dipercepat</t>
  </si>
  <si>
    <t>Indah</t>
  </si>
  <si>
    <t>Kuanon Diwek RT. 07 RW.03</t>
  </si>
  <si>
    <t>Jombang</t>
  </si>
  <si>
    <t>Diwek</t>
  </si>
  <si>
    <t>085704277846</t>
  </si>
  <si>
    <t>12.44</t>
  </si>
  <si>
    <t>Kursi perlu ditambah, banyak yang tidak kebagian kursi saat proses</t>
  </si>
  <si>
    <t>M. Rafi Avriandanu</t>
  </si>
  <si>
    <t>Perum. Magorsari T5 RT. 38 RW.07</t>
  </si>
  <si>
    <t>0895631355110</t>
  </si>
  <si>
    <t>12.56</t>
  </si>
  <si>
    <t>Lebih aktif menjelaskan alur proses</t>
  </si>
  <si>
    <t>Puji Astutik</t>
  </si>
  <si>
    <t>Puri indah CC-3 RT.09 RW.30</t>
  </si>
  <si>
    <t>085186887558</t>
  </si>
  <si>
    <t>13.24</t>
  </si>
  <si>
    <t>Ada ruangan yang kebetulan tidak ada petugas, mungkin kebetulan waktu makan / istirahat, seharusnya ada yang mengantikan supaya ada petugas yang bergantian</t>
  </si>
  <si>
    <t>Cikal Raya Taqwa</t>
  </si>
  <si>
    <t>Perum Babatan Asri 21 Junwangi</t>
  </si>
  <si>
    <t>08970824509</t>
  </si>
  <si>
    <t>13.09</t>
  </si>
  <si>
    <t>Nikolas</t>
  </si>
  <si>
    <t>Delta Kencana No.49</t>
  </si>
  <si>
    <t>082139058177</t>
  </si>
  <si>
    <t>13.47</t>
  </si>
  <si>
    <t>Orang tua (ayah)</t>
  </si>
  <si>
    <t>Kurang banyak kursi</t>
  </si>
  <si>
    <t>M. OCTAVIANUS FAJRIS SALAM</t>
  </si>
  <si>
    <t>Jl. Jawa 132 Ds. Wadungasih RT. 04/61</t>
  </si>
  <si>
    <t>082257484456</t>
  </si>
  <si>
    <t>09.01</t>
  </si>
  <si>
    <t>Baik, supel</t>
  </si>
  <si>
    <t>Cukup baik</t>
  </si>
  <si>
    <t>Ika</t>
  </si>
  <si>
    <t>Cemengbakalan RT 07 RW 02</t>
  </si>
  <si>
    <t>085645047409</t>
  </si>
  <si>
    <t>09.47</t>
  </si>
  <si>
    <t>36</t>
  </si>
  <si>
    <t>Mengkomunikasikan tdk jelas alur pelayanan di mana saja</t>
  </si>
  <si>
    <t>Penambahan anggota atau personil untuk petugas pendaftaran</t>
  </si>
  <si>
    <t>Sistem antrian harus berbasis online tdk manual tumpukan berkas</t>
  </si>
  <si>
    <t>mengubah sistem antrian secara online</t>
  </si>
  <si>
    <t>Alur pemberitahuan loket ke loket harus di kasih plang jadi tdk membingungkan masyarakat</t>
  </si>
  <si>
    <t>diberikan petunjuk buka/tutup; ruangan atau arah untuk pengurusannya</t>
  </si>
  <si>
    <t>Lebih memperjelas alur perizinan dan jam pelayanan lebih di perpanjang</t>
  </si>
  <si>
    <t>Putri khairunisa larasati</t>
  </si>
  <si>
    <t>Jl.kavling perjuangan 3 no 4 RT 07 RW 01</t>
  </si>
  <si>
    <t>082196626307</t>
  </si>
  <si>
    <t>12.17</t>
  </si>
  <si>
    <t>Masih mencari pekerjaan</t>
  </si>
  <si>
    <t>Diberi alur pelayanan yang memadai terkait pelayanan SIM</t>
  </si>
  <si>
    <t>Ditambahkan fasilitas tempat duduk yang lebih banyak</t>
  </si>
  <si>
    <t>Sukirman</t>
  </si>
  <si>
    <t>Banjarsari RT 11 RW 03</t>
  </si>
  <si>
    <t>082239656351</t>
  </si>
  <si>
    <t>12.33</t>
  </si>
  <si>
    <t>44</t>
  </si>
  <si>
    <t>Lebih ramah lagi</t>
  </si>
  <si>
    <t>ERWIN WINTORO</t>
  </si>
  <si>
    <t>Perum Saphire Regency B-58/28 Ds. Prasung RT. 23/07</t>
  </si>
  <si>
    <t>085124024545</t>
  </si>
  <si>
    <t>59</t>
  </si>
  <si>
    <t>Warga lingkungan</t>
  </si>
  <si>
    <t>Gunakan bahasa yang enak agar pemohon merasa nyaman</t>
  </si>
  <si>
    <t>Dampingi agar pemohon merasa nyaman</t>
  </si>
  <si>
    <t>Rizky yulianto</t>
  </si>
  <si>
    <t>Perumahan taman dhika RT 07 RW 03</t>
  </si>
  <si>
    <t>089643664250</t>
  </si>
  <si>
    <t>12.55</t>
  </si>
  <si>
    <t>Baru lulus sekolah</t>
  </si>
  <si>
    <t>Saudara atau kakak</t>
  </si>
  <si>
    <t>Perlu di tingkatkan lagi dalam melayani</t>
  </si>
  <si>
    <t>Listia</t>
  </si>
  <si>
    <t>Desa Terung kulon</t>
  </si>
  <si>
    <t>085608444481</t>
  </si>
  <si>
    <t>08.20</t>
  </si>
  <si>
    <t>Pengalaman pribadi</t>
  </si>
  <si>
    <t>Harus lebih responsif aja</t>
  </si>
  <si>
    <t>Muhammad Hanif</t>
  </si>
  <si>
    <t>Wage jalan jeruk RT 03 RW 08</t>
  </si>
  <si>
    <t>085731603374</t>
  </si>
  <si>
    <t>Baru lulus SMA</t>
  </si>
  <si>
    <t>Anugerah Agung</t>
  </si>
  <si>
    <t>Jl kepadangan</t>
  </si>
  <si>
    <t>088228100288</t>
  </si>
  <si>
    <t>08.35</t>
  </si>
  <si>
    <t>Dipertahankan aja</t>
  </si>
  <si>
    <t>Sudah puas</t>
  </si>
  <si>
    <t>Abdil abinaya</t>
  </si>
  <si>
    <t>Jl.Trunojoyo RT 03 RW 09</t>
  </si>
  <si>
    <t>081615654532</t>
  </si>
  <si>
    <t>M. Irwanda</t>
  </si>
  <si>
    <t>1 juli 2025</t>
  </si>
  <si>
    <t>Penambahan tempat duduk yang memadai</t>
  </si>
  <si>
    <t>Eko Prasetyo</t>
  </si>
  <si>
    <t>Desa Modong</t>
  </si>
  <si>
    <t>085745342425</t>
  </si>
  <si>
    <t>10.30</t>
  </si>
  <si>
    <t>33</t>
  </si>
  <si>
    <t>Gabriel</t>
  </si>
  <si>
    <t>Sidoadi RT 21 RW 01</t>
  </si>
  <si>
    <t>082115564646</t>
  </si>
  <si>
    <t>13.25</t>
  </si>
  <si>
    <t>37</t>
  </si>
  <si>
    <t>Perlu ditingkatkan lagi dalam pelayanan contohnya digitalisasi pelayanan</t>
  </si>
  <si>
    <t>Perlu di sediakan layanan spot jual minuman</t>
  </si>
  <si>
    <t>Sulisriani</t>
  </si>
  <si>
    <t>JL.Boro RT 05 RW 02</t>
  </si>
  <si>
    <t>081134911961</t>
  </si>
  <si>
    <t>13.51</t>
  </si>
  <si>
    <t>Ibu rumah tangga</t>
  </si>
  <si>
    <t>Nurul</t>
  </si>
  <si>
    <t>081249991467</t>
  </si>
  <si>
    <t>10.45</t>
  </si>
  <si>
    <t>38</t>
  </si>
  <si>
    <t>Perlu ditambah tempat duduk</t>
  </si>
  <si>
    <t>Wahyu indra</t>
  </si>
  <si>
    <t>Ds Pangkemiri</t>
  </si>
  <si>
    <t>085856998887</t>
  </si>
  <si>
    <t>11.19</t>
  </si>
  <si>
    <t>Perangkat desa</t>
  </si>
  <si>
    <t>Lebih ditingkatkan</t>
  </si>
  <si>
    <t>ATIKA KHOIRONA</t>
  </si>
  <si>
    <t>Ds. Banjarsari RT. 13/03</t>
  </si>
  <si>
    <t>08155514945</t>
  </si>
  <si>
    <t>10.00</t>
  </si>
  <si>
    <t>Kalau bisa ada ruang khusus untuk pengaduan yang bersifat privasi</t>
  </si>
  <si>
    <t>RATU AYU SEKARTAJI</t>
  </si>
  <si>
    <t>Jade File F-1/14 Ds. Dukuh Tengah</t>
  </si>
  <si>
    <t>085648629924</t>
  </si>
  <si>
    <t>10.25</t>
  </si>
  <si>
    <t>Cukup baik, lebih teliti saat penulisan data pemohon</t>
  </si>
  <si>
    <t>Mochammad Giovano</t>
  </si>
  <si>
    <t>Wonokromo Tengah 9 no 16</t>
  </si>
  <si>
    <t>Surabaya</t>
  </si>
  <si>
    <t>Wonokromo</t>
  </si>
  <si>
    <t>085850032968</t>
  </si>
  <si>
    <t>1 Juni 2025</t>
  </si>
  <si>
    <t>Driver online</t>
  </si>
  <si>
    <t>Sudah sangat baik</t>
  </si>
  <si>
    <t>ANISA FIKRIYYAH RAMADHANI</t>
  </si>
  <si>
    <t>Dsn. Pandean Ds. Banjarkemantren RT. 02/01</t>
  </si>
  <si>
    <t>085700842077</t>
  </si>
  <si>
    <t>11.02</t>
  </si>
  <si>
    <t>Tidak banyak basa basi dengan pembicaraan di luar kepentingan pemohon</t>
  </si>
  <si>
    <t>Kursi tunggu perlu ditambah</t>
  </si>
  <si>
    <t>Eko Purnomo</t>
  </si>
  <si>
    <t>Ds Kajeksan</t>
  </si>
  <si>
    <t>085648365552</t>
  </si>
  <si>
    <t>11.35</t>
  </si>
  <si>
    <t>NABILA ZASKIA PUTRI</t>
  </si>
  <si>
    <t>Ds. Prasung RT. 01/04</t>
  </si>
  <si>
    <t>083831862001</t>
  </si>
  <si>
    <t>11.18</t>
  </si>
  <si>
    <t>Sandy putra pratama</t>
  </si>
  <si>
    <t>Kemantren</t>
  </si>
  <si>
    <t>0895339360018</t>
  </si>
  <si>
    <t>11.57</t>
  </si>
  <si>
    <t>ROFODA FEBRIANTI</t>
  </si>
  <si>
    <t>Perum Gading Fajar B5/09 RT. 24/05</t>
  </si>
  <si>
    <t>085811379787</t>
  </si>
  <si>
    <t>Info biaya di media online diupdate, disamakan dengan yang ada di kantor</t>
  </si>
  <si>
    <t>ALDIANSYAH AKBAR</t>
  </si>
  <si>
    <t>Ds. Damarsih RT 02/04</t>
  </si>
  <si>
    <t>08572235l4108</t>
  </si>
  <si>
    <t>11.48</t>
  </si>
  <si>
    <t>Diperluas ruangannya dan ditambah kursi tunggunya</t>
  </si>
  <si>
    <t>MARSELLA DWI WIJAYANTI</t>
  </si>
  <si>
    <t>Ds. Pagerwojo</t>
  </si>
  <si>
    <t>087864935709</t>
  </si>
  <si>
    <t>12.32</t>
  </si>
  <si>
    <t>Cari kerja</t>
  </si>
  <si>
    <t>Lebih ramah dan murah senyum</t>
  </si>
  <si>
    <t>M. KHILMI SUAIFI</t>
  </si>
  <si>
    <t>Ds. Ental Sewu RT 12/03</t>
  </si>
  <si>
    <t>0838998y9312</t>
  </si>
  <si>
    <t>13.27</t>
  </si>
  <si>
    <t>Ida Maulia</t>
  </si>
  <si>
    <t>Dusun Bendo Desa Grogol RT 1 RW 4</t>
  </si>
  <si>
    <t>089515521486</t>
  </si>
  <si>
    <t>01 Juni 2025</t>
  </si>
  <si>
    <t>09.41</t>
  </si>
  <si>
    <t>35TH</t>
  </si>
  <si>
    <t>Semoga kedepannya untuk masyarakat dalam melayani lebih dan di pertahankan</t>
  </si>
  <si>
    <t>Sangat cepat dan mudah</t>
  </si>
  <si>
    <t>Peru nambah AC tambah Playground kecil untuk anak agar tidak bosan</t>
  </si>
  <si>
    <t>Aris Zuu Prasetiawan</t>
  </si>
  <si>
    <t>Singopafu RT 4 Rw 2</t>
  </si>
  <si>
    <t>0812168691592</t>
  </si>
  <si>
    <t>09.53</t>
  </si>
  <si>
    <t>Lebih di majukan lagi kedepannya agar lebih cepat dan tanggap serta tegas</t>
  </si>
  <si>
    <t>Sudah sesuai</t>
  </si>
  <si>
    <t>Kurang AC parkir kurang luas</t>
  </si>
  <si>
    <t>Untuk polres tulangan sudah sesuai dengan SOP</t>
  </si>
  <si>
    <t>Laila Ayu Fitria</t>
  </si>
  <si>
    <t>Ds Telasih RT 4 RW 2</t>
  </si>
  <si>
    <t>0819678853719</t>
  </si>
  <si>
    <t>10.23</t>
  </si>
  <si>
    <t>Adinda Dwikaputri</t>
  </si>
  <si>
    <t>Desa Singopadu Rt 3 Rw 1</t>
  </si>
  <si>
    <t>081332099643</t>
  </si>
  <si>
    <t>2 Juli 2025</t>
  </si>
  <si>
    <t>08.56</t>
  </si>
  <si>
    <t>Sangat baik</t>
  </si>
  <si>
    <t>Diah Esti Rahmawati</t>
  </si>
  <si>
    <t>Perum Bumi Cabean Asri blok K6 no 22</t>
  </si>
  <si>
    <t>08122361120</t>
  </si>
  <si>
    <t>09.05</t>
  </si>
  <si>
    <t>Andika salang</t>
  </si>
  <si>
    <t>Raden Wijaya 44 Rt 04 Rw 04</t>
  </si>
  <si>
    <t>081243450227</t>
  </si>
  <si>
    <t>Mustofa</t>
  </si>
  <si>
    <t>SVY 02</t>
  </si>
  <si>
    <t>2 juli 2024</t>
  </si>
  <si>
    <t>9.06</t>
  </si>
  <si>
    <t>cukup</t>
  </si>
  <si>
    <t>Iksan asidiq al maarif</t>
  </si>
  <si>
    <t>jl mandau no 59 wedi</t>
  </si>
  <si>
    <t>081259687534</t>
  </si>
  <si>
    <t>2 juli 2025</t>
  </si>
  <si>
    <t>9.53</t>
  </si>
  <si>
    <t>belom bekerja</t>
  </si>
  <si>
    <t>di tingkatkan</t>
  </si>
  <si>
    <t>Ali kasan</t>
  </si>
  <si>
    <t>Panjunan Rt 12 RW 03</t>
  </si>
  <si>
    <t>082253541935</t>
  </si>
  <si>
    <t>02 juli 2025</t>
  </si>
  <si>
    <t>19.40</t>
  </si>
  <si>
    <t>Nur Latifah</t>
  </si>
  <si>
    <t>Sarirogo</t>
  </si>
  <si>
    <t>085134720151</t>
  </si>
  <si>
    <t>9.50</t>
  </si>
  <si>
    <t>M daffa perdana</t>
  </si>
  <si>
    <t>grabakan rt 31 rw 05</t>
  </si>
  <si>
    <t>0858074691825</t>
  </si>
  <si>
    <t>10.10</t>
  </si>
  <si>
    <t>26</t>
  </si>
  <si>
    <t>guru</t>
  </si>
  <si>
    <t>Faisal Hanapi</t>
  </si>
  <si>
    <t>panjunan rt 19 RW 03</t>
  </si>
  <si>
    <t>Sidokare</t>
  </si>
  <si>
    <t>081327373864</t>
  </si>
  <si>
    <t>13.52</t>
  </si>
  <si>
    <t>kurang cepat</t>
  </si>
  <si>
    <t>Intan ellin</t>
  </si>
  <si>
    <t>Sambi bulu Rt 32 Rt 06</t>
  </si>
  <si>
    <t>085732838133</t>
  </si>
  <si>
    <t>13 .40</t>
  </si>
  <si>
    <t>Bello prakoso</t>
  </si>
  <si>
    <t>Dusun patok RT 03 RW 04</t>
  </si>
  <si>
    <t>08968052884</t>
  </si>
  <si>
    <t>Mas hanu</t>
  </si>
  <si>
    <t>Sedengan wijen RT 09 RW 03</t>
  </si>
  <si>
    <t>08123198244</t>
  </si>
  <si>
    <t>13.04</t>
  </si>
  <si>
    <t>Akhida zahra Fitri</t>
  </si>
  <si>
    <t>Wonokasian RT 01 RW 01</t>
  </si>
  <si>
    <t>08510018121</t>
  </si>
  <si>
    <t>Bagus Dewantoro</t>
  </si>
  <si>
    <t>Kemlaten RT 01 RW 01</t>
  </si>
  <si>
    <t>Mojokerto</t>
  </si>
  <si>
    <t>Kemalagi</t>
  </si>
  <si>
    <t>085767837013</t>
  </si>
  <si>
    <t>Dwi Sulistyowati,ss</t>
  </si>
  <si>
    <t>RA Kartini RT 08 RW 07</t>
  </si>
  <si>
    <t>081949575495</t>
  </si>
  <si>
    <t>11.30</t>
  </si>
  <si>
    <t>51</t>
  </si>
  <si>
    <t>lebih detail</t>
  </si>
  <si>
    <t>puas</t>
  </si>
  <si>
    <t>Agus Susanto</t>
  </si>
  <si>
    <t>Mojosari RT 06 RW 01</t>
  </si>
  <si>
    <t>kalitidur</t>
  </si>
  <si>
    <t>089680528891</t>
  </si>
  <si>
    <t>11.15</t>
  </si>
  <si>
    <t>29</t>
  </si>
  <si>
    <t>orang tua</t>
  </si>
  <si>
    <t>Moch suud</t>
  </si>
  <si>
    <t>Lumbang RT 13 RW 03 sawo cakring</t>
  </si>
  <si>
    <t>081328612362</t>
  </si>
  <si>
    <t>10 .50</t>
  </si>
  <si>
    <t>Moch Yusuf Bachtiar</t>
  </si>
  <si>
    <t>Jimbaran kulon RT 02 RW 01</t>
  </si>
  <si>
    <t>081391051436</t>
  </si>
  <si>
    <t>lebih cepat</t>
  </si>
  <si>
    <t>Lusi hari siswanti</t>
  </si>
  <si>
    <t>perum park royal B 24</t>
  </si>
  <si>
    <t>082245121498</t>
  </si>
  <si>
    <t>lebih familiar</t>
  </si>
  <si>
    <t>Angga dwi darmawan</t>
  </si>
  <si>
    <t>Dusun kasih desa wadungasih RT 07 RW 02</t>
  </si>
  <si>
    <t>081223446881</t>
  </si>
  <si>
    <t>08.31</t>
  </si>
  <si>
    <t>Harus lebih optimal dan efisien waktu dalam pelayanan</t>
  </si>
  <si>
    <t>Lebih memperbarui alur pelayanan di media sosial</t>
  </si>
  <si>
    <t>Sulistiyono</t>
  </si>
  <si>
    <t>Raya wadungasih Rt 02 RW 05</t>
  </si>
  <si>
    <t>082234687756</t>
  </si>
  <si>
    <t>08.41</t>
  </si>
  <si>
    <t>Muhammad Iqbal</t>
  </si>
  <si>
    <t>Jalan Banjarsari Rt 05 RW 01</t>
  </si>
  <si>
    <t>082151120813</t>
  </si>
  <si>
    <t>09.17</t>
  </si>
  <si>
    <t>Cari pekerjaan</t>
  </si>
  <si>
    <t>Usman</t>
  </si>
  <si>
    <t>Jalan sukorejo RT 03 RW 01</t>
  </si>
  <si>
    <t>0895342268442</t>
  </si>
  <si>
    <t>09.29</t>
  </si>
  <si>
    <t>Pak RT</t>
  </si>
  <si>
    <t>Eko budi santoso</t>
  </si>
  <si>
    <t>Wadungasih RT 05 RW 02</t>
  </si>
  <si>
    <t>087853001538</t>
  </si>
  <si>
    <t>Fani Amidah Rahmadani</t>
  </si>
  <si>
    <t>Dukuh Tengah RT 05 RW 03</t>
  </si>
  <si>
    <t>087758526464</t>
  </si>
  <si>
    <t>09.54</t>
  </si>
  <si>
    <t>Iis sugiarti</t>
  </si>
  <si>
    <t>Jl. jawa desa wadungasih RT 06 RW 02</t>
  </si>
  <si>
    <t>081910153336</t>
  </si>
  <si>
    <t>Kesopanannnya lebih di tingkatkan lagi</t>
  </si>
  <si>
    <t>Nanik Sholikah</t>
  </si>
  <si>
    <t>Perum Graha Permata Blok 06 nomer 15</t>
  </si>
  <si>
    <t>081235930764</t>
  </si>
  <si>
    <t>12.57</t>
  </si>
  <si>
    <t>Tetap ramah dan utamakan pelayanan agar cepat di layani</t>
  </si>
  <si>
    <t>Tiara fasyanova</t>
  </si>
  <si>
    <t>Cangkringsari RT 23 RW 06</t>
  </si>
  <si>
    <t>082231043576</t>
  </si>
  <si>
    <t>12.46</t>
  </si>
  <si>
    <t>Fani Firza Diono</t>
  </si>
  <si>
    <t>Jl. Jeruk II No 10A</t>
  </si>
  <si>
    <t>082225458949</t>
  </si>
  <si>
    <t>Di petugas loket foto harusnya petugas memanggil sesuai nomor antrian atau sesuai urutan nomer, bila perlu di digitalisasi semua layanan</t>
  </si>
  <si>
    <t>Alvanda putri</t>
  </si>
  <si>
    <t>Polo air 4 no 2</t>
  </si>
  <si>
    <t>081313173209</t>
  </si>
  <si>
    <t>01 juli 2025</t>
  </si>
  <si>
    <t>08.30</t>
  </si>
  <si>
    <t>Moch Khoirul musa</t>
  </si>
  <si>
    <t>Sawohan</t>
  </si>
  <si>
    <t>0877410132911</t>
  </si>
  <si>
    <t>10.59</t>
  </si>
  <si>
    <t>belum bekerja</t>
  </si>
  <si>
    <t>Rendi Nur Rohman</t>
  </si>
  <si>
    <t>Kebraon</t>
  </si>
  <si>
    <t>087798162949</t>
  </si>
  <si>
    <t>11.00</t>
  </si>
  <si>
    <t>21 TH</t>
  </si>
  <si>
    <t>Sangat Baik</t>
  </si>
  <si>
    <t>Sangat Cepat tepat waktu</t>
  </si>
  <si>
    <t>Affan arifian</t>
  </si>
  <si>
    <t>Safir residen 5 f no 24</t>
  </si>
  <si>
    <t>0885280048</t>
  </si>
  <si>
    <t>48</t>
  </si>
  <si>
    <t>kursi di tambah</t>
  </si>
  <si>
    <t>Ayu Ananda Kurnia Putri</t>
  </si>
  <si>
    <t>Durung Banjar</t>
  </si>
  <si>
    <t>082132744334</t>
  </si>
  <si>
    <t>10.54</t>
  </si>
  <si>
    <t>31 TH</t>
  </si>
  <si>
    <t>Hardiono,ir</t>
  </si>
  <si>
    <t>jl Raden patah gang PDAM 11 no 25</t>
  </si>
  <si>
    <t>082197735500</t>
  </si>
  <si>
    <t>11.20</t>
  </si>
  <si>
    <t>saudara</t>
  </si>
  <si>
    <t>ruang tunggu harus jelas</t>
  </si>
  <si>
    <t>Abdul rokim</t>
  </si>
  <si>
    <t>Pondok sido kare indah RT 29 RW 09</t>
  </si>
  <si>
    <t>085706983429</t>
  </si>
  <si>
    <t>12.15</t>
  </si>
  <si>
    <t>Yuli Riska Dwinanda</t>
  </si>
  <si>
    <t>Jl Raden patah PP sedati rt 1 rw 1</t>
  </si>
  <si>
    <t>085731482253</t>
  </si>
  <si>
    <t>10.50</t>
  </si>
  <si>
    <t>Cukup dan butuh konsumsi</t>
  </si>
  <si>
    <t>Yusni Kartika</t>
  </si>
  <si>
    <t>jl Antartika 1 no 10</t>
  </si>
  <si>
    <t>087889214637</t>
  </si>
  <si>
    <t>lebih ramah</t>
  </si>
  <si>
    <t>ac kurang dingin</t>
  </si>
  <si>
    <t>Eko Hendra</t>
  </si>
  <si>
    <t>Ds kemantren RT 2 RW 2</t>
  </si>
  <si>
    <t>0818302361</t>
  </si>
  <si>
    <t>39TH</t>
  </si>
  <si>
    <t>Sesuai semua susah cukup</t>
  </si>
  <si>
    <t>Cepat sudah tidak ada</t>
  </si>
  <si>
    <t>Alim sudarmanto</t>
  </si>
  <si>
    <t>Pondok jetfin f1 no 14</t>
  </si>
  <si>
    <t>082230094664</t>
  </si>
  <si>
    <t>13.20</t>
  </si>
  <si>
    <t>56</t>
  </si>
  <si>
    <t>pegawai Telkomsel</t>
  </si>
  <si>
    <t>Pegawai/Karyawan Swasta</t>
  </si>
  <si>
    <t>cukup bagus</t>
  </si>
  <si>
    <t>Setyami</t>
  </si>
  <si>
    <t>Jl badik 2 no 41</t>
  </si>
  <si>
    <t>081927675081</t>
  </si>
  <si>
    <t>13.31-14.00</t>
  </si>
  <si>
    <t>Layanan RESKRIM</t>
  </si>
  <si>
    <t>40TH</t>
  </si>
  <si>
    <t>Dari dinas tempat kerja</t>
  </si>
  <si>
    <t>Lebi komunikatif saat pemeriksaan kasus</t>
  </si>
  <si>
    <t>Puas lebih di tingkatkan lagi aja</t>
  </si>
  <si>
    <t>Sudah cukup, namun di bagian PPA LT2 kalau bisa tempat bermainnya anak2 di manfaatkan atau di bersihkan</t>
  </si>
  <si>
    <t>Saran untuk polresta sidoarja sesuai slogannya melayani dan mengayomi masyarakat</t>
  </si>
  <si>
    <t>Nganti Wahyuningsih</t>
  </si>
  <si>
    <t>Clasca residence</t>
  </si>
  <si>
    <t>Jagir</t>
  </si>
  <si>
    <t>08113103153</t>
  </si>
  <si>
    <t>14.28-14.36</t>
  </si>
  <si>
    <t>Layanan SAT INTELKAM (PERIZINAN)</t>
  </si>
  <si>
    <t>44TH</t>
  </si>
  <si>
    <t>Baik dan cepat, cukup tanggap</t>
  </si>
  <si>
    <t>Kalau bisa di larang merokok di dalam ruangan</t>
  </si>
  <si>
    <t>diberi larangan merokok</t>
  </si>
  <si>
    <t>Saran untuk polrseta sidoarjo kalau bisa perizinan di onlinekan</t>
  </si>
  <si>
    <t>SUPARNO</t>
  </si>
  <si>
    <t>Perum Surya Asri A11/10 Ds. Sidokepung</t>
  </si>
  <si>
    <t>082232374299</t>
  </si>
  <si>
    <t>02 Juli 2025</t>
  </si>
  <si>
    <t>Baik. Pertahankan</t>
  </si>
  <si>
    <t>ZHULIS ANGGRAENI RAMADHANI</t>
  </si>
  <si>
    <t>Ds. Banjarpoh RT. 09/05</t>
  </si>
  <si>
    <t>085648782128</t>
  </si>
  <si>
    <t>Mohon diberikan info jam pelayanan</t>
  </si>
  <si>
    <t>AMELIA MUKTI PRATIWI</t>
  </si>
  <si>
    <t>Ds. Pabean RT. 63/16</t>
  </si>
  <si>
    <t>082143156633</t>
  </si>
  <si>
    <t>10.01</t>
  </si>
  <si>
    <t>HABBY NUR CAHYO</t>
  </si>
  <si>
    <t>Ds. Kludan RT 01/03</t>
  </si>
  <si>
    <t>089676543003</t>
  </si>
  <si>
    <t>09.51</t>
  </si>
  <si>
    <t>--</t>
  </si>
  <si>
    <t>RUCY MARITA IRAWATI</t>
  </si>
  <si>
    <t>Jl. Singamangaraja Gg. 01/06 Sidokumpul</t>
  </si>
  <si>
    <t>088989901644</t>
  </si>
  <si>
    <t>12.03</t>
  </si>
  <si>
    <t>55</t>
  </si>
  <si>
    <t>IRT</t>
  </si>
  <si>
    <t>Diana Wahyuni</t>
  </si>
  <si>
    <t>Perum Surya residen 3F - 31</t>
  </si>
  <si>
    <t>0895805023341</t>
  </si>
  <si>
    <t>02/07/2025</t>
  </si>
  <si>
    <t>Nofi Maula Hidayatullah</t>
  </si>
  <si>
    <t>Dukuh tengah RT.02 RW.01</t>
  </si>
  <si>
    <t>08993413774</t>
  </si>
  <si>
    <t>19.18</t>
  </si>
  <si>
    <t>Mencari kerja</t>
  </si>
  <si>
    <t>M. Fahmi Rizal</t>
  </si>
  <si>
    <t>Sukodono RT.05 RW.07</t>
  </si>
  <si>
    <t>082257010387</t>
  </si>
  <si>
    <t>09.43</t>
  </si>
  <si>
    <t>Inisiatif sendiri</t>
  </si>
  <si>
    <t>Nining</t>
  </si>
  <si>
    <t>Banjar Kemantren 03 RT.02 RW.04</t>
  </si>
  <si>
    <t>082338548822</t>
  </si>
  <si>
    <t>09.49</t>
  </si>
  <si>
    <t>Agak diperluas ruanganya, banyak orangnya di dalam ruangan</t>
  </si>
  <si>
    <t>Hariono</t>
  </si>
  <si>
    <t>Kedang kambal RT.01 RW.04</t>
  </si>
  <si>
    <t>0895340208235</t>
  </si>
  <si>
    <t>Bank Mandiri, saat kehilangan buku rekening</t>
  </si>
  <si>
    <t>Galang</t>
  </si>
  <si>
    <t>Jumput Rejo RT.27 RW.09</t>
  </si>
  <si>
    <t>08814910632</t>
  </si>
  <si>
    <t>10.03</t>
  </si>
  <si>
    <t>Lebih baik lagi dalam menangani masyarakat</t>
  </si>
  <si>
    <t>Sudah bak</t>
  </si>
  <si>
    <t>Dewi</t>
  </si>
  <si>
    <t>Sido kepung RT.27 RW.07</t>
  </si>
  <si>
    <t>0895405462534</t>
  </si>
  <si>
    <t>Tetanga</t>
  </si>
  <si>
    <t>Pelayanan bisa dipercepat lagi</t>
  </si>
  <si>
    <t>M. Rafael</t>
  </si>
  <si>
    <t>Perum kasih, Junwangi Krian RT. 11 RW.04</t>
  </si>
  <si>
    <t>Gempong</t>
  </si>
  <si>
    <t>082142635373</t>
  </si>
  <si>
    <t>12.51</t>
  </si>
  <si>
    <t>Komputer untuk ujian teori ditambah supaya waktunya lebih cepat</t>
  </si>
  <si>
    <t>Keisya</t>
  </si>
  <si>
    <t>Jl. Jaksa agung suprapto 14B</t>
  </si>
  <si>
    <t>082144949422</t>
  </si>
  <si>
    <t>Lebih ramah dalam pelayanan</t>
  </si>
  <si>
    <t>Herman</t>
  </si>
  <si>
    <t>Perum graha kota RT.76 RW.12</t>
  </si>
  <si>
    <t>089681418082</t>
  </si>
  <si>
    <t>Semakin memperbaiki pelayanan</t>
  </si>
  <si>
    <t>Rifan Adi Nugroho</t>
  </si>
  <si>
    <t>Jl Sedati agung 2 RT 3 RW 3</t>
  </si>
  <si>
    <t>085961189705</t>
  </si>
  <si>
    <t>11.32</t>
  </si>
  <si>
    <t>Pelajar</t>
  </si>
  <si>
    <t>Mohammad Harits Rozan M</t>
  </si>
  <si>
    <t>Desa Pagerwojo RT 10 RW 3</t>
  </si>
  <si>
    <t>085964429453</t>
  </si>
  <si>
    <t>11.49</t>
  </si>
  <si>
    <t>Guzali</t>
  </si>
  <si>
    <t>Desa Watu Golong RT 5 RW 2</t>
  </si>
  <si>
    <t>08819689943</t>
  </si>
  <si>
    <t>11.58</t>
  </si>
  <si>
    <t>Harus lebih ramah lagi</t>
  </si>
  <si>
    <t>Harus lebih ditingkatkan dlm hal waktu</t>
  </si>
  <si>
    <t>Hana</t>
  </si>
  <si>
    <t>Taman Surya Kencana blok Venus E 10</t>
  </si>
  <si>
    <t>Grogol</t>
  </si>
  <si>
    <t>089667334932</t>
  </si>
  <si>
    <t>12.10</t>
  </si>
  <si>
    <t>Dekat rumah</t>
  </si>
  <si>
    <t>Kursi perlu ditambah</t>
  </si>
  <si>
    <t>Ari Purnomo</t>
  </si>
  <si>
    <t>Jl Satria Kavling RT08 RW04</t>
  </si>
  <si>
    <t>081330861499</t>
  </si>
  <si>
    <t>12.26</t>
  </si>
  <si>
    <t>Sania</t>
  </si>
  <si>
    <t>Kedayon RT18 RW5</t>
  </si>
  <si>
    <t>087864399697</t>
  </si>
  <si>
    <t>12 31</t>
  </si>
  <si>
    <t>Adi Yuli Ponco Susilo</t>
  </si>
  <si>
    <t>Desa Boro RT4 RW2</t>
  </si>
  <si>
    <t>083849577770</t>
  </si>
  <si>
    <t>Febriana</t>
  </si>
  <si>
    <t>Kali Pecabean RT1 RW5</t>
  </si>
  <si>
    <t>089529806615</t>
  </si>
  <si>
    <t>13.02</t>
  </si>
  <si>
    <t>Lebih cepat lagi</t>
  </si>
  <si>
    <t>Edvan Rizkyanto</t>
  </si>
  <si>
    <t>Desa Cangkring RT7 RW2</t>
  </si>
  <si>
    <t>085231642015</t>
  </si>
  <si>
    <t>13.28</t>
  </si>
  <si>
    <t>Cukup cepat</t>
  </si>
  <si>
    <t>Maulana Andana</t>
  </si>
  <si>
    <t>Desa Boro RT14 RW03</t>
  </si>
  <si>
    <t>089676211764</t>
  </si>
  <si>
    <t>14.06</t>
  </si>
  <si>
    <t>Sudah cepat</t>
  </si>
  <si>
    <t>Arya Yoga Pratama</t>
  </si>
  <si>
    <t>Desa Gebang RT04 RW01</t>
  </si>
  <si>
    <t>0881036818218</t>
  </si>
  <si>
    <t>14.12</t>
  </si>
  <si>
    <t>Saifudin</t>
  </si>
  <si>
    <t>Desa cendoro RT05 RW05</t>
  </si>
  <si>
    <t>Palang</t>
  </si>
  <si>
    <t>087740262875</t>
  </si>
  <si>
    <t>14.19</t>
  </si>
  <si>
    <t>Nabila Marsyanda</t>
  </si>
  <si>
    <t>Balongbendo RT 07/ Rw 01</t>
  </si>
  <si>
    <t>087752184298</t>
  </si>
  <si>
    <t>08.29-08.40</t>
  </si>
  <si>
    <t>Tidak ada sudah baik</t>
  </si>
  <si>
    <t>Sudah cukub</t>
  </si>
  <si>
    <t>Sutiyowati</t>
  </si>
  <si>
    <t>Jl. Airlangga rt 06 / rw 18</t>
  </si>
  <si>
    <t>085704114775</t>
  </si>
  <si>
    <t>09.48-10.00</t>
  </si>
  <si>
    <t>50</t>
  </si>
  <si>
    <t>Kalau bisa semua petugas harus ramah karena kita sebagai orang awam butuh pengarahan</t>
  </si>
  <si>
    <t>Slamet Wardoyo</t>
  </si>
  <si>
    <t>Sambiroto RT 23/RW 04</t>
  </si>
  <si>
    <t>081934684965</t>
  </si>
  <si>
    <t>10.19-10.32</t>
  </si>
  <si>
    <t>Frelance marketing</t>
  </si>
  <si>
    <t>Tidak ada saran karena sudah baik</t>
  </si>
  <si>
    <t>Rafa Naura A</t>
  </si>
  <si>
    <t>Cemengkalang Rt 05/ Rw 02</t>
  </si>
  <si>
    <t>088989329557</t>
  </si>
  <si>
    <t>10.35-10.45</t>
  </si>
  <si>
    <t>Pelatih Renang</t>
  </si>
  <si>
    <t>Ima</t>
  </si>
  <si>
    <t>Balongdowo Candi RT 02/Rw 03</t>
  </si>
  <si>
    <t>081330577412</t>
  </si>
  <si>
    <t>10.55-11.08</t>
  </si>
  <si>
    <t>30</t>
  </si>
  <si>
    <t>Pascasarjana (S2)</t>
  </si>
  <si>
    <t>Lebih ditingkatkan dan lebih jujur lagi</t>
  </si>
  <si>
    <t>Lebih dipermudah dan cepat lagi</t>
  </si>
  <si>
    <t>Muhammad Yugik</t>
  </si>
  <si>
    <t>Perum Taman Sukodono Regency RT 06 Rw 04</t>
  </si>
  <si>
    <t>081615973277</t>
  </si>
  <si>
    <t>11.10-11.21</t>
  </si>
  <si>
    <t>Istri</t>
  </si>
  <si>
    <t>Lebih dipersiapkan lagi di tes kesehatan bagian no antrian agar urut nomernya</t>
  </si>
  <si>
    <t>Perhatikan sesuai noner antrian agar lebih tertib</t>
  </si>
  <si>
    <t>Alfafa Firdaus E.P</t>
  </si>
  <si>
    <t>Sedati Agung III rt 01 rw 01</t>
  </si>
  <si>
    <t>085765235687</t>
  </si>
  <si>
    <t>11.38 - 11.50</t>
  </si>
  <si>
    <t>Kurang petunjuk atau pengarahan setelah proses satu ke selanjutnya</t>
  </si>
  <si>
    <t>Kurangnya ruang tunggu dan perlu di tambah kursinya</t>
  </si>
  <si>
    <t>Agung Dwi</t>
  </si>
  <si>
    <t>Grabakan</t>
  </si>
  <si>
    <t>0857652356475</t>
  </si>
  <si>
    <t>11.56 - 12.10</t>
  </si>
  <si>
    <t>Suadara</t>
  </si>
  <si>
    <t>Nur Roidotul s.</t>
  </si>
  <si>
    <t>Jl. Kemiri Rt 04 Rw 01</t>
  </si>
  <si>
    <t>082331487544</t>
  </si>
  <si>
    <t>12.12 - 12.25</t>
  </si>
  <si>
    <t>Seharusnya ada estimasi waktu dan kalau bisa lebih sat set</t>
  </si>
  <si>
    <t>Nadien Aulia R</t>
  </si>
  <si>
    <t>Trompo Asri Jabon</t>
  </si>
  <si>
    <t>SIDOARJO</t>
  </si>
  <si>
    <t>Jabon</t>
  </si>
  <si>
    <t>085730577442</t>
  </si>
  <si>
    <t>12.27 - 12.36</t>
  </si>
  <si>
    <t>M. Syaikul F</t>
  </si>
  <si>
    <t>Jl. Kemiri Rt 06 rw 02</t>
  </si>
  <si>
    <t>081335440495</t>
  </si>
  <si>
    <t>12.38 - 12.50</t>
  </si>
  <si>
    <t>Kalau bisa di percepat lagi</t>
  </si>
  <si>
    <t>Maynanda Syafa S.</t>
  </si>
  <si>
    <t>Tambak Rejo</t>
  </si>
  <si>
    <t>089677885250</t>
  </si>
  <si>
    <t>12.52 - 13.09</t>
  </si>
  <si>
    <t>Sudah Cepat</t>
  </si>
  <si>
    <t>Fitri murfatin</t>
  </si>
  <si>
    <t>Tengguluhan RT 10 RW 04</t>
  </si>
  <si>
    <t>082337415767</t>
  </si>
  <si>
    <t>3 juli 2025</t>
  </si>
  <si>
    <t>08.10</t>
  </si>
  <si>
    <t>petugas Bank</t>
  </si>
  <si>
    <t>Maulana</t>
  </si>
  <si>
    <t>Graha pesona Blok G no. 24</t>
  </si>
  <si>
    <t>085158432136</t>
  </si>
  <si>
    <t>13.11 - 13.25</t>
  </si>
  <si>
    <t>Saruli</t>
  </si>
  <si>
    <t>celep RT 02 RW 02</t>
  </si>
  <si>
    <t>081556878507</t>
  </si>
  <si>
    <t>03juli 2025</t>
  </si>
  <si>
    <t>13.00</t>
  </si>
  <si>
    <t>Ahmad ali sani</t>
  </si>
  <si>
    <t>Permata candi loka RT 4 no 4</t>
  </si>
  <si>
    <t>candi</t>
  </si>
  <si>
    <t>0895632185978</t>
  </si>
  <si>
    <t>SPV 02</t>
  </si>
  <si>
    <t>Pegawai bank</t>
  </si>
  <si>
    <t>bagus</t>
  </si>
  <si>
    <t>Maya</t>
  </si>
  <si>
    <t>Dusun Karanglo Driyorejo Rt 03 rw 03</t>
  </si>
  <si>
    <t>Driyorejo</t>
  </si>
  <si>
    <t>0895367382750</t>
  </si>
  <si>
    <t>13.28 - 13.40</t>
  </si>
  <si>
    <t>Fara tanwirotul Amalia</t>
  </si>
  <si>
    <t>jl saman hudi 368 RT 14 RW 03</t>
  </si>
  <si>
    <t>085607393561</t>
  </si>
  <si>
    <t>ruangan di perbesar</t>
  </si>
  <si>
    <t>Kadianto harun</t>
  </si>
  <si>
    <t>Jenggolo 2 no 25</t>
  </si>
  <si>
    <t>083172014134</t>
  </si>
  <si>
    <t>03 juli 2025</t>
  </si>
  <si>
    <t>Ruangan di perluas</t>
  </si>
  <si>
    <t>M nur rokim</t>
  </si>
  <si>
    <t>Dusun bahar RT 15 RW 08</t>
  </si>
  <si>
    <t>081999098159</t>
  </si>
  <si>
    <t>09.15</t>
  </si>
  <si>
    <t>nyaman</t>
  </si>
  <si>
    <t>Kuswanto</t>
  </si>
  <si>
    <t>Cangkring RT 25 RW 01</t>
  </si>
  <si>
    <t>085892157911</t>
  </si>
  <si>
    <t>Belinda</t>
  </si>
  <si>
    <t>Pondok Mutiara</t>
  </si>
  <si>
    <t>082228333255</t>
  </si>
  <si>
    <t>3 Juli 2025</t>
  </si>
  <si>
    <t>24TH</t>
  </si>
  <si>
    <t>Ujian praktek sim a tenda keci, kalau bisa tempat tenda agak besar agar tidak kehujanan</t>
  </si>
  <si>
    <t>M Ramadhani Pratama</t>
  </si>
  <si>
    <t>Perum TNI AL</t>
  </si>
  <si>
    <t>081333526784</t>
  </si>
  <si>
    <t>11.55</t>
  </si>
  <si>
    <t>Lebih Responship</t>
  </si>
  <si>
    <t>Cukup ramah perlu ditingkatkan</t>
  </si>
  <si>
    <t>Lebih banyak di kasih kursi</t>
  </si>
  <si>
    <t>Untuk polresta sidoarjo semoga lebih maju</t>
  </si>
  <si>
    <t>Zakia</t>
  </si>
  <si>
    <t>Sukodono Rt 51 rw14</t>
  </si>
  <si>
    <t>081231769024</t>
  </si>
  <si>
    <t>3 Juni 2025</t>
  </si>
  <si>
    <t>Cukup sudah bagus</t>
  </si>
  <si>
    <t>Pegawainya kurang untuk menangani masyarakat di saat full</t>
  </si>
  <si>
    <t>Salsabilla aliapasa</t>
  </si>
  <si>
    <t>Ds. wilayut</t>
  </si>
  <si>
    <t>088228417077</t>
  </si>
  <si>
    <t>Layanan SPKT semoga dipercepat kasusnya</t>
  </si>
  <si>
    <t>M Yusuf sifaudin</t>
  </si>
  <si>
    <t>085930993502</t>
  </si>
  <si>
    <t>Lebih sabar</t>
  </si>
  <si>
    <t>Hummam almahi</t>
  </si>
  <si>
    <t>Kebonagung</t>
  </si>
  <si>
    <t>081225923578</t>
  </si>
  <si>
    <t>11:18</t>
  </si>
  <si>
    <t>Istigfar yanradiktyar</t>
  </si>
  <si>
    <t>Losari rt 6 rw 3</t>
  </si>
  <si>
    <t>0895327408183</t>
  </si>
  <si>
    <t>13.54</t>
  </si>
  <si>
    <t>28TH</t>
  </si>
  <si>
    <t>Tidak ada cukup baik</t>
  </si>
  <si>
    <t>Ranu Fernanda</t>
  </si>
  <si>
    <t>Ds Takeran</t>
  </si>
  <si>
    <t>Magetan</t>
  </si>
  <si>
    <t>Takeran</t>
  </si>
  <si>
    <t>83456787945</t>
  </si>
  <si>
    <t>11:28</t>
  </si>
  <si>
    <t>Tahu sendiri</t>
  </si>
  <si>
    <t>Dimas Kushanafi</t>
  </si>
  <si>
    <t>Masangan kulon</t>
  </si>
  <si>
    <t>085675435461</t>
  </si>
  <si>
    <t>12:16</t>
  </si>
  <si>
    <t>Mimin Wahyudi</t>
  </si>
  <si>
    <t>Ds Anggaswangi</t>
  </si>
  <si>
    <t>083849787594</t>
  </si>
  <si>
    <t>03/07/2025</t>
  </si>
  <si>
    <t>09:16</t>
  </si>
  <si>
    <t>Parkir kurang luas</t>
  </si>
  <si>
    <t>harus ada petugas yang menata parkiran</t>
  </si>
  <si>
    <t>Nunik hidayati</t>
  </si>
  <si>
    <t>pekarungan</t>
  </si>
  <si>
    <t>Sidaorjo</t>
  </si>
  <si>
    <t>083845765131</t>
  </si>
  <si>
    <t>09:29</t>
  </si>
  <si>
    <t>Nur sahid</t>
  </si>
  <si>
    <t>Desa banjar kemantren RT 03 RW 01</t>
  </si>
  <si>
    <t>081553890705</t>
  </si>
  <si>
    <t>09.21</t>
  </si>
  <si>
    <t>53</t>
  </si>
  <si>
    <t>Saran untuk menyediakan mesin foto copy karena foto copy terlalu jauh dari lokasi polsek</t>
  </si>
  <si>
    <t>Fitrotin Ma'ziyah</t>
  </si>
  <si>
    <t>Jl. Marsidin RT 08 RW 02</t>
  </si>
  <si>
    <t>081231822171</t>
  </si>
  <si>
    <t>10.27</t>
  </si>
  <si>
    <t>Perangkat Desa</t>
  </si>
  <si>
    <t>Pegawai Kecamatan</t>
  </si>
  <si>
    <t>Dwi Prasetyo</t>
  </si>
  <si>
    <t>Jl. Siwalanpanji RT 01 RW 03</t>
  </si>
  <si>
    <t>082334668257</t>
  </si>
  <si>
    <t>10.56</t>
  </si>
  <si>
    <t>Mau menjadi TKI</t>
  </si>
  <si>
    <t>Lebih sopan lagi dalam melayani</t>
  </si>
  <si>
    <t>Fikri Firdaus</t>
  </si>
  <si>
    <t>Dsn Klanggri desa sidokerto RT3 RW6</t>
  </si>
  <si>
    <t>082228334450</t>
  </si>
  <si>
    <t>Soemato</t>
  </si>
  <si>
    <t>Siwalan panji, jalan kahauripan group</t>
  </si>
  <si>
    <t>081336887353</t>
  </si>
  <si>
    <t>09.37</t>
  </si>
  <si>
    <t>RT/RW</t>
  </si>
  <si>
    <t>Tokoh desa</t>
  </si>
  <si>
    <t>Sri Utami</t>
  </si>
  <si>
    <t>Desa serang 2</t>
  </si>
  <si>
    <t>Pangung rejo</t>
  </si>
  <si>
    <t>085704175838</t>
  </si>
  <si>
    <t>10.55</t>
  </si>
  <si>
    <t>Sudah melayani dengan baik</t>
  </si>
  <si>
    <t>Zinedine Ahmad Maujahidin</t>
  </si>
  <si>
    <t>Dusun Gedung, desa banjarsari</t>
  </si>
  <si>
    <t>081217718129</t>
  </si>
  <si>
    <t>12.47</t>
  </si>
  <si>
    <t>Ekhwan nur adiri</t>
  </si>
  <si>
    <t>Ds Suruh</t>
  </si>
  <si>
    <t>085357246656</t>
  </si>
  <si>
    <t>09:42</t>
  </si>
  <si>
    <t>Kurang teliti untuk mengisi identitas</t>
  </si>
  <si>
    <t>Nur lailiyah Zulfa</t>
  </si>
  <si>
    <t>Ds cangkringsari</t>
  </si>
  <si>
    <t>081356136112</t>
  </si>
  <si>
    <t>09:09</t>
  </si>
  <si>
    <t>Revita Kamila Devi</t>
  </si>
  <si>
    <t>Ds Kebonaggung</t>
  </si>
  <si>
    <t>0895420854070</t>
  </si>
  <si>
    <t>09:51</t>
  </si>
  <si>
    <t>Ernawan Harianto</t>
  </si>
  <si>
    <t>085755435524</t>
  </si>
  <si>
    <t>4 juli 2025</t>
  </si>
  <si>
    <t>08.08-08.19</t>
  </si>
  <si>
    <t>47th</t>
  </si>
  <si>
    <t>Sangat cukup baik di pertahankan respon cepat</t>
  </si>
  <si>
    <t>Udah tepat</t>
  </si>
  <si>
    <t>Fasilitas cukup bagus</t>
  </si>
  <si>
    <t>Polresta cukup baik</t>
  </si>
  <si>
    <t>Sony</t>
  </si>
  <si>
    <t>Ds Pekarungan</t>
  </si>
  <si>
    <t>088989348000</t>
  </si>
  <si>
    <t>10:05</t>
  </si>
  <si>
    <t>kurangnya Konsunesi antrian pelayanan</t>
  </si>
  <si>
    <t>Ananda Putri Maharani</t>
  </si>
  <si>
    <t>Taman Sarirogo</t>
  </si>
  <si>
    <t>Sumput</t>
  </si>
  <si>
    <t>082334115407</t>
  </si>
  <si>
    <t>Adib Arif Fianto</t>
  </si>
  <si>
    <t>Ds Jogosatru</t>
  </si>
  <si>
    <t>087870531112</t>
  </si>
  <si>
    <t>10:17</t>
  </si>
  <si>
    <t>Nadifa Raudhatul Aisi</t>
  </si>
  <si>
    <t>Sungon rt 26 rw 27</t>
  </si>
  <si>
    <t>0819362789445</t>
  </si>
  <si>
    <t>Mudah</t>
  </si>
  <si>
    <t>Yama Raditya Nurwanto</t>
  </si>
  <si>
    <t>Simokerto</t>
  </si>
  <si>
    <t>085648360393</t>
  </si>
  <si>
    <t>Dita Dwinur Jannah</t>
  </si>
  <si>
    <t>Masangan Kulon</t>
  </si>
  <si>
    <t>089667980812</t>
  </si>
  <si>
    <t>13.23-13.28</t>
  </si>
  <si>
    <t>Orang lain sodara</t>
  </si>
  <si>
    <t>Mungkin lebih ramah dan komunikatif</t>
  </si>
  <si>
    <t>Kursinya goyang2 perlu di ganti yang baru</t>
  </si>
  <si>
    <t>Manjah Nuril</t>
  </si>
  <si>
    <t>Sudimoro</t>
  </si>
  <si>
    <t>085850277990</t>
  </si>
  <si>
    <t>13.36-13.40</t>
  </si>
  <si>
    <t>Cuma antri</t>
  </si>
  <si>
    <t>Sahfira zulf</t>
  </si>
  <si>
    <t>Karah gang 5 5</t>
  </si>
  <si>
    <t>Jambangan</t>
  </si>
  <si>
    <t>081233839142</t>
  </si>
  <si>
    <t>14.00</t>
  </si>
  <si>
    <t>Beli kursi yang baru</t>
  </si>
  <si>
    <t>Achmad samsul bahtiar</t>
  </si>
  <si>
    <t>Bulu</t>
  </si>
  <si>
    <t>Probolinggo</t>
  </si>
  <si>
    <t>Kraksaan</t>
  </si>
  <si>
    <t>089620039500</t>
  </si>
  <si>
    <t>14:06</t>
  </si>
  <si>
    <t>Nyari kerja</t>
  </si>
  <si>
    <t>Waktu pelayanan di teori terlalu lama</t>
  </si>
  <si>
    <t>Kahuripan Nirwana CF9 - 12</t>
  </si>
  <si>
    <t>085336409809</t>
  </si>
  <si>
    <t>04/07/2025</t>
  </si>
  <si>
    <t>10.05</t>
  </si>
  <si>
    <t>Sudah baik, dipertahankan / bisa lebih baik lagi</t>
  </si>
  <si>
    <t>Saran untuk diberikan both untuk jualan materai / kebutuhan perlengkapan, supaya tidak kesulitan cari yg jual jauh akan jadi waktunya tidak bisa cepat</t>
  </si>
  <si>
    <t>menambah booth perlengkapan seperti materai,dll</t>
  </si>
  <si>
    <t>Ivan Egi Diantara</t>
  </si>
  <si>
    <t>Waung</t>
  </si>
  <si>
    <t>Tulungagung</t>
  </si>
  <si>
    <t>Boyolangu</t>
  </si>
  <si>
    <t>087788553153</t>
  </si>
  <si>
    <t>14:12</t>
  </si>
  <si>
    <t>Waktu pelayanan di ruang teori Terlalu lama</t>
  </si>
  <si>
    <t>Evyn Rusdy prasetiyo E</t>
  </si>
  <si>
    <t>Betro</t>
  </si>
  <si>
    <t>089653112437</t>
  </si>
  <si>
    <t>13:53</t>
  </si>
  <si>
    <t>Waktu pelayanan lebih cepat dan tanggap dalam penanganannya</t>
  </si>
  <si>
    <t>Abi Setyo Handoyo</t>
  </si>
  <si>
    <t>Junwangi</t>
  </si>
  <si>
    <t>0881027254593</t>
  </si>
  <si>
    <t>13:41</t>
  </si>
  <si>
    <t>Security</t>
  </si>
  <si>
    <t>Waktu pelayanan di ruang teori terlalu lama</t>
  </si>
  <si>
    <t>Indra Setiawan</t>
  </si>
  <si>
    <t>Ds kepet</t>
  </si>
  <si>
    <t>Madiun</t>
  </si>
  <si>
    <t>Dagangan</t>
  </si>
  <si>
    <t>081770465226</t>
  </si>
  <si>
    <t>12:09</t>
  </si>
  <si>
    <t>Christian Evander A M</t>
  </si>
  <si>
    <t>Banjarbendo</t>
  </si>
  <si>
    <t>082233546882</t>
  </si>
  <si>
    <t>12:55</t>
  </si>
  <si>
    <t>Di tes teori praktek agak lama</t>
  </si>
  <si>
    <t>Moch Arif Handoko</t>
  </si>
  <si>
    <t>KUTISARI SELATAN NO.108-B RT/RW: 004/003, TENGGILIS MEJOYO, KOTA SURABAYA</t>
  </si>
  <si>
    <t>Tenggilis</t>
  </si>
  <si>
    <t>081703454667</t>
  </si>
  <si>
    <t>4 Juli 2025</t>
  </si>
  <si>
    <t>9.20</t>
  </si>
  <si>
    <t>Selalu untk jga kestabilan pelanan kod masyarakat karena di posisi sekarang mnrt sya sudah baik, mungkinharus tetap pertahankan itu dan terus belajar untuk menutupi kukurangan yg timbul di polresta sidoarjo mungkin dnegan kecepatannya dan banyak hal.</t>
  </si>
  <si>
    <t>Pelayanannya sudah ok banget waktu sudah cukup baik</t>
  </si>
  <si>
    <t>Sudah banyak yg sudah di renovasi mulai kamar mandi, mungkin pmbersihan dan peremajaan aja ACnya kurang dingin</t>
  </si>
  <si>
    <t>Fadil Maulana</t>
  </si>
  <si>
    <t>Sukorjo Rt 05 Rw 02</t>
  </si>
  <si>
    <t>08155395348</t>
  </si>
  <si>
    <t>13.27 - 13.40</t>
  </si>
  <si>
    <t>Lebih tanggap lagi</t>
  </si>
  <si>
    <t>Rilla Indah Sari</t>
  </si>
  <si>
    <t>Ds Mulyodadi</t>
  </si>
  <si>
    <t>081236445080</t>
  </si>
  <si>
    <t>12:31</t>
  </si>
  <si>
    <t>Diyari anshari rozak</t>
  </si>
  <si>
    <t>Kureksari</t>
  </si>
  <si>
    <t>085663000127</t>
  </si>
  <si>
    <t>12:37</t>
  </si>
  <si>
    <t>Yedia kusuma putra</t>
  </si>
  <si>
    <t>Wage</t>
  </si>
  <si>
    <t>085810526879</t>
  </si>
  <si>
    <t>11:54</t>
  </si>
  <si>
    <t>Ruang tunggu baca kursi sudah rusak</t>
  </si>
  <si>
    <t>Winda widyasari</t>
  </si>
  <si>
    <t>0895632159628</t>
  </si>
  <si>
    <t>13:30</t>
  </si>
  <si>
    <t>Ruang tunggu di tes teori di perbanyak kursi dan yang nyaman</t>
  </si>
  <si>
    <t>Achmad Ridhwan</t>
  </si>
  <si>
    <t>087895511884</t>
  </si>
  <si>
    <t>13:35</t>
  </si>
  <si>
    <t>Nidya Rahmadita</t>
  </si>
  <si>
    <t>PERUMAHAN GREEN VILLAGE RESIDENCE NO. 28 RT/RW: 038/006, SIDOARJO, SIDOARJO</t>
  </si>
  <si>
    <t>081254517926</t>
  </si>
  <si>
    <t>4 Juni 2025</t>
  </si>
  <si>
    <t>14.47</t>
  </si>
  <si>
    <t>Sudah cukup baik dan di jaga</t>
  </si>
  <si>
    <t>Mario Kent</t>
  </si>
  <si>
    <t>Raya Tenggilis 29</t>
  </si>
  <si>
    <t>Tenggilis Mejoyo</t>
  </si>
  <si>
    <t>08113188599</t>
  </si>
  <si>
    <t>Teman kerja</t>
  </si>
  <si>
    <t>Huda Tri Sukarno</t>
  </si>
  <si>
    <t>Jl Mayjen Supeno RT3 RW3 Berbek</t>
  </si>
  <si>
    <t>Berbek</t>
  </si>
  <si>
    <t>082233276707</t>
  </si>
  <si>
    <t>ORI HARIJONO</t>
  </si>
  <si>
    <t>Sdh bagus, lbh ditingkatkan lagi</t>
  </si>
  <si>
    <t>Rizal Hermawan</t>
  </si>
  <si>
    <t>Graha kota C12 no 1</t>
  </si>
  <si>
    <t>087702958085</t>
  </si>
  <si>
    <t>10.15</t>
  </si>
  <si>
    <t>Sdh bagus tp kadang masih bau asap rokok</t>
  </si>
  <si>
    <t>Umar Hasan</t>
  </si>
  <si>
    <t>Desa Boro RT.01 RW.01</t>
  </si>
  <si>
    <t>Tangulangin</t>
  </si>
  <si>
    <t>081336763998</t>
  </si>
  <si>
    <t>Erwin Novarida Mastiti</t>
  </si>
  <si>
    <t>Perum. Taman Surya kencana, klaster Uranus blok D4</t>
  </si>
  <si>
    <t>081938079999</t>
  </si>
  <si>
    <t>14.27</t>
  </si>
  <si>
    <t>40</t>
  </si>
  <si>
    <t>Sejauh ini semua baik, lebih ditingkatkan</t>
  </si>
  <si>
    <t>Dwi devina</t>
  </si>
  <si>
    <t>Graha mutiara A5/1</t>
  </si>
  <si>
    <t>081358941032</t>
  </si>
  <si>
    <t>11:12</t>
  </si>
  <si>
    <t>Siti nur fadilah</t>
  </si>
  <si>
    <t>Ketintang</t>
  </si>
  <si>
    <t>Gayungan</t>
  </si>
  <si>
    <t>082234556468</t>
  </si>
  <si>
    <t>11:01</t>
  </si>
  <si>
    <t>Ilmina mupida hamzah</t>
  </si>
  <si>
    <t>Ngaban</t>
  </si>
  <si>
    <t>Tanggulain</t>
  </si>
  <si>
    <t>087759738395</t>
  </si>
  <si>
    <t>13:33</t>
  </si>
  <si>
    <t>Febian Adhi Pratama</t>
  </si>
  <si>
    <t>Sambibulu</t>
  </si>
  <si>
    <t>087857279589</t>
  </si>
  <si>
    <t>14:11</t>
  </si>
  <si>
    <t>Dwi Saputra</t>
  </si>
  <si>
    <t>Taman sukodono regency cluster 1 blok VI</t>
  </si>
  <si>
    <t>085973300122</t>
  </si>
  <si>
    <t>11.30 - 11.40</t>
  </si>
  <si>
    <t>Datang langsung</t>
  </si>
  <si>
    <t>Lebih ditingkatkan kuatitasnya dan di pertahankankan kualitasnya</t>
  </si>
  <si>
    <t>Pelayanan publik lebih di perbanyak atau bisa mobile (tidak hanya di satu tempat )</t>
  </si>
  <si>
    <t>Yandi Hermanto</t>
  </si>
  <si>
    <t>Kepuh harjo</t>
  </si>
  <si>
    <t>Malang</t>
  </si>
  <si>
    <t>Karang Ploso</t>
  </si>
  <si>
    <t>08819338109</t>
  </si>
  <si>
    <t>17.02</t>
  </si>
  <si>
    <t>Pimpinan &amp; teman ditempat kerja</t>
  </si>
  <si>
    <t>Tidak ada, sudah bagus</t>
  </si>
  <si>
    <t>Bagus proses tidak berbelit-belit</t>
  </si>
  <si>
    <t>Perlu ada perluasan ruang tunggu / ditambah kursi tunggu</t>
  </si>
  <si>
    <t>Anis Nurhasanah</t>
  </si>
  <si>
    <t>Macan mati Rt 14 / rw 03</t>
  </si>
  <si>
    <t>083144553100</t>
  </si>
  <si>
    <t>12.58 - 13.10</t>
  </si>
  <si>
    <t>Polsek porong</t>
  </si>
  <si>
    <t>Ririn Farida</t>
  </si>
  <si>
    <t>Kedung solo</t>
  </si>
  <si>
    <t>082264467100</t>
  </si>
  <si>
    <t>13:37</t>
  </si>
  <si>
    <t>Tempat kerja</t>
  </si>
  <si>
    <t>Lebih cepat di tesnya ( tes tulis)</t>
  </si>
  <si>
    <t>Panji B Pamungkas</t>
  </si>
  <si>
    <t>Graha kota A1-03</t>
  </si>
  <si>
    <t>082111881158</t>
  </si>
  <si>
    <t>17.10</t>
  </si>
  <si>
    <t>Inisiatif sendiri &amp; keluarga</t>
  </si>
  <si>
    <t>Saran saat proses awal TKP dilaksanakan dengan maksimal / lebih teliti.</t>
  </si>
  <si>
    <t>Masa tunggu cukup lama saat menuju proses BAP kalau bisa lebih cepat, terutama saat malam hari dengan ada petugas yg stanby</t>
  </si>
  <si>
    <t>Pada saat laporan awal diwaktu malam ruangan bau rokok, jadi saran untuk petugas yang merokok baik nya tidak di dalam ruangan</t>
  </si>
  <si>
    <t>Sutri Laksito</t>
  </si>
  <si>
    <t>Pagerwojo</t>
  </si>
  <si>
    <t>085725374456</t>
  </si>
  <si>
    <t>13.20 - 13.38</t>
  </si>
  <si>
    <t>Kalau bisa jam oprasionalnya di perpanjang untuk pelayanan di luar jm kerja.</t>
  </si>
  <si>
    <t>menambah jam pelayanan</t>
  </si>
  <si>
    <t>Achmad fachri pradana</t>
  </si>
  <si>
    <t>Kludan</t>
  </si>
  <si>
    <t>081228157363</t>
  </si>
  <si>
    <t>Lebiih cepat (efisien)</t>
  </si>
  <si>
    <t>Revin seki titan</t>
  </si>
  <si>
    <t>Dsn kerawang</t>
  </si>
  <si>
    <t>Trenggalek</t>
  </si>
  <si>
    <t>Watulimo</t>
  </si>
  <si>
    <t>087778043691</t>
  </si>
  <si>
    <t>14.10-14.15</t>
  </si>
  <si>
    <t>Perilakunya lebih aopan lagi</t>
  </si>
  <si>
    <t>Sudah bagus tes psikolog lebih bagus lagi</t>
  </si>
  <si>
    <t>Fenny putri</t>
  </si>
  <si>
    <t>Perum bumi cabean asri k2 no.30</t>
  </si>
  <si>
    <t>0895336971778</t>
  </si>
  <si>
    <t>13.58 - 14.08</t>
  </si>
  <si>
    <t>Petugas yang berjaga di depan agar lebih memperhatikan pengunjung, mungkin bisa di tambah petugas yang berjaga di depan.</t>
  </si>
  <si>
    <t>Dimas bayu siswanto</t>
  </si>
  <si>
    <t>Balong mojo</t>
  </si>
  <si>
    <t>Gedung ombo</t>
  </si>
  <si>
    <t>0895324988058</t>
  </si>
  <si>
    <t>12:01</t>
  </si>
  <si>
    <t>Azril nazhir ahmad</t>
  </si>
  <si>
    <t>Sidokerto</t>
  </si>
  <si>
    <t>085706412702</t>
  </si>
  <si>
    <t>14:07</t>
  </si>
  <si>
    <t>Kenalan</t>
  </si>
  <si>
    <t>Tempat Praktek diperbanyak lagi</t>
  </si>
  <si>
    <t>Syahid aji Gunawan</t>
  </si>
  <si>
    <t>Sepande</t>
  </si>
  <si>
    <t>085731213820</t>
  </si>
  <si>
    <t>Nur Cholis</t>
  </si>
  <si>
    <t>Semambung</t>
  </si>
  <si>
    <t>085606398099</t>
  </si>
  <si>
    <t>14.10 - 14.20</t>
  </si>
  <si>
    <t>Chrisabel ayu nahistyo</t>
  </si>
  <si>
    <t>Tropodo</t>
  </si>
  <si>
    <t>0813590172482</t>
  </si>
  <si>
    <t>Belum Kerja</t>
  </si>
  <si>
    <t>Ayah sendiri</t>
  </si>
  <si>
    <t>Ari purwomo</t>
  </si>
  <si>
    <t>081281059008</t>
  </si>
  <si>
    <t>Eva riana D</t>
  </si>
  <si>
    <t>14.44 - 14.55</t>
  </si>
  <si>
    <t>Langsung datang ke polres</t>
  </si>
  <si>
    <t>Bakhra virdani Padhisyah</t>
  </si>
  <si>
    <t>Sukorejo</t>
  </si>
  <si>
    <t>088215992165</t>
  </si>
  <si>
    <t>13:23</t>
  </si>
  <si>
    <t>Entertainer</t>
  </si>
  <si>
    <t>Entetainer</t>
  </si>
  <si>
    <t>Polsek</t>
  </si>
  <si>
    <t>Ibnu hambal</t>
  </si>
  <si>
    <t>Jl. kenanga RT 13 RW 06</t>
  </si>
  <si>
    <t>085815864961</t>
  </si>
  <si>
    <t>18.16</t>
  </si>
  <si>
    <t>Putri aisyah ramadhani</t>
  </si>
  <si>
    <t>Tebel</t>
  </si>
  <si>
    <t>08819780268</t>
  </si>
  <si>
    <t>di tingkatkan lagi pelayan sarana dan prasarana</t>
  </si>
  <si>
    <t>Nur haliamatus sa'diah</t>
  </si>
  <si>
    <t>Kesambi</t>
  </si>
  <si>
    <t>081231747161</t>
  </si>
  <si>
    <t>Ruang tunggu kurang banyak</t>
  </si>
  <si>
    <t>DrH Dwi budhi raharjo</t>
  </si>
  <si>
    <t>Peruntas 4 regency blok o7 no 16</t>
  </si>
  <si>
    <t>081259513344</t>
  </si>
  <si>
    <t>17.00</t>
  </si>
  <si>
    <t>Dokter</t>
  </si>
  <si>
    <t>lebih di tingkatkan</t>
  </si>
  <si>
    <t>lebih respontatif</t>
  </si>
  <si>
    <t>Siti mariyam</t>
  </si>
  <si>
    <t>jl Pemuda RT 12 RW 06 juwet,kenongo</t>
  </si>
  <si>
    <t>085233903474</t>
  </si>
  <si>
    <t>18.00</t>
  </si>
  <si>
    <t>Moh Arief</t>
  </si>
  <si>
    <t>GPH p28 Wedoro klurak</t>
  </si>
  <si>
    <t>08123384992</t>
  </si>
  <si>
    <t>14.30</t>
  </si>
  <si>
    <t>Saiful bakrie</t>
  </si>
  <si>
    <t>Ponpes darul Fallah bendo mungal RT 01 RW 01</t>
  </si>
  <si>
    <t>081230409136</t>
  </si>
  <si>
    <t>07.30</t>
  </si>
  <si>
    <t>Haris Musa</t>
  </si>
  <si>
    <t>jl melati 151 lampuk,</t>
  </si>
  <si>
    <t>Pasuruan</t>
  </si>
  <si>
    <t>Pandaan</t>
  </si>
  <si>
    <t>0811353467</t>
  </si>
  <si>
    <t>52</t>
  </si>
  <si>
    <t>A. FAIQUL MUHIBBIN</t>
  </si>
  <si>
    <t>Ds. Glagah Arum RT. 08/02</t>
  </si>
  <si>
    <t>087776656689</t>
  </si>
  <si>
    <t>12.16</t>
  </si>
  <si>
    <t>DION DWI PRASETYO</t>
  </si>
  <si>
    <t>Asrama Kikaf III TSC Sarirejo</t>
  </si>
  <si>
    <t>082230094836</t>
  </si>
  <si>
    <t>03 Juli 2025</t>
  </si>
  <si>
    <t>TNI</t>
  </si>
  <si>
    <t>AGUNG TRIWIBOWO</t>
  </si>
  <si>
    <t>Ds. Alastuwo TT. 02/01</t>
  </si>
  <si>
    <t>Poncol</t>
  </si>
  <si>
    <t>---</t>
  </si>
  <si>
    <t>ASDADI ALMARWAJI</t>
  </si>
  <si>
    <t>Ds. Tebel Timur RT. 06/06</t>
  </si>
  <si>
    <t>085733617186</t>
  </si>
  <si>
    <t>12.06</t>
  </si>
  <si>
    <t>35</t>
  </si>
  <si>
    <t>Sidah baik</t>
  </si>
  <si>
    <t>Keluarnya perizinan jangan terlalu mepet</t>
  </si>
  <si>
    <t>Biaya komsumsi pengamanan sebaiknya tidak dimintakan ke panitia</t>
  </si>
  <si>
    <t>DONY SETIAWAN</t>
  </si>
  <si>
    <t>Jl. Jati 01 Ds. Ngampelsari RT 02/02</t>
  </si>
  <si>
    <t>081233456663</t>
  </si>
  <si>
    <t>04 Juli 2025</t>
  </si>
  <si>
    <t>HARTONO</t>
  </si>
  <si>
    <t>Ds. Ngampelsari RT. 02/02</t>
  </si>
  <si>
    <t>08885904595</t>
  </si>
  <si>
    <t>18.41</t>
  </si>
  <si>
    <t>Toilet perlu ditambah</t>
  </si>
  <si>
    <t>menambah toilet</t>
  </si>
  <si>
    <t>NILA SISWANTI</t>
  </si>
  <si>
    <t>Ds. Semampir RT. 08 RW. 04</t>
  </si>
  <si>
    <t>085608428390</t>
  </si>
  <si>
    <t>17.07</t>
  </si>
  <si>
    <t>Pelayanannya mohon dipercepat</t>
  </si>
  <si>
    <t>HERI PRIONO</t>
  </si>
  <si>
    <t>Tropodo Asri I-C/36</t>
  </si>
  <si>
    <t>Sodoarjo</t>
  </si>
  <si>
    <t>0812358975</t>
  </si>
  <si>
    <t>10.36</t>
  </si>
  <si>
    <t>Waktu prosesnya dipercepat/dipersingkat</t>
  </si>
  <si>
    <t>DWI ASTUTI</t>
  </si>
  <si>
    <t>Taman Barat RT. 05/01</t>
  </si>
  <si>
    <t>089529807126</t>
  </si>
  <si>
    <t>19.17</t>
  </si>
  <si>
    <t>ART</t>
  </si>
  <si>
    <t>NUKE FADILAH MALIK ARIZONA</t>
  </si>
  <si>
    <t>Ds. Kalijaten RT. 13/02</t>
  </si>
  <si>
    <t>087860097041</t>
  </si>
  <si>
    <t>18.30</t>
  </si>
  <si>
    <t>Lebih responsif kalau ditanya dan mau memberikan penjelasan tahapan prosesnya</t>
  </si>
  <si>
    <t>Lebih efisien waktu dan proses</t>
  </si>
  <si>
    <t>----</t>
  </si>
  <si>
    <t>YUYUN YUNIARTININGSIH</t>
  </si>
  <si>
    <t>Ds. Ganggang Panjang 01/01</t>
  </si>
  <si>
    <t>085772061878</t>
  </si>
  <si>
    <t>17.27</t>
  </si>
  <si>
    <t>AC kurang dingin</t>
  </si>
  <si>
    <t>NOVI IKA RANI</t>
  </si>
  <si>
    <t>Dsn. Corogo Ds. Janti 02/01</t>
  </si>
  <si>
    <t>Jogoroto</t>
  </si>
  <si>
    <t>081553730636</t>
  </si>
  <si>
    <t>Adik</t>
  </si>
  <si>
    <t>Lebih efisien waktu, prosesnya dipercepat</t>
  </si>
  <si>
    <t>Menyediakan konsumsi untuk pelapor karena prosesnya lama</t>
  </si>
  <si>
    <t>LAMRUMATA ITA IDA</t>
  </si>
  <si>
    <t>Bumi Citra Fajar Ds. Sekarwangi 40/07</t>
  </si>
  <si>
    <t>08113141960</t>
  </si>
  <si>
    <t>09.40</t>
  </si>
  <si>
    <t>Kerabat</t>
  </si>
  <si>
    <t>Petugas seharusnya netral dan punya empati kepada pelapor sebagai korban</t>
  </si>
  <si>
    <t>Proses tdk berjalan jika tidak ada sikap proaktif dari pelapor</t>
  </si>
  <si>
    <t>RAHMAD HIDAYAT</t>
  </si>
  <si>
    <t>Jl. Jati Selatan RT. 02/01</t>
  </si>
  <si>
    <t>085646946501</t>
  </si>
  <si>
    <t>09.22</t>
  </si>
  <si>
    <t>JANUAR MAULANA</t>
  </si>
  <si>
    <t>Ds. Pagertanjung RT. 02/02</t>
  </si>
  <si>
    <t>Ploso</t>
  </si>
  <si>
    <t>08563402037</t>
  </si>
  <si>
    <t>Prosesnya terlalu lama dan harus dipanggil berulang ulang</t>
  </si>
  <si>
    <t>RIZKA LINGGA RANI</t>
  </si>
  <si>
    <t>Ds. Sambungrejo RT. 21/09</t>
  </si>
  <si>
    <t>085732564420</t>
  </si>
  <si>
    <t>16.48</t>
  </si>
  <si>
    <t>Pelayanan harusnya berdasarkan antrian laporan yang masuk. Petugas menginformasikan tahapan proses tanpa nunggu pelapor proaktif bertanya lebih dulu</t>
  </si>
  <si>
    <t>DARTI</t>
  </si>
  <si>
    <t>Ds. Kwangsan Rt. 04/02</t>
  </si>
  <si>
    <t>085935345635</t>
  </si>
  <si>
    <t>19.01</t>
  </si>
  <si>
    <t>ANWAR ROCHID</t>
  </si>
  <si>
    <t>Ds. Beciro RT. 06/02</t>
  </si>
  <si>
    <t>082232423889</t>
  </si>
  <si>
    <t>15.28</t>
  </si>
  <si>
    <t>Proses dipersingkat/dipercepat karena agar tidak selalu sering meninggalkan kerja</t>
  </si>
  <si>
    <t>Krijadianto</t>
  </si>
  <si>
    <t>Sumber rejo RT 08 RW 02</t>
  </si>
  <si>
    <t>081233844157</t>
  </si>
  <si>
    <t>5 juli 2025</t>
  </si>
  <si>
    <t>09.00</t>
  </si>
  <si>
    <t>si percepat</t>
  </si>
  <si>
    <t>Abu amar</t>
  </si>
  <si>
    <t>Dusun ngangin RT 04 RW 02</t>
  </si>
  <si>
    <t>085100679232</t>
  </si>
  <si>
    <t>05 juli 2025</t>
  </si>
  <si>
    <t>proses di percepat</t>
  </si>
  <si>
    <t>Ainur djarod</t>
  </si>
  <si>
    <t>Jl driyorejo</t>
  </si>
  <si>
    <t>Gersik</t>
  </si>
  <si>
    <t>+62 812-3536-2141</t>
  </si>
  <si>
    <t>Svy 09</t>
  </si>
  <si>
    <t>11 53</t>
  </si>
  <si>
    <t>Sudah mantap</t>
  </si>
  <si>
    <t>Dinushakan ada ruangan khusus pada waktu menangani kasus</t>
  </si>
  <si>
    <t>Anggara Putra Wiramita</t>
  </si>
  <si>
    <t>Manukan mukti</t>
  </si>
  <si>
    <t>Kota Surabaya</t>
  </si>
  <si>
    <t>Tandes</t>
  </si>
  <si>
    <t>081232959918</t>
  </si>
  <si>
    <t>06/07/2025</t>
  </si>
  <si>
    <t>09.38</t>
  </si>
  <si>
    <t>Sudah bagus, kualitas tetap dipertahankan kualitasnya</t>
  </si>
  <si>
    <t>Saran untuk ditingkatkan pelayanan melalui proses digitalisasi</t>
  </si>
  <si>
    <t>Aris Puji Purnomo</t>
  </si>
  <si>
    <t>Dam Grogol RT 01 Rw 02</t>
  </si>
  <si>
    <t>085856188644</t>
  </si>
  <si>
    <t>06 Juli 2025</t>
  </si>
  <si>
    <t>11.04-11.15</t>
  </si>
  <si>
    <t>Semoga semakin jaya dan semakin baik</t>
  </si>
  <si>
    <t>Dessy Matheldatje</t>
  </si>
  <si>
    <t>Perum Palem Pertiwi blok N/40</t>
  </si>
  <si>
    <t>Menganti</t>
  </si>
  <si>
    <t>081252303078</t>
  </si>
  <si>
    <t>10.01-10.11</t>
  </si>
  <si>
    <t>Dari Polres pasuruan disuruh ke polres sidoarjo</t>
  </si>
  <si>
    <t>Tidak ada saran Sudah cukup bagus</t>
  </si>
  <si>
    <t>Sudah bagus untuk sarananya</t>
  </si>
  <si>
    <t>Saidatul Jannah</t>
  </si>
  <si>
    <t>Desa Buaran, Kebo guyang RT. 03 RW.09</t>
  </si>
  <si>
    <t>083849504573</t>
  </si>
  <si>
    <t>16.15</t>
  </si>
  <si>
    <t>Petrus silvester ambarita S.H., M.H</t>
  </si>
  <si>
    <t>Ds sumokali</t>
  </si>
  <si>
    <t>082231297780</t>
  </si>
  <si>
    <t>05/07/2025</t>
  </si>
  <si>
    <t>Di tingkatkan lagi pelayanannya dan yang penting bersih semua</t>
  </si>
  <si>
    <t>Sholeh Efendi</t>
  </si>
  <si>
    <t>jl Talang RT 02 RW 03 Mojo duwur, Mojowarno</t>
  </si>
  <si>
    <t>Mojo warno</t>
  </si>
  <si>
    <t>085646464009</t>
  </si>
  <si>
    <t>07 juli 2025</t>
  </si>
  <si>
    <t>16.00</t>
  </si>
  <si>
    <t>di tingkatkan Polsek agak lama dan ribet</t>
  </si>
  <si>
    <t>Jl dsn suruh RT12 RW 3</t>
  </si>
  <si>
    <t>0852346554323</t>
  </si>
  <si>
    <t>08 Juli 2025</t>
  </si>
  <si>
    <t>12.31</t>
  </si>
  <si>
    <t>Sudah baik sudah bagus ramah dan tidak berbelit-belit</t>
  </si>
  <si>
    <t>Sudah tidak ada</t>
  </si>
  <si>
    <t>Semiga untk pelayanan masyarakat terselesaikan kasusnya</t>
  </si>
  <si>
    <t>Hendria santia santana</t>
  </si>
  <si>
    <t>Delta tiara delta sari baru</t>
  </si>
  <si>
    <t>0811811845</t>
  </si>
  <si>
    <t>08 Juni 2025</t>
  </si>
  <si>
    <t>Harapan dngn banyak kasus permasalahan mungkin di tambah personil</t>
  </si>
  <si>
    <t>Untk saat ini sudah bagus</t>
  </si>
  <si>
    <t>Mngkin pelayanannya sdh bagus perlu ditingkatkan parkirannya</t>
  </si>
  <si>
    <t>Dinda pusdika vinata</t>
  </si>
  <si>
    <t>Tawang sari barat RT 16 RW 04</t>
  </si>
  <si>
    <t>082131344489</t>
  </si>
  <si>
    <t>8 juli 2025</t>
  </si>
  <si>
    <t>perawat</t>
  </si>
  <si>
    <t>Delima cahya Ningrum</t>
  </si>
  <si>
    <t>Oasis vilagge blok c no 2 semampir</t>
  </si>
  <si>
    <t>0856066248229</t>
  </si>
  <si>
    <t>marketing</t>
  </si>
  <si>
    <t>Irma Fachriani</t>
  </si>
  <si>
    <t>Geluran RT 33 RW 03</t>
  </si>
  <si>
    <t>082231663594</t>
  </si>
  <si>
    <t>13.05</t>
  </si>
  <si>
    <t>DP5A</t>
  </si>
  <si>
    <t>Ditambahkan ruang tunggu atau tempat duduk untuk pelayanan dan disediakan bilik. Untuk konsultasi terkait pelayanan</t>
  </si>
  <si>
    <t>Erni</t>
  </si>
  <si>
    <t>Buduran RT 05 RW 07</t>
  </si>
  <si>
    <t>081991597487</t>
  </si>
  <si>
    <t>11.00-11.13</t>
  </si>
  <si>
    <t>Tetap amanah</t>
  </si>
  <si>
    <t>Darmayanti</t>
  </si>
  <si>
    <t>Jenggolo 2 blok H no 109</t>
  </si>
  <si>
    <t>081259838998</t>
  </si>
  <si>
    <t>11.13-11.23</t>
  </si>
  <si>
    <t>Sudah pensiun</t>
  </si>
  <si>
    <t>Orang lain/tetangga</t>
  </si>
  <si>
    <t>Polisi lebih menyatu dengan rakyat</t>
  </si>
  <si>
    <t>Lebih diperbanyak untuk petunjuk" area atau ruangan agar mudah</t>
  </si>
  <si>
    <t>Khusnul</t>
  </si>
  <si>
    <t>Kepatihan RT 01 RW 02</t>
  </si>
  <si>
    <t>085706014633</t>
  </si>
  <si>
    <t>11.24-11.32</t>
  </si>
  <si>
    <t>Kepala desa</t>
  </si>
  <si>
    <t>Lebih semangat lagi dan lebih ditingkatkan</t>
  </si>
  <si>
    <t>Sudah cepat tidak menunggu lama</t>
  </si>
  <si>
    <t>Ruangan lebih diperluas</t>
  </si>
  <si>
    <t>Yuni Wulansari Soedarno</t>
  </si>
  <si>
    <t>Kav.Carik grogol RT 03 RW 02</t>
  </si>
  <si>
    <t>081255566626</t>
  </si>
  <si>
    <t>11.45-11.55</t>
  </si>
  <si>
    <t>Dijaga untuk lebih baik lagi</t>
  </si>
  <si>
    <t>Ratna</t>
  </si>
  <si>
    <t>Cangkringsari RT 16 RW 05</t>
  </si>
  <si>
    <t>082336228797</t>
  </si>
  <si>
    <t>11.33-11.43</t>
  </si>
  <si>
    <t>Lawyer</t>
  </si>
  <si>
    <t>Agar lebih ke jemput bola dan lebih terbuka u masyarakat agar masyarakat tidak takut (lebih edukasi/sosialisasi)</t>
  </si>
  <si>
    <t>Sudah cepat waktunya</t>
  </si>
  <si>
    <t>Ada ruang khusus untuk konseling atau konsultasi agar lebih terjaga privasinya</t>
  </si>
  <si>
    <t>Ian Rudolf Sandari</t>
  </si>
  <si>
    <t>Manukan Kulon Rt. 02 Rw. 09</t>
  </si>
  <si>
    <t>082330093022</t>
  </si>
  <si>
    <t>03</t>
  </si>
  <si>
    <t>04-07-2025</t>
  </si>
  <si>
    <t>10:05 s/d 10:15</t>
  </si>
  <si>
    <t>Tidak Kerja</t>
  </si>
  <si>
    <t>Tidak Ada</t>
  </si>
  <si>
    <t>Lebih fokus kepada kasus masyarakat, jangan mementingkan diri sendiri</t>
  </si>
  <si>
    <t>Henry</t>
  </si>
  <si>
    <t>085232500876</t>
  </si>
  <si>
    <t>9 Juli 2025</t>
  </si>
  <si>
    <t>Pengacara</t>
  </si>
  <si>
    <t>Nurul istidaiyah</t>
  </si>
  <si>
    <t>Pagerwojo RT21 RW5</t>
  </si>
  <si>
    <t>085746450490</t>
  </si>
  <si>
    <t>13 30</t>
  </si>
  <si>
    <t>Serabutan</t>
  </si>
  <si>
    <t>Air mineral ditambah</t>
  </si>
  <si>
    <t>Yahya</t>
  </si>
  <si>
    <t>Jalan ray sidokerto gang telogo RT 02 RW 01</t>
  </si>
  <si>
    <t>085233222933</t>
  </si>
  <si>
    <t>09 Juli 2025</t>
  </si>
  <si>
    <t>Octavia</t>
  </si>
  <si>
    <t>Perum Palem putri blok Y/03</t>
  </si>
  <si>
    <t>08557778111</t>
  </si>
  <si>
    <t>SVY04</t>
  </si>
  <si>
    <t>13.21</t>
  </si>
  <si>
    <t>Zidni</t>
  </si>
  <si>
    <t>Perum Bluru permai siera no 07</t>
  </si>
  <si>
    <t>83831550007</t>
  </si>
  <si>
    <t>Perlu di perlebar untuk ruangan dan juga di tambahkan tempat duduk dan fasilitas AC nya</t>
  </si>
  <si>
    <t>Revi</t>
  </si>
  <si>
    <t>Perum mutiara prima raya blok A nomer 02</t>
  </si>
  <si>
    <t>081225559559</t>
  </si>
  <si>
    <t>Sukrul amin</t>
  </si>
  <si>
    <t>Jalan raya Putat RT 02 RW 01</t>
  </si>
  <si>
    <t>085331920006</t>
  </si>
  <si>
    <t>12.24</t>
  </si>
  <si>
    <t>Yosep</t>
  </si>
  <si>
    <t>Tambak segaran RT2 RW3</t>
  </si>
  <si>
    <t>081231326939</t>
  </si>
  <si>
    <t>12.20</t>
  </si>
  <si>
    <t>Toilet masih kurang</t>
  </si>
  <si>
    <t>Vita Nova</t>
  </si>
  <si>
    <t>Jalan raya Avia nomer 98</t>
  </si>
  <si>
    <t>081235897277</t>
  </si>
  <si>
    <t>Ika sulistya</t>
  </si>
  <si>
    <t>Perumtas III Blok E2/19</t>
  </si>
  <si>
    <t>081283413858</t>
  </si>
  <si>
    <t>Harus bisa menyelesaikan perkara sampai tuntas dan selesai</t>
  </si>
  <si>
    <t>selesaikan perkara sampai tuntas</t>
  </si>
  <si>
    <t>Lukman</t>
  </si>
  <si>
    <t>raya tegal panjang no 34 cibarusa</t>
  </si>
  <si>
    <t>Bekasi</t>
  </si>
  <si>
    <t>Sucinara</t>
  </si>
  <si>
    <t>081224613821</t>
  </si>
  <si>
    <t>11.17</t>
  </si>
  <si>
    <t>Hidayatul maulidya</t>
  </si>
  <si>
    <t>Desa Ponco kusumo RT2 RW10</t>
  </si>
  <si>
    <t>Ponco kusumo</t>
  </si>
  <si>
    <t>08563399384</t>
  </si>
  <si>
    <t>Tidak ada , sudah bagus</t>
  </si>
  <si>
    <t>Tika Titiana asri</t>
  </si>
  <si>
    <t>Perum mutiara AE no 7</t>
  </si>
  <si>
    <t>Jati</t>
  </si>
  <si>
    <t>081234315717</t>
  </si>
  <si>
    <t>13.30</t>
  </si>
  <si>
    <t>Parkir perlu ditambah</t>
  </si>
  <si>
    <t>Tri sayekti</t>
  </si>
  <si>
    <t>Jl sunan jasmin sumberrejo</t>
  </si>
  <si>
    <t>082336232241</t>
  </si>
  <si>
    <t>14.25</t>
  </si>
  <si>
    <t>Dari teman</t>
  </si>
  <si>
    <t>Jihantsumia</t>
  </si>
  <si>
    <t>Bokor 8 no 10</t>
  </si>
  <si>
    <t>Gubeng</t>
  </si>
  <si>
    <t>082131603187</t>
  </si>
  <si>
    <t>29TH</t>
  </si>
  <si>
    <t>Udah bagus dan puas kinerja sudah sesuai harapan di tingkatkan saja kedepannya</t>
  </si>
  <si>
    <t>Johana dwiastuti</t>
  </si>
  <si>
    <t>Gubeng Kertajaya 5E 31</t>
  </si>
  <si>
    <t>Surbaya</t>
  </si>
  <si>
    <t>Gubeng kertajaya</t>
  </si>
  <si>
    <t>085186666700</t>
  </si>
  <si>
    <t>19 Juli 2025</t>
  </si>
  <si>
    <t>12.04</t>
  </si>
  <si>
    <t>Waktunya kalau hari libur selaulu melayani</t>
  </si>
  <si>
    <t>Ahmad Ghozin shodiqin</t>
  </si>
  <si>
    <t>Kahuripan</t>
  </si>
  <si>
    <t>13.06</t>
  </si>
  <si>
    <t>Lebih baik lagi pemberitahun papan pelayanan di perjelas lagi karena kurng jelas</t>
  </si>
  <si>
    <t>Untk ruangan anaknya kurang besar karena banyak yg pelapor dan bawa banyak anak</t>
  </si>
  <si>
    <t>Safitri Anggraini Dewi</t>
  </si>
  <si>
    <t>Perumahan kahuripan nirwana</t>
  </si>
  <si>
    <t>081312222740</t>
  </si>
  <si>
    <t>13.43</t>
  </si>
  <si>
    <t>Sangat cepat pelayanan</t>
  </si>
  <si>
    <t>Harus aja seperti itu cepat dan tanggap agar masyarakat tidak kecewa</t>
  </si>
  <si>
    <t>Yohanita wulndari</t>
  </si>
  <si>
    <t>85102877804</t>
  </si>
  <si>
    <t>17.12</t>
  </si>
  <si>
    <t>Sudah cukup bagus, namun lebih pengen lebih privat saja, jadi kalau ada orang membicarkan permasalahan tidak fokus karena terdengar dengan yg lain</t>
  </si>
  <si>
    <t>Maulana Khusna</t>
  </si>
  <si>
    <t>Jl lawu no 86 kel kolokatan</t>
  </si>
  <si>
    <t>081222224787</t>
  </si>
  <si>
    <t>10 Juli 2025</t>
  </si>
  <si>
    <t>11.28</t>
  </si>
  <si>
    <t>Untk perilaku sdh cukup pelayanan sudah cukup</t>
  </si>
  <si>
    <t>Hanya saja proses dalam waktu prosudural perizinan itu kami menyarakan di persingkat kalau bisa dalam satu pintu.</t>
  </si>
  <si>
    <t>Tidak ada cukup</t>
  </si>
  <si>
    <t>Hari Seo</t>
  </si>
  <si>
    <t>Jl. Melati no. 14, Pelintahan</t>
  </si>
  <si>
    <t>0811353567</t>
  </si>
  <si>
    <t>09.54 - 10.05</t>
  </si>
  <si>
    <t>Tidak ada sudah cukup</t>
  </si>
  <si>
    <t>Santi</t>
  </si>
  <si>
    <t>Pondok jati blok CO nomer 06</t>
  </si>
  <si>
    <t>0811376753</t>
  </si>
  <si>
    <t>16.23</t>
  </si>
  <si>
    <t>Perlu di tambahkan lagi petugas pelayanan</t>
  </si>
  <si>
    <t>Abdul Ghofur</t>
  </si>
  <si>
    <t>jl ki jokotoyo Rt 05 RW 02 Cemandi</t>
  </si>
  <si>
    <t>08233497664</t>
  </si>
  <si>
    <t>10 juli 2025</t>
  </si>
  <si>
    <t>16.03</t>
  </si>
  <si>
    <t>sudah bagus tpi lebih di tingkatkan</t>
  </si>
  <si>
    <t>lbih di percepat</t>
  </si>
  <si>
    <t>Adi</t>
  </si>
  <si>
    <t>Bluru permai blok S nomer 07</t>
  </si>
  <si>
    <t>085157020655</t>
  </si>
  <si>
    <t>18.48</t>
  </si>
  <si>
    <t>Banyak nyamuknya di depan ruangan reskrim perlu di beri alat penghilang nyamuk atau di perbaiki ruangannya agar tertutup</t>
  </si>
  <si>
    <t>Leli siswati</t>
  </si>
  <si>
    <t>Dusun patoman RT 07 RW 03 keboharan</t>
  </si>
  <si>
    <t>082232073854</t>
  </si>
  <si>
    <t>Art</t>
  </si>
  <si>
    <t>Siti masrukha</t>
  </si>
  <si>
    <t>Wonokasian RT 08 RW 03</t>
  </si>
  <si>
    <t>085648667907</t>
  </si>
  <si>
    <t>Fenny</t>
  </si>
  <si>
    <t>08983698133</t>
  </si>
  <si>
    <t>10/07/2025</t>
  </si>
  <si>
    <t>14:37</t>
  </si>
  <si>
    <t>Romi</t>
  </si>
  <si>
    <t>Jl.Sedayu gang 5 no 07</t>
  </si>
  <si>
    <t>Krembangan</t>
  </si>
  <si>
    <t>081259162484</t>
  </si>
  <si>
    <t>Teman di polda jatim</t>
  </si>
  <si>
    <t>Devi</t>
  </si>
  <si>
    <t>Ds prasung</t>
  </si>
  <si>
    <t>087743882055</t>
  </si>
  <si>
    <t>13:57</t>
  </si>
  <si>
    <t>NILAM SARI WAHYUNINGSIH</t>
  </si>
  <si>
    <t>Dsn. Keben RT. 03/01 Ds. Cangkringsari</t>
  </si>
  <si>
    <t>081233975758</t>
  </si>
  <si>
    <t>16.16</t>
  </si>
  <si>
    <t>Polisi seharusnya berempati kepada pelapor sebagai korban</t>
  </si>
  <si>
    <t>FAQTUR ROHMAN PRAYOGA</t>
  </si>
  <si>
    <t>Jl.Ababil 07 Rt.13 Rw.04 Kel.Larangan Kec.Candi Kab.Sidoarjo</t>
  </si>
  <si>
    <t>088803858602</t>
  </si>
  <si>
    <t>17.51</t>
  </si>
  <si>
    <t>Tokoh sesepuh desa</t>
  </si>
  <si>
    <t>Dipertahankan yang sdh baik</t>
  </si>
  <si>
    <t>Alya</t>
  </si>
  <si>
    <t>Perum bumi candi asri blok 06 No 3</t>
  </si>
  <si>
    <t>089503316616</t>
  </si>
  <si>
    <t>Hj. ELIYA NUSHA</t>
  </si>
  <si>
    <t>Ds. Menyanggong Kletek RT. 25/10</t>
  </si>
  <si>
    <t>081217022338</t>
  </si>
  <si>
    <t>Zedin</t>
  </si>
  <si>
    <t>Jalan samanhudi no 60</t>
  </si>
  <si>
    <t>0817334553</t>
  </si>
  <si>
    <t>10 Juli 2024</t>
  </si>
  <si>
    <t>21.21</t>
  </si>
  <si>
    <t>Perlu di buatkan tempat parkir dan di beri penutup atap agar kendaraan tidak terkena sinar matahari langsung</t>
  </si>
  <si>
    <t>Bella</t>
  </si>
  <si>
    <t>Ds kupang</t>
  </si>
  <si>
    <t>089678819885</t>
  </si>
  <si>
    <t>13:49</t>
  </si>
  <si>
    <t>Meningkatkan kemampuan dalam kasus, Memperkuat kerja sama dengan masyarakat</t>
  </si>
  <si>
    <t>Mella</t>
  </si>
  <si>
    <t>Ds krembung</t>
  </si>
  <si>
    <t>082231114639</t>
  </si>
  <si>
    <t>11:46</t>
  </si>
  <si>
    <t>Lebih ditingkatkan lagi kepercayaan kepada masyarakat</t>
  </si>
  <si>
    <t>Nasikhin</t>
  </si>
  <si>
    <t>085730968233</t>
  </si>
  <si>
    <t>11:35</t>
  </si>
  <si>
    <t>Chandra</t>
  </si>
  <si>
    <t>Sumorame</t>
  </si>
  <si>
    <t>081249208064</t>
  </si>
  <si>
    <t>11:22</t>
  </si>
  <si>
    <t>Tetap dipertahankan dalam melayani dengan baik</t>
  </si>
  <si>
    <t>Frida</t>
  </si>
  <si>
    <t>GCA B-6 NO.3</t>
  </si>
  <si>
    <t>08819688271</t>
  </si>
  <si>
    <t>Arini</t>
  </si>
  <si>
    <t>Dsn. Kesemi Ds Gunung Gangsir</t>
  </si>
  <si>
    <t>Beji</t>
  </si>
  <si>
    <t>089658690964</t>
  </si>
  <si>
    <t>10:49</t>
  </si>
  <si>
    <t>untuk penanganannya menjadi lebih baik lagi. semoga polres semakin jaya, tingkatkan kepercayaan kepada masyarakat, semoga semakin baik hubungan polisi dengan masyarakat</t>
  </si>
  <si>
    <t>Farzah rizka abdiana</t>
  </si>
  <si>
    <t>Ds sidodadi</t>
  </si>
  <si>
    <t>10/072025</t>
  </si>
  <si>
    <t>jika ada pengurusan perizinan lebih dipercepat lagi</t>
  </si>
  <si>
    <t>Rindaoedighea</t>
  </si>
  <si>
    <t>081357551958</t>
  </si>
  <si>
    <t>untuk jam pelayanan ditambahi dan untuk petugasnya standbay ditempat</t>
  </si>
  <si>
    <t>Sulami</t>
  </si>
  <si>
    <t>KTT sidoarjo</t>
  </si>
  <si>
    <t>08214093779705</t>
  </si>
  <si>
    <t>10:10</t>
  </si>
  <si>
    <t>dipertahankan dalam melayani masyarakat dengan baik</t>
  </si>
  <si>
    <t>Mochammad rifqi nur azizi</t>
  </si>
  <si>
    <t>Ds pagerwejo</t>
  </si>
  <si>
    <t>082157003566</t>
  </si>
  <si>
    <t>12:28</t>
  </si>
  <si>
    <t>DIan</t>
  </si>
  <si>
    <t>Jatikalang</t>
  </si>
  <si>
    <t>Prambon</t>
  </si>
  <si>
    <t>082291310230</t>
  </si>
  <si>
    <t>14:28</t>
  </si>
  <si>
    <t>Ilyas</t>
  </si>
  <si>
    <t>Jl jendral suparman Gg IV A</t>
  </si>
  <si>
    <t>081234469262</t>
  </si>
  <si>
    <t>Septi</t>
  </si>
  <si>
    <t>14:39</t>
  </si>
  <si>
    <t>Ani</t>
  </si>
  <si>
    <t>085748707825</t>
  </si>
  <si>
    <t>14:13</t>
  </si>
  <si>
    <t>Heny</t>
  </si>
  <si>
    <t>Kupang</t>
  </si>
  <si>
    <t>089530400268</t>
  </si>
  <si>
    <t>kesehatan</t>
  </si>
  <si>
    <t>untuk petugasnya lebih ramah lagi</t>
  </si>
  <si>
    <t>Ds entalsewu</t>
  </si>
  <si>
    <t>Buduruan</t>
  </si>
  <si>
    <t>082244432106</t>
  </si>
  <si>
    <t>14:02</t>
  </si>
  <si>
    <t>Via</t>
  </si>
  <si>
    <t>Pondok jegu indah blok cc-26</t>
  </si>
  <si>
    <t>0895605981109</t>
  </si>
  <si>
    <t>11:52</t>
  </si>
  <si>
    <t>Tina</t>
  </si>
  <si>
    <t>Tangulanggin</t>
  </si>
  <si>
    <t>081242197735</t>
  </si>
  <si>
    <t>11:59</t>
  </si>
  <si>
    <t>freelance</t>
  </si>
  <si>
    <t>untuk informasinya lebih update lagi di medsos</t>
  </si>
  <si>
    <t>Rosa</t>
  </si>
  <si>
    <t>Punggul</t>
  </si>
  <si>
    <t>089661489847</t>
  </si>
  <si>
    <t>12:06</t>
  </si>
  <si>
    <t>Yuying</t>
  </si>
  <si>
    <t>Gempolsari Tanggulangin RT.07 RW.02</t>
  </si>
  <si>
    <t>085854864442</t>
  </si>
  <si>
    <t>10/07/25</t>
  </si>
  <si>
    <t>Yudi</t>
  </si>
  <si>
    <t>Desa Kupang RT.02 RW.04</t>
  </si>
  <si>
    <t>Tabon</t>
  </si>
  <si>
    <t>085730581777</t>
  </si>
  <si>
    <t>11.40</t>
  </si>
  <si>
    <t>Alex</t>
  </si>
  <si>
    <t>Desa larangan RT.05 RW.02</t>
  </si>
  <si>
    <t>081336517388</t>
  </si>
  <si>
    <t>11.54</t>
  </si>
  <si>
    <t>Intan</t>
  </si>
  <si>
    <t>Buduran RT.01 RW.04</t>
  </si>
  <si>
    <t>082141818446</t>
  </si>
  <si>
    <t>12.05</t>
  </si>
  <si>
    <t>Sudah bagus AC dingin</t>
  </si>
  <si>
    <t>Alvi</t>
  </si>
  <si>
    <t>Mager sari, Sidoarjo</t>
  </si>
  <si>
    <t>081238682579</t>
  </si>
  <si>
    <t>12.29</t>
  </si>
  <si>
    <t>Semoga semakin bagus pelayananya kedepan</t>
  </si>
  <si>
    <t>Erik</t>
  </si>
  <si>
    <t>Kampung Sukodono I No.12</t>
  </si>
  <si>
    <t>081703590113</t>
  </si>
  <si>
    <t>15.15</t>
  </si>
  <si>
    <t>Teman perusaan tempat bekerja</t>
  </si>
  <si>
    <t>Tempat duduk ruang tunggu perlu ditambah, karena kalau yang menunggu antrian banyak samapi tidak data Temat duduk</t>
  </si>
  <si>
    <t>Rinda</t>
  </si>
  <si>
    <t>DS. Langkong RT.03 RW.02</t>
  </si>
  <si>
    <t>Mojoanyar</t>
  </si>
  <si>
    <t>15.40</t>
  </si>
  <si>
    <t>Prosedur perizinan, inisiatif sendiri</t>
  </si>
  <si>
    <t>Untuk perizinan bisa melalui tlp, jadi ada no telp dari perizinan yang di publikasikan di media</t>
  </si>
  <si>
    <t>memberi kontak yang bisa dihubungi</t>
  </si>
  <si>
    <t>Jam pelayanan ditambahi Sampek jam 8 malam</t>
  </si>
  <si>
    <t>Yusuf Maulana</t>
  </si>
  <si>
    <t>Jl. raya Ketegan RT 06 RW 02</t>
  </si>
  <si>
    <t>085727062019</t>
  </si>
  <si>
    <t>11 Juli 2025</t>
  </si>
  <si>
    <t>15.06</t>
  </si>
  <si>
    <t>Aditya Rahman</t>
  </si>
  <si>
    <t>Bluru permai</t>
  </si>
  <si>
    <t>081331700207</t>
  </si>
  <si>
    <t>Dipertahankan dan lbh ditingkatkan</t>
  </si>
  <si>
    <t>Kursinya perlu ditambah</t>
  </si>
  <si>
    <t>Yudo Handoko</t>
  </si>
  <si>
    <t>Cipinang atas blok F</t>
  </si>
  <si>
    <t>Jakarta Timur</t>
  </si>
  <si>
    <t>Pulogadung</t>
  </si>
  <si>
    <t>0818888157</t>
  </si>
  <si>
    <t>13.15</t>
  </si>
  <si>
    <t>Kejadian ada di wilayah sidoarjo, itu sebabnya laporannya ke polresta sidoarjo</t>
  </si>
  <si>
    <t>Lebih dibersihkan</t>
  </si>
  <si>
    <t>Amelia Puspasari</t>
  </si>
  <si>
    <t>Istana Residence blok B4 no 29</t>
  </si>
  <si>
    <t>081230341114</t>
  </si>
  <si>
    <t>Lbh dibersihkan aja</t>
  </si>
  <si>
    <t>H Aji Yusup</t>
  </si>
  <si>
    <t>Dukuh sari RT2 RW1</t>
  </si>
  <si>
    <t>081332060123</t>
  </si>
  <si>
    <t>11 juli 2025</t>
  </si>
  <si>
    <t>13.45</t>
  </si>
  <si>
    <t>Sering ke polres sidoarjo</t>
  </si>
  <si>
    <t>Dipertahankan saja</t>
  </si>
  <si>
    <t>Liem Agus Budiman Wijaya</t>
  </si>
  <si>
    <t>Citra Garden blok BH 3 no 7</t>
  </si>
  <si>
    <t>087855498169</t>
  </si>
  <si>
    <t>Nanak</t>
  </si>
  <si>
    <t>Ds. Banjaran Rt. 03 Rw. 03</t>
  </si>
  <si>
    <t>085336415400</t>
  </si>
  <si>
    <t>11.07.2025</t>
  </si>
  <si>
    <t>10:05 s/d 10:14</t>
  </si>
  <si>
    <t>Lebih ontime  dan lebih jelas lagi memberi informasi</t>
  </si>
  <si>
    <t>Vito</t>
  </si>
  <si>
    <t>Urangagung Rt. 07 Rw. 03</t>
  </si>
  <si>
    <t>08315509344</t>
  </si>
  <si>
    <t>15:54 s/d 16:00</t>
  </si>
  <si>
    <t>Gumelar</t>
  </si>
  <si>
    <t>Bluru</t>
  </si>
  <si>
    <t>089676312760</t>
  </si>
  <si>
    <t>18.51 - 19.05</t>
  </si>
  <si>
    <t>Dipertahankan lagi untuk kompetensi petugasnya</t>
  </si>
  <si>
    <t>Di pertahankan lagi untuk pelayanannya</t>
  </si>
  <si>
    <t>Fajar</t>
  </si>
  <si>
    <t>Gamping Rt. 24 Rw. 05</t>
  </si>
  <si>
    <t>082232358346</t>
  </si>
  <si>
    <t>12.07.2025</t>
  </si>
  <si>
    <t>17:02 s/d 17:10</t>
  </si>
  <si>
    <t>Nilai Kepuasan Dimensi Persyaratan</t>
  </si>
  <si>
    <t>Nilai Kepentingan Dimensi Persyaratan</t>
  </si>
  <si>
    <t>Alasan Ketidakpuasan/Ketidakpentingan Dimensi Persyaratan (Jika Nilai 1-3)</t>
  </si>
  <si>
    <t>Nilai Kepuasan Dimensi Prosedur</t>
  </si>
  <si>
    <t>Nilai Kepentingan Dimensi Prosedur</t>
  </si>
  <si>
    <t>Alasan Ketidakpuasan/Ketidakpentingan Dimensi Prosedur (Jika Nilai 1-3)</t>
  </si>
  <si>
    <t>Nilai Kepuasan Dimensi Waktu Pelayanan/Penyelesaian</t>
  </si>
  <si>
    <t>Nilai Kepentingan Dimensi Waktu Pelayanan/Penyelesaian</t>
  </si>
  <si>
    <t>Alasan Ketidakpuasan/Ketidakpentingan Dimensi Waktu Pelayanan / Penyelesaian (Jika Nilai 1-3)</t>
  </si>
  <si>
    <t>Nilai Kepuasan Dimensi Tarif / Biaya</t>
  </si>
  <si>
    <t>Nilai Kepentingan Dimensi Tarif/ Biaya</t>
  </si>
  <si>
    <t>Alasan Ketidakpuasan/Ketidakpentingan Dimensi Tarif / Biaya (Jika Nilai 1-3)</t>
  </si>
  <si>
    <t>Nilai Kepuasan Dimensi Produk Spesifikasi Jenis Layanan</t>
  </si>
  <si>
    <t>Nilai Kepentingan Dimensi Produk Spesifikasi Jenis Layanan</t>
  </si>
  <si>
    <t>Alasan Ketidakpuasan/Ketidakpentingan Dimensi Produk Spesifikasi Jenis Layanan (Jika Nilai 1-3)</t>
  </si>
  <si>
    <t>Nilai Kepuasan Dimensi Kompetensi Pelaksana</t>
  </si>
  <si>
    <t>Nilai Kepentingan Dimensi Kompetensi Pelaksana</t>
  </si>
  <si>
    <t>Alasan Ketidakpuasan/Ketidakpentingan Dimensi Kompetensi Pelaksana</t>
  </si>
  <si>
    <t>Nilai Kepuasan Dimensi Perilaku Pelaksana</t>
  </si>
  <si>
    <t>Nilai Kepentingan Dimensi Perilaku Pelaksana</t>
  </si>
  <si>
    <t>Alasan Ketidakpuasan/Ketidakpentingan Dimensi Perilaku Pelaksana</t>
  </si>
  <si>
    <t>Nilai Kepuasan Dimensi Penanganan Pengaduan, Saran &amp; Masukan</t>
  </si>
  <si>
    <t>Nilai Kepentingan Dimensi Penanganan Pengaduan, Saran &amp; Masukan</t>
  </si>
  <si>
    <t>Alasan Ketidakpuasan/Ketidakpentingan Dimensi  Penanganan Pengaduan, Saran &amp; Masukan</t>
  </si>
  <si>
    <t>Nilai Kepuasan Dimensi Kualitas Sarana dan Prasarana</t>
  </si>
  <si>
    <t>Nilai Kepentingan Dimensi Kualitas Sarana dan Prasarana</t>
  </si>
  <si>
    <t>Alasan Ketidakpuasan/Ketidakpentingan Dimensi Kualitas Sarana dan Prasarana</t>
  </si>
  <si>
    <t>23 tahun</t>
  </si>
  <si>
    <t>27 tahun</t>
  </si>
  <si>
    <t>24 Tahun</t>
  </si>
  <si>
    <t>37 Tahun</t>
  </si>
  <si>
    <t>18 Tahun</t>
  </si>
  <si>
    <t>60 tahun</t>
  </si>
  <si>
    <t>32 Tahun</t>
  </si>
  <si>
    <t>60 Tahun</t>
  </si>
  <si>
    <t>56 Tahun</t>
  </si>
  <si>
    <t>25 Tahun</t>
  </si>
  <si>
    <t>Waktu antrian terlalu lama</t>
  </si>
  <si>
    <t>22 tahun</t>
  </si>
  <si>
    <t>42 Tahun</t>
  </si>
  <si>
    <t>44 Tahun</t>
  </si>
  <si>
    <t>38 TAHUN</t>
  </si>
  <si>
    <t>43 Tahun</t>
  </si>
  <si>
    <t>52 Tahun</t>
  </si>
  <si>
    <t>Terlalu lama nunggu. Pemanggilan tidak berdasarkan antrian</t>
  </si>
  <si>
    <t>39 Tahun</t>
  </si>
  <si>
    <t>Kurang dijelaskan dari awal oleh petugas</t>
  </si>
  <si>
    <t>Agak berbelit2</t>
  </si>
  <si>
    <t>Kurang ramah</t>
  </si>
  <si>
    <t>Harusnya gratis karena untuk mencari kerja</t>
  </si>
  <si>
    <t>Petugas sambil telpon</t>
  </si>
  <si>
    <t>Sambil telpon</t>
  </si>
  <si>
    <t>Untuk legalitas seharusnya gratis / tarif dikurangi biayanya</t>
  </si>
  <si>
    <t>Antriannya kurang jelas karena tidak ada nomer antrian dan pertama kali</t>
  </si>
  <si>
    <t>0</t>
  </si>
  <si>
    <t>Karena kurang memberikan informasi secara detail di websitenya</t>
  </si>
  <si>
    <t>33 Tahun</t>
  </si>
  <si>
    <t>Kurang tempat duduk untuk antri pelayanan</t>
  </si>
  <si>
    <t>Seharusnya pelayanan public itu tanpa biaya</t>
  </si>
  <si>
    <t>19 Tahun</t>
  </si>
  <si>
    <t>21 Tahun</t>
  </si>
  <si>
    <t>18  Tahun</t>
  </si>
  <si>
    <t>Harusnya gak sampai 3 jam karena ada di tes teori yang lama</t>
  </si>
  <si>
    <t>Banyak yang tidak sesuai molor terlalu lama waktunya</t>
  </si>
  <si>
    <t>Ada yang marah petugasnya karena ketidaksesuian nama saat panggilan dimulai</t>
  </si>
  <si>
    <t>22 Tahun</t>
  </si>
  <si>
    <t>40 Tahun</t>
  </si>
  <si>
    <t>20 Tahun</t>
  </si>
  <si>
    <t>27 Tahun</t>
  </si>
  <si>
    <t>Seharusnya bisa lebih cepat</t>
  </si>
  <si>
    <t>Terkadang pelayanan tidak satu pintu dengan kata lain di lempar lempar terutama di bagian depan loket pelayanan SPKT</t>
  </si>
  <si>
    <t>Sering mengabaikan dalam pelayanan/ abai terhadap saran dan kritik masyarakat</t>
  </si>
  <si>
    <t>Lokasi foto copy jauh dari tempat pelayanan</t>
  </si>
  <si>
    <t>Kurang responsif</t>
  </si>
  <si>
    <t>Pakai dimintai surat pengantar dari Dispenduk Capil</t>
  </si>
  <si>
    <t>Di SPKT yang sdh jadi, ada kesalahan penulisan data</t>
  </si>
  <si>
    <t>Pembayaran harus di bank</t>
  </si>
  <si>
    <t>Di tambahi jaminan 5rb di agen</t>
  </si>
  <si>
    <t>sudah online kok masih di minta data manual</t>
  </si>
  <si>
    <t xml:space="preserve">  </t>
  </si>
  <si>
    <t>Waktu tunggu teori uji lama</t>
  </si>
  <si>
    <t>Berbelit belit</t>
  </si>
  <si>
    <t>Lama</t>
  </si>
  <si>
    <t>Mahal</t>
  </si>
  <si>
    <t>Kurang akomodatif</t>
  </si>
  <si>
    <t>Kurangi beberapa calo agar mengurus sendiri</t>
  </si>
  <si>
    <t>Pernah kehilangan motor kurang di respon</t>
  </si>
  <si>
    <t>26 tahun</t>
  </si>
  <si>
    <t>18 tahun</t>
  </si>
  <si>
    <t>23 Tahun</t>
  </si>
  <si>
    <t>20 tahun</t>
  </si>
  <si>
    <t>26 Tahun</t>
  </si>
  <si>
    <t>59 Tahun</t>
  </si>
  <si>
    <t>Petugas tidak ramah ketika tidak dengar penjelasannya bernada tinggi dan kurang informatif dalam menyampaikan informasi</t>
  </si>
  <si>
    <t>50 Tahun</t>
  </si>
  <si>
    <t>29 Tahun</t>
  </si>
  <si>
    <t>31 Tahun</t>
  </si>
  <si>
    <t>Soalnya lama pelayananya</t>
  </si>
  <si>
    <t>Nunggu lama di pelayanan foto</t>
  </si>
  <si>
    <t>Untuk hp yang dicuri, pencuri sudah ketangkap hp lama dikembalikannya.. atau itu lama proses di jaksa</t>
  </si>
  <si>
    <t>30 Tahun</t>
  </si>
  <si>
    <t>36 Tahun</t>
  </si>
  <si>
    <t>32 tahun</t>
  </si>
  <si>
    <t>35 tahun</t>
  </si>
  <si>
    <t>Tidak sesuai yang di harapkan, untuk pengajuan yang di ajukan</t>
  </si>
  <si>
    <t>36 tahun</t>
  </si>
  <si>
    <t>Terlalu lama waktunya</t>
  </si>
  <si>
    <t>28 tahun</t>
  </si>
  <si>
    <t>44 tahun</t>
  </si>
  <si>
    <t>waktu penguran prosesnya lama</t>
  </si>
  <si>
    <t>Terlalu besar biaya pengamanan</t>
  </si>
  <si>
    <t>Prosesnya terlalu lama, kurang efisien</t>
  </si>
  <si>
    <t>Prosesnya terlalu lama</t>
  </si>
  <si>
    <t>Proses stagnan. Petugas tdk memberikan informasi hasil jika tidak ditanyakan</t>
  </si>
  <si>
    <t>Tidak menjalankan sesuai sistem dan prosedur padahal sistem di kepolisin sdh lama dibuat dan diberlakukan</t>
  </si>
  <si>
    <t>Petugas seharusnya mempunyai empati dan berada di pihak pelapor sebagai korban</t>
  </si>
  <si>
    <t>Respon petugas sangat lambat</t>
  </si>
  <si>
    <t>respon tiap tahapan lambat</t>
  </si>
  <si>
    <t>waktunya terlalu lama</t>
  </si>
  <si>
    <t>Ribet</t>
  </si>
  <si>
    <t>Tidak ada info lagi sampi saat ini padahal sudah 1 tahun lebih kasus ini</t>
  </si>
  <si>
    <t>Prosesnya kelamaan</t>
  </si>
  <si>
    <t>Toiletnya kotor dan bau</t>
  </si>
  <si>
    <t>34 Tahun</t>
  </si>
  <si>
    <t>40 tahun</t>
  </si>
  <si>
    <t>49 tahun</t>
  </si>
  <si>
    <t>54 Tahun</t>
  </si>
  <si>
    <t>29 tahun</t>
  </si>
  <si>
    <t>30 tahun</t>
  </si>
  <si>
    <t>34 tahun</t>
  </si>
  <si>
    <t>31 tahun</t>
  </si>
  <si>
    <t>25 tahun</t>
  </si>
  <si>
    <t>Tidak ontime</t>
  </si>
  <si>
    <t>38 Tahun</t>
  </si>
  <si>
    <t>Gubeng Kertajaya</t>
  </si>
  <si>
    <t>Jenis Kelamin</t>
  </si>
  <si>
    <t xml:space="preserve">Usia </t>
  </si>
  <si>
    <t xml:space="preserve">Pendidikan Terakhir </t>
  </si>
  <si>
    <t>Pekerjaan</t>
  </si>
  <si>
    <t>Konversi Website</t>
  </si>
  <si>
    <t>Koding Pekerjaan</t>
  </si>
  <si>
    <t>Label Baris</t>
  </si>
  <si>
    <t>Total Keseluruhan</t>
  </si>
  <si>
    <t>Hitung dari Jenis Kelamin</t>
  </si>
  <si>
    <t>Jenis Layanan</t>
  </si>
  <si>
    <t>Hitung dari Jenis layanan yang pernah Anda dapatkan di Polresta Sidoarjo?</t>
  </si>
  <si>
    <t xml:space="preserve">Hitung dari Pendidikan Terakhir </t>
  </si>
  <si>
    <t>Pendidikan Terakhir</t>
  </si>
  <si>
    <t>Usia</t>
  </si>
  <si>
    <t xml:space="preserve">Hitung dari Koding Usia </t>
  </si>
  <si>
    <t>Diploma (D1-D3) / Akademi</t>
  </si>
  <si>
    <t>Percentage</t>
  </si>
  <si>
    <t>Count</t>
  </si>
  <si>
    <t>Total</t>
  </si>
  <si>
    <t>Hitung dari Kabupaten</t>
  </si>
  <si>
    <t>Hitung dari Kecamatan</t>
  </si>
  <si>
    <t>Hitung dari Koding Pekerjaan</t>
  </si>
  <si>
    <t>Kepuasan</t>
  </si>
  <si>
    <t>Rata-rata dari Nilai Kepuasan Dimensi Persyaratan</t>
  </si>
  <si>
    <t>Rata-rata dari Nilai Kepuasan Dimensi Prosedur</t>
  </si>
  <si>
    <t>Rata-rata dari Nilai Kepuasan Dimensi Waktu Pelayanan/Penyelesaian</t>
  </si>
  <si>
    <t>Rata-rata dari Nilai Kepuasan Dimensi Tarif / Biaya</t>
  </si>
  <si>
    <t>Rata-rata dari Nilai Kepuasan Dimensi Produk Spesifikasi Jenis Layanan</t>
  </si>
  <si>
    <t>Rata-rata dari Nilai Kepuasan Dimensi Kompetensi Pelaksana</t>
  </si>
  <si>
    <t>Rata-rata dari Nilai Kepuasan Dimensi Penanganan Pengaduan, Saran &amp; Masukan</t>
  </si>
  <si>
    <t>Rata-rata dari Nilai Kepuasan Dimensi Kualitas Sarana dan Prasarana</t>
  </si>
  <si>
    <t>Nilai Kepentingan</t>
  </si>
  <si>
    <t>Rata-rata dari Nilai Kepentingan Dimensi Persyaratan</t>
  </si>
  <si>
    <t>Rata-rata dari Nilai Kepentingan Dimensi Prosedur</t>
  </si>
  <si>
    <t>Rata-rata dari Nilai Kepentingan Dimensi Waktu Pelayanan/Penyelesaian</t>
  </si>
  <si>
    <t>Rata-rata dari Nilai Kepentingan Dimensi Tarif/ Biaya</t>
  </si>
  <si>
    <t>Rata-rata dari Nilai Kepentingan Dimensi Produk Spesifikasi Jenis Layanan</t>
  </si>
  <si>
    <t>Rata-rata dari Nilai Kepentingan Dimensi Kompetensi Pelaksana</t>
  </si>
  <si>
    <t>Rata-rata dari Nilai Kepentingan Dimensi Perilaku Pelaksana</t>
  </si>
  <si>
    <t>Rata-rata dari Nilai Kepentingan Dimensi Penanganan Pengaduan, Saran &amp; Masukan</t>
  </si>
  <si>
    <t>Rata-rata dari Nilai Kepentingan Dimensi Kualitas Sarana dan Prasarana</t>
  </si>
  <si>
    <t>Rata-Rata</t>
  </si>
  <si>
    <t>Nilai Kepuasan Tiap Dimensi</t>
  </si>
  <si>
    <t>Nilai Kepuasan Dimensi Tarif/Biaya</t>
  </si>
  <si>
    <t>Nilai Kepentingan Tiap Dimensi</t>
  </si>
  <si>
    <t>Kepentingan</t>
  </si>
  <si>
    <t>Dimensi</t>
  </si>
  <si>
    <t xml:space="preserve"> Persyaratan</t>
  </si>
  <si>
    <t xml:space="preserve"> Prosedur</t>
  </si>
  <si>
    <t xml:space="preserve"> Waktu Pelayanan/Penyelesaian</t>
  </si>
  <si>
    <t xml:space="preserve"> Tarif/Biaya</t>
  </si>
  <si>
    <t xml:space="preserve"> Produk Spesifikasi Jenis Layanan</t>
  </si>
  <si>
    <t xml:space="preserve"> Kompetensi Pelaksana</t>
  </si>
  <si>
    <t xml:space="preserve"> Perilaku Pelaksana</t>
  </si>
  <si>
    <t xml:space="preserve"> Penanganan Pengaduan, Saran &amp; Masukan</t>
  </si>
  <si>
    <t xml:space="preserve"> Kualitas Sarana dan Prasarana</t>
  </si>
  <si>
    <t>Nilai Kepentingan Dimensi Tarif/Biaya</t>
  </si>
  <si>
    <t>Gap Dimensi Persyaratan</t>
  </si>
  <si>
    <t>Gap Dimensi Prosedur</t>
  </si>
  <si>
    <t>Gap Dimensi Waktu Pelayanan/Penyelesaian</t>
  </si>
  <si>
    <t>Gap Dimensi Tarif/Biaya</t>
  </si>
  <si>
    <t>Gap Dimensi Produk Spesifikasi Jenis Layanan</t>
  </si>
  <si>
    <t>Gap Dimensi Perilaku Pelaksana</t>
  </si>
  <si>
    <t>Gap Dimensi Penanganan Pengaduan, Saran &amp; Masukan</t>
  </si>
  <si>
    <t>Konversi Media Sosial2</t>
  </si>
  <si>
    <t>Gap Dimensi Kualitas Sarana dan Prasarana</t>
  </si>
  <si>
    <t>Gap</t>
  </si>
  <si>
    <t>Rata-rata dari Gap Dimensi Persyaratan</t>
  </si>
  <si>
    <t>Rata-rata dari Gap Dimensi Prosedur</t>
  </si>
  <si>
    <t>Rata-rata dari Gap Dimensi Waktu Pelayanan/Penyelesaian</t>
  </si>
  <si>
    <t>Rata-rata dari Gap Dimensi Tarif/Biaya</t>
  </si>
  <si>
    <t>Rata-rata dari Gap Dimensi Produk Spesifikasi Jenis Layanan</t>
  </si>
  <si>
    <t>Rata-rata dari Gap Dimensi Kompetemsi Pelaksana</t>
  </si>
  <si>
    <t>Rata-rata dari Gap Dimensi Perilaku Pelaksana</t>
  </si>
  <si>
    <t>Gap Dimensi Kompetensi Pelaksana</t>
  </si>
  <si>
    <t>Rata-rata dari Nilai Kepuasan Dimensi Perilaku Pelaksana</t>
  </si>
  <si>
    <t>Rata-rata dari Gap Dimensi Penanganan Pengaduan, Saran &amp; Masukan</t>
  </si>
  <si>
    <t>Rata-rata dari Gap Dimensi Kualitas Sarana dan Prasarana</t>
  </si>
  <si>
    <t>Avg Gap</t>
  </si>
  <si>
    <t>Media Informasi</t>
  </si>
  <si>
    <t>Jumlah dari Konversi Media Sosial2</t>
  </si>
  <si>
    <t>Jumlah dari Konversi Website</t>
  </si>
  <si>
    <t>Jumlah dari Konversi Pegawai</t>
  </si>
  <si>
    <t>Jumlah dari Konversi Lainnya</t>
  </si>
  <si>
    <t>Website</t>
  </si>
  <si>
    <t>Pegawai</t>
  </si>
  <si>
    <t>Jumlah</t>
  </si>
  <si>
    <t>Gap Rata-Rata</t>
  </si>
  <si>
    <t>Total Responden</t>
  </si>
  <si>
    <t>Hitung dari Nama Responden</t>
  </si>
  <si>
    <t>Laki-Laki</t>
  </si>
  <si>
    <t>RESKRIM</t>
  </si>
  <si>
    <t>SPKT</t>
  </si>
  <si>
    <t>SIM A</t>
  </si>
  <si>
    <t>SIM C</t>
  </si>
  <si>
    <t>PERIZINAN</t>
  </si>
  <si>
    <t>SKCK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</si>
</sst>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1" xfId="0" applyBorder="1"/>
    <xf numFmtId="0" fontId="0" fillId="2" borderId="1" xfId="0" applyFill="1" applyBorder="1"/>
    <xf numFmtId="0" fontId="0" fillId="0" borderId="0" xfId="0" applyAlignment="1">
      <alignment horizontal="right"/>
    </xf>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9" fontId="0" fillId="0" borderId="0" xfId="1" applyFont="1"/>
    <xf numFmtId="0" fontId="2" fillId="0" borderId="0" xfId="0" applyFont="1"/>
    <xf numFmtId="2" fontId="0" fillId="0" borderId="0" xfId="0" applyNumberFormat="1"/>
    <xf numFmtId="0" fontId="0" fillId="3" borderId="0" xfId="0" applyFill="1" applyAlignment="1">
      <alignment horizontal="center"/>
    </xf>
    <xf numFmtId="0" fontId="0" fillId="0" borderId="0" xfId="0" applyNumberFormat="1"/>
  </cellXfs>
  <cellStyles count="2">
    <cellStyle name="Normal" xfId="0" builtinId="0"/>
    <cellStyle name="Persen" xfId="1" builtinId="5"/>
  </cellStyles>
  <dxfs count="62">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66CC"/>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Pivot!$J$4:$J$16</c:f>
              <c:strCache>
                <c:ptCount val="13"/>
                <c:pt idx="0">
                  <c:v>Belum bekerja</c:v>
                </c:pt>
                <c:pt idx="1">
                  <c:v>Entetainer</c:v>
                </c:pt>
                <c:pt idx="2">
                  <c:v>Freelance</c:v>
                </c:pt>
                <c:pt idx="3">
                  <c:v>Guru/Dosen</c:v>
                </c:pt>
                <c:pt idx="4">
                  <c:v>Ibu Rumah Tangga</c:v>
                </c:pt>
                <c:pt idx="5">
                  <c:v>Kesehatan</c:v>
                </c:pt>
                <c:pt idx="6">
                  <c:v>Mahasiswa/Pelajar</c:v>
                </c:pt>
                <c:pt idx="7">
                  <c:v>Pegawai Pemerintahan (PNS)</c:v>
                </c:pt>
                <c:pt idx="8">
                  <c:v>Pegawai/karyawan swasta</c:v>
                </c:pt>
                <c:pt idx="9">
                  <c:v>Pensiunan</c:v>
                </c:pt>
                <c:pt idx="10">
                  <c:v>Supir</c:v>
                </c:pt>
                <c:pt idx="11">
                  <c:v>TNI</c:v>
                </c:pt>
                <c:pt idx="12">
                  <c:v>Wiraswasta/pengusaha</c:v>
                </c:pt>
              </c:strCache>
            </c:strRef>
          </c:cat>
          <c:val>
            <c:numRef>
              <c:f>Pivot!$K$4:$K$16</c:f>
              <c:numCache>
                <c:formatCode>General</c:formatCode>
                <c:ptCount val="13"/>
                <c:pt idx="0">
                  <c:v>0</c:v>
                </c:pt>
                <c:pt idx="1">
                  <c:v>0</c:v>
                </c:pt>
                <c:pt idx="2">
                  <c:v>0</c:v>
                </c:pt>
                <c:pt idx="3">
                  <c:v>0</c:v>
                </c:pt>
                <c:pt idx="4">
                  <c:v>0</c:v>
                </c:pt>
                <c:pt idx="5">
                  <c:v>0</c:v>
                </c:pt>
                <c:pt idx="6">
                  <c:v>0</c:v>
                </c:pt>
                <c:pt idx="7">
                  <c:v>2</c:v>
                </c:pt>
                <c:pt idx="8">
                  <c:v>1</c:v>
                </c:pt>
                <c:pt idx="9">
                  <c:v>0</c:v>
                </c:pt>
                <c:pt idx="10">
                  <c:v>0</c:v>
                </c:pt>
                <c:pt idx="11">
                  <c:v>0</c:v>
                </c:pt>
                <c:pt idx="12">
                  <c:v>3</c:v>
                </c:pt>
              </c:numCache>
            </c:numRef>
          </c:val>
          <c:extLst>
            <c:ext xmlns:c16="http://schemas.microsoft.com/office/drawing/2014/chart" uri="{C3380CC4-5D6E-409C-BE32-E72D297353CC}">
              <c16:uniqueId val="{00000000-2BC2-42BF-97C4-E9C8D9C1D468}"/>
            </c:ext>
          </c:extLst>
        </c:ser>
        <c:dLbls>
          <c:showLegendKey val="0"/>
          <c:showVal val="0"/>
          <c:showCatName val="0"/>
          <c:showSerName val="0"/>
          <c:showPercent val="0"/>
          <c:showBubbleSize val="0"/>
        </c:dLbls>
        <c:gapWidth val="182"/>
        <c:axId val="672466879"/>
        <c:axId val="672464959"/>
      </c:barChart>
      <c:catAx>
        <c:axId val="6724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72464959"/>
        <c:crosses val="autoZero"/>
        <c:auto val="1"/>
        <c:lblAlgn val="ctr"/>
        <c:lblOffset val="100"/>
        <c:noMultiLvlLbl val="0"/>
      </c:catAx>
      <c:valAx>
        <c:axId val="67246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72466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8F-42D1-9E53-A89F418759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8F-42D1-9E53-A89F418759AC}"/>
              </c:ext>
            </c:extLst>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Pivot!$A$106:$A$107</c:f>
              <c:strCache>
                <c:ptCount val="2"/>
                <c:pt idx="0">
                  <c:v>Laki-Laki</c:v>
                </c:pt>
                <c:pt idx="1">
                  <c:v>Perempuan</c:v>
                </c:pt>
              </c:strCache>
            </c:strRef>
          </c:cat>
          <c:val>
            <c:numRef>
              <c:f>Pivot!$C$106:$C$107</c:f>
              <c:numCache>
                <c:formatCode>0%</c:formatCode>
                <c:ptCount val="2"/>
                <c:pt idx="0">
                  <c:v>0.33333333333333331</c:v>
                </c:pt>
                <c:pt idx="1">
                  <c:v>0.66666666666666663</c:v>
                </c:pt>
              </c:numCache>
            </c:numRef>
          </c:val>
          <c:extLst>
            <c:ext xmlns:c16="http://schemas.microsoft.com/office/drawing/2014/chart" uri="{C3380CC4-5D6E-409C-BE32-E72D297353CC}">
              <c16:uniqueId val="{00000004-5B8F-42D1-9E53-A89F418759A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Pivot!$B$109</c:f>
              <c:strCache>
                <c:ptCount val="1"/>
                <c:pt idx="0">
                  <c:v>Jumlah</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Pivot!$A$110:$A$118</c:f>
              <c:strCache>
                <c:ptCount val="9"/>
                <c:pt idx="0">
                  <c:v>18-20 tahun</c:v>
                </c:pt>
                <c:pt idx="1">
                  <c:v>21-25 tahun</c:v>
                </c:pt>
                <c:pt idx="2">
                  <c:v>26-30 tahun</c:v>
                </c:pt>
                <c:pt idx="3">
                  <c:v>31-35 tahun</c:v>
                </c:pt>
                <c:pt idx="4">
                  <c:v>36-40 tahun</c:v>
                </c:pt>
                <c:pt idx="5">
                  <c:v>41-45 tahun</c:v>
                </c:pt>
                <c:pt idx="6">
                  <c:v>46-50 tahun</c:v>
                </c:pt>
                <c:pt idx="7">
                  <c:v>51-55 tahun</c:v>
                </c:pt>
                <c:pt idx="8">
                  <c:v>56-60 tahun</c:v>
                </c:pt>
              </c:strCache>
            </c:strRef>
          </c:cat>
          <c:val>
            <c:numRef>
              <c:f>Pivot!$B$110:$B$118</c:f>
              <c:numCache>
                <c:formatCode>General</c:formatCode>
                <c:ptCount val="9"/>
                <c:pt idx="0">
                  <c:v>0</c:v>
                </c:pt>
                <c:pt idx="1">
                  <c:v>0</c:v>
                </c:pt>
                <c:pt idx="2">
                  <c:v>1</c:v>
                </c:pt>
                <c:pt idx="3">
                  <c:v>0</c:v>
                </c:pt>
                <c:pt idx="4">
                  <c:v>4</c:v>
                </c:pt>
                <c:pt idx="5">
                  <c:v>1</c:v>
                </c:pt>
                <c:pt idx="6">
                  <c:v>0</c:v>
                </c:pt>
                <c:pt idx="7">
                  <c:v>0</c:v>
                </c:pt>
                <c:pt idx="8">
                  <c:v>0</c:v>
                </c:pt>
              </c:numCache>
            </c:numRef>
          </c:val>
          <c:extLst>
            <c:ext xmlns:c16="http://schemas.microsoft.com/office/drawing/2014/chart" uri="{C3380CC4-5D6E-409C-BE32-E72D297353CC}">
              <c16:uniqueId val="{00000000-6A61-4AAF-BD5F-C5F806D64BB2}"/>
            </c:ext>
          </c:extLst>
        </c:ser>
        <c:dLbls>
          <c:dLblPos val="outEnd"/>
          <c:showLegendKey val="0"/>
          <c:showVal val="1"/>
          <c:showCatName val="0"/>
          <c:showSerName val="0"/>
          <c:showPercent val="0"/>
          <c:showBubbleSize val="0"/>
        </c:dLbls>
        <c:gapWidth val="219"/>
        <c:overlap val="-27"/>
        <c:axId val="343885552"/>
        <c:axId val="343888432"/>
      </c:barChart>
      <c:catAx>
        <c:axId val="3438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343888432"/>
        <c:crosses val="autoZero"/>
        <c:auto val="1"/>
        <c:lblAlgn val="ctr"/>
        <c:lblOffset val="100"/>
        <c:noMultiLvlLbl val="0"/>
      </c:catAx>
      <c:valAx>
        <c:axId val="343888432"/>
        <c:scaling>
          <c:orientation val="minMax"/>
        </c:scaling>
        <c:delete val="1"/>
        <c:axPos val="l"/>
        <c:numFmt formatCode="General" sourceLinked="1"/>
        <c:majorTickMark val="none"/>
        <c:minorTickMark val="none"/>
        <c:tickLblPos val="nextTo"/>
        <c:crossAx val="3438855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Pivot!$E$110</c:f>
              <c:strCache>
                <c:ptCount val="1"/>
                <c:pt idx="0">
                  <c:v>Jumlah</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alpha val="98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Pivot!$D$111:$D$115</c:f>
              <c:strCache>
                <c:ptCount val="5"/>
                <c:pt idx="0">
                  <c:v>Diploma (D1-D3) / Akademi</c:v>
                </c:pt>
                <c:pt idx="1">
                  <c:v>Pascasarjana (S2)</c:v>
                </c:pt>
                <c:pt idx="2">
                  <c:v>Sarjana (S1) / D4</c:v>
                </c:pt>
                <c:pt idx="3">
                  <c:v>SMA</c:v>
                </c:pt>
                <c:pt idx="4">
                  <c:v>SMP</c:v>
                </c:pt>
              </c:strCache>
            </c:strRef>
          </c:cat>
          <c:val>
            <c:numRef>
              <c:f>Pivot!$E$111:$E$115</c:f>
              <c:numCache>
                <c:formatCode>General</c:formatCode>
                <c:ptCount val="5"/>
                <c:pt idx="0">
                  <c:v>6</c:v>
                </c:pt>
                <c:pt idx="1">
                  <c:v>6</c:v>
                </c:pt>
                <c:pt idx="2">
                  <c:v>35</c:v>
                </c:pt>
                <c:pt idx="3">
                  <c:v>41</c:v>
                </c:pt>
                <c:pt idx="4">
                  <c:v>12</c:v>
                </c:pt>
              </c:numCache>
            </c:numRef>
          </c:val>
          <c:extLst>
            <c:ext xmlns:c16="http://schemas.microsoft.com/office/drawing/2014/chart" uri="{C3380CC4-5D6E-409C-BE32-E72D297353CC}">
              <c16:uniqueId val="{00000000-DB27-4B81-8691-0B57E817D5D7}"/>
            </c:ext>
          </c:extLst>
        </c:ser>
        <c:dLbls>
          <c:dLblPos val="outEnd"/>
          <c:showLegendKey val="0"/>
          <c:showVal val="1"/>
          <c:showCatName val="0"/>
          <c:showSerName val="0"/>
          <c:showPercent val="0"/>
          <c:showBubbleSize val="0"/>
        </c:dLbls>
        <c:gapWidth val="182"/>
        <c:axId val="334523408"/>
        <c:axId val="334520048"/>
      </c:barChart>
      <c:catAx>
        <c:axId val="33452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alpha val="98000"/>
                  </a:schemeClr>
                </a:solidFill>
                <a:latin typeface="+mn-lt"/>
                <a:ea typeface="+mn-ea"/>
                <a:cs typeface="+mn-cs"/>
              </a:defRPr>
            </a:pPr>
            <a:endParaRPr lang="id-ID"/>
          </a:p>
        </c:txPr>
        <c:crossAx val="334520048"/>
        <c:crosses val="autoZero"/>
        <c:auto val="1"/>
        <c:lblAlgn val="ctr"/>
        <c:lblOffset val="100"/>
        <c:noMultiLvlLbl val="0"/>
      </c:catAx>
      <c:valAx>
        <c:axId val="334520048"/>
        <c:scaling>
          <c:orientation val="minMax"/>
        </c:scaling>
        <c:delete val="1"/>
        <c:axPos val="b"/>
        <c:numFmt formatCode="General" sourceLinked="1"/>
        <c:majorTickMark val="none"/>
        <c:minorTickMark val="none"/>
        <c:tickLblPos val="nextTo"/>
        <c:crossAx val="334523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alpha val="98000"/>
            </a:schemeClr>
          </a:solidFill>
          <a:latin typeface="+mn-lt"/>
          <a:ea typeface="+mn-ea"/>
          <a:cs typeface="+mn-cs"/>
        </a:defRPr>
      </a:pPr>
      <a:endParaRPr lang="id-ID"/>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Pivot!$H$96</c:f>
              <c:strCache>
                <c:ptCount val="1"/>
                <c:pt idx="0">
                  <c:v>Jumlah</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Pivot!$G$97:$G$100</c:f>
              <c:strCache>
                <c:ptCount val="4"/>
                <c:pt idx="0">
                  <c:v>Media Sosial</c:v>
                </c:pt>
                <c:pt idx="1">
                  <c:v>Website</c:v>
                </c:pt>
                <c:pt idx="2">
                  <c:v>Pegawai</c:v>
                </c:pt>
                <c:pt idx="3">
                  <c:v>Lainnya</c:v>
                </c:pt>
              </c:strCache>
            </c:strRef>
          </c:cat>
          <c:val>
            <c:numRef>
              <c:f>Pivot!$H$97:$H$100</c:f>
              <c:numCache>
                <c:formatCode>General</c:formatCode>
                <c:ptCount val="4"/>
                <c:pt idx="0">
                  <c:v>0</c:v>
                </c:pt>
                <c:pt idx="1">
                  <c:v>0</c:v>
                </c:pt>
                <c:pt idx="2">
                  <c:v>10</c:v>
                </c:pt>
                <c:pt idx="3">
                  <c:v>11</c:v>
                </c:pt>
              </c:numCache>
            </c:numRef>
          </c:val>
          <c:extLst>
            <c:ext xmlns:c16="http://schemas.microsoft.com/office/drawing/2014/chart" uri="{C3380CC4-5D6E-409C-BE32-E72D297353CC}">
              <c16:uniqueId val="{00000000-6051-4D35-B196-26BE3E4AC528}"/>
            </c:ext>
          </c:extLst>
        </c:ser>
        <c:dLbls>
          <c:showLegendKey val="0"/>
          <c:showVal val="0"/>
          <c:showCatName val="0"/>
          <c:showSerName val="0"/>
          <c:showPercent val="0"/>
          <c:showBubbleSize val="0"/>
        </c:dLbls>
        <c:gapWidth val="219"/>
        <c:overlap val="-27"/>
        <c:axId val="457396656"/>
        <c:axId val="457402896"/>
      </c:barChart>
      <c:catAx>
        <c:axId val="4573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457402896"/>
        <c:crosses val="autoZero"/>
        <c:auto val="1"/>
        <c:lblAlgn val="ctr"/>
        <c:lblOffset val="100"/>
        <c:noMultiLvlLbl val="0"/>
      </c:catAx>
      <c:valAx>
        <c:axId val="45740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457396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Pivot!$L$62</c:f>
              <c:strCache>
                <c:ptCount val="1"/>
                <c:pt idx="0">
                  <c:v>Kepuasan</c:v>
                </c:pt>
              </c:strCache>
            </c:strRef>
          </c:tx>
          <c:spPr>
            <a:solidFill>
              <a:srgbClr val="FFFF00"/>
            </a:solidFill>
            <a:ln>
              <a:noFill/>
            </a:ln>
            <a:effectLst/>
          </c:spPr>
          <c:invertIfNegative val="0"/>
          <c:cat>
            <c:strRef>
              <c:f>Pivot!$K$63:$K$71</c:f>
              <c:strCache>
                <c:ptCount val="9"/>
                <c:pt idx="0">
                  <c:v> Persyaratan</c:v>
                </c:pt>
                <c:pt idx="1">
                  <c:v> Prosedur</c:v>
                </c:pt>
                <c:pt idx="2">
                  <c:v> Waktu Pelayanan/Penyelesaian</c:v>
                </c:pt>
                <c:pt idx="3">
                  <c:v> Tarif/Biaya</c:v>
                </c:pt>
                <c:pt idx="4">
                  <c:v> Produk Spesifikasi Jenis Layanan</c:v>
                </c:pt>
                <c:pt idx="5">
                  <c:v> Kompetensi Pelaksana</c:v>
                </c:pt>
                <c:pt idx="6">
                  <c:v> Perilaku Pelaksana</c:v>
                </c:pt>
                <c:pt idx="7">
                  <c:v> Penanganan Pengaduan, Saran &amp; Masukan</c:v>
                </c:pt>
                <c:pt idx="8">
                  <c:v> Kualitas Sarana dan Prasarana</c:v>
                </c:pt>
              </c:strCache>
            </c:strRef>
          </c:cat>
          <c:val>
            <c:numRef>
              <c:f>Pivot!$L$63:$L$71</c:f>
              <c:numCache>
                <c:formatCode>0.00</c:formatCode>
                <c:ptCount val="9"/>
                <c:pt idx="0">
                  <c:v>3.3333333333333335</c:v>
                </c:pt>
                <c:pt idx="1">
                  <c:v>3.6666666666666665</c:v>
                </c:pt>
                <c:pt idx="2">
                  <c:v>3.1666666666666665</c:v>
                </c:pt>
                <c:pt idx="3">
                  <c:v>0</c:v>
                </c:pt>
                <c:pt idx="4">
                  <c:v>3.3333333333333335</c:v>
                </c:pt>
                <c:pt idx="5">
                  <c:v>3.5</c:v>
                </c:pt>
                <c:pt idx="6">
                  <c:v>3.8333333333333335</c:v>
                </c:pt>
                <c:pt idx="7">
                  <c:v>3.6666666666666665</c:v>
                </c:pt>
                <c:pt idx="8">
                  <c:v>3.3333333333333335</c:v>
                </c:pt>
              </c:numCache>
            </c:numRef>
          </c:val>
          <c:extLst>
            <c:ext xmlns:c16="http://schemas.microsoft.com/office/drawing/2014/chart" uri="{C3380CC4-5D6E-409C-BE32-E72D297353CC}">
              <c16:uniqueId val="{00000000-0F3D-411C-99F7-94F1AF4BCB0A}"/>
            </c:ext>
          </c:extLst>
        </c:ser>
        <c:ser>
          <c:idx val="1"/>
          <c:order val="1"/>
          <c:tx>
            <c:strRef>
              <c:f>Pivot!$M$62</c:f>
              <c:strCache>
                <c:ptCount val="1"/>
                <c:pt idx="0">
                  <c:v>Kepentingan</c:v>
                </c:pt>
              </c:strCache>
            </c:strRef>
          </c:tx>
          <c:spPr>
            <a:solidFill>
              <a:srgbClr val="FF0000"/>
            </a:solidFill>
            <a:ln>
              <a:noFill/>
            </a:ln>
            <a:effectLst/>
          </c:spPr>
          <c:invertIfNegative val="0"/>
          <c:cat>
            <c:strRef>
              <c:f>Pivot!$K$63:$K$71</c:f>
              <c:strCache>
                <c:ptCount val="9"/>
                <c:pt idx="0">
                  <c:v> Persyaratan</c:v>
                </c:pt>
                <c:pt idx="1">
                  <c:v> Prosedur</c:v>
                </c:pt>
                <c:pt idx="2">
                  <c:v> Waktu Pelayanan/Penyelesaian</c:v>
                </c:pt>
                <c:pt idx="3">
                  <c:v> Tarif/Biaya</c:v>
                </c:pt>
                <c:pt idx="4">
                  <c:v> Produk Spesifikasi Jenis Layanan</c:v>
                </c:pt>
                <c:pt idx="5">
                  <c:v> Kompetensi Pelaksana</c:v>
                </c:pt>
                <c:pt idx="6">
                  <c:v> Perilaku Pelaksana</c:v>
                </c:pt>
                <c:pt idx="7">
                  <c:v> Penanganan Pengaduan, Saran &amp; Masukan</c:v>
                </c:pt>
                <c:pt idx="8">
                  <c:v> Kualitas Sarana dan Prasarana</c:v>
                </c:pt>
              </c:strCache>
            </c:strRef>
          </c:cat>
          <c:val>
            <c:numRef>
              <c:f>Pivot!$M$63:$M$71</c:f>
              <c:numCache>
                <c:formatCode>0.00</c:formatCode>
                <c:ptCount val="9"/>
                <c:pt idx="0">
                  <c:v>3.8333333333333335</c:v>
                </c:pt>
                <c:pt idx="1">
                  <c:v>3.6666666666666665</c:v>
                </c:pt>
                <c:pt idx="2">
                  <c:v>3.5</c:v>
                </c:pt>
                <c:pt idx="3">
                  <c:v>0</c:v>
                </c:pt>
                <c:pt idx="4">
                  <c:v>3.6666666666666665</c:v>
                </c:pt>
                <c:pt idx="5">
                  <c:v>3.6666666666666665</c:v>
                </c:pt>
                <c:pt idx="6">
                  <c:v>3.8333333333333335</c:v>
                </c:pt>
                <c:pt idx="7">
                  <c:v>3.8333333333333335</c:v>
                </c:pt>
                <c:pt idx="8">
                  <c:v>3.3333333333333335</c:v>
                </c:pt>
              </c:numCache>
            </c:numRef>
          </c:val>
          <c:extLst>
            <c:ext xmlns:c16="http://schemas.microsoft.com/office/drawing/2014/chart" uri="{C3380CC4-5D6E-409C-BE32-E72D297353CC}">
              <c16:uniqueId val="{00000001-0F3D-411C-99F7-94F1AF4BCB0A}"/>
            </c:ext>
          </c:extLst>
        </c:ser>
        <c:dLbls>
          <c:showLegendKey val="0"/>
          <c:showVal val="0"/>
          <c:showCatName val="0"/>
          <c:showSerName val="0"/>
          <c:showPercent val="0"/>
          <c:showBubbleSize val="0"/>
        </c:dLbls>
        <c:gapWidth val="182"/>
        <c:axId val="93194623"/>
        <c:axId val="93196063"/>
      </c:barChart>
      <c:catAx>
        <c:axId val="9319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id-ID"/>
          </a:p>
        </c:txPr>
        <c:crossAx val="93196063"/>
        <c:crosses val="autoZero"/>
        <c:auto val="1"/>
        <c:lblAlgn val="ctr"/>
        <c:lblOffset val="100"/>
        <c:noMultiLvlLbl val="0"/>
      </c:catAx>
      <c:valAx>
        <c:axId val="931960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id-ID"/>
          </a:p>
        </c:txPr>
        <c:crossAx val="931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id-ID"/>
        </a:p>
      </c:txPr>
    </c:legend>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C2-4B3D-BD2F-07F98C006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C2-4B3D-BD2F-07F98C0063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C2-4B3D-BD2F-07F98C0063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C2-4B3D-BD2F-07F98C0063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C2-4B3D-BD2F-07F98C0063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C2-4B3D-BD2F-07F98C0063FF}"/>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Pivot!$H$107:$H$112</c:f>
              <c:strCache>
                <c:ptCount val="6"/>
                <c:pt idx="0">
                  <c:v>SIM A</c:v>
                </c:pt>
                <c:pt idx="1">
                  <c:v>SIM C</c:v>
                </c:pt>
                <c:pt idx="2">
                  <c:v>RESKRIM</c:v>
                </c:pt>
                <c:pt idx="3">
                  <c:v>PERIZINAN</c:v>
                </c:pt>
                <c:pt idx="4">
                  <c:v>SKCK</c:v>
                </c:pt>
                <c:pt idx="5">
                  <c:v>SPKT</c:v>
                </c:pt>
              </c:strCache>
            </c:strRef>
          </c:cat>
          <c:val>
            <c:numRef>
              <c:f>Pivot!$J$107:$J$112</c:f>
              <c:numCache>
                <c:formatCode>0%</c:formatCode>
                <c:ptCount val="6"/>
                <c:pt idx="0">
                  <c:v>0.125</c:v>
                </c:pt>
                <c:pt idx="1">
                  <c:v>4.1666666666666664E-2</c:v>
                </c:pt>
                <c:pt idx="2">
                  <c:v>0.25</c:v>
                </c:pt>
                <c:pt idx="3">
                  <c:v>8.3333333333333329E-2</c:v>
                </c:pt>
                <c:pt idx="4">
                  <c:v>0.16666666666666666</c:v>
                </c:pt>
                <c:pt idx="5">
                  <c:v>0.33333333333333331</c:v>
                </c:pt>
              </c:numCache>
            </c:numRef>
          </c:val>
          <c:extLst>
            <c:ext xmlns:c16="http://schemas.microsoft.com/office/drawing/2014/chart" uri="{C3380CC4-5D6E-409C-BE32-E72D297353CC}">
              <c16:uniqueId val="{0000000C-05C2-4B3D-BD2F-07F98C0063F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solidFill>
            <a:ln>
              <a:noFill/>
            </a:ln>
            <a:effectLst/>
          </c:spPr>
          <c:invertIfNegative val="0"/>
          <c:cat>
            <c:strRef>
              <c:f>Pivot!$J$4:$J$16</c:f>
              <c:strCache>
                <c:ptCount val="13"/>
                <c:pt idx="0">
                  <c:v>Belum bekerja</c:v>
                </c:pt>
                <c:pt idx="1">
                  <c:v>Entetainer</c:v>
                </c:pt>
                <c:pt idx="2">
                  <c:v>Freelance</c:v>
                </c:pt>
                <c:pt idx="3">
                  <c:v>Guru/Dosen</c:v>
                </c:pt>
                <c:pt idx="4">
                  <c:v>Ibu Rumah Tangga</c:v>
                </c:pt>
                <c:pt idx="5">
                  <c:v>Kesehatan</c:v>
                </c:pt>
                <c:pt idx="6">
                  <c:v>Mahasiswa/Pelajar</c:v>
                </c:pt>
                <c:pt idx="7">
                  <c:v>Pegawai Pemerintahan (PNS)</c:v>
                </c:pt>
                <c:pt idx="8">
                  <c:v>Pegawai/karyawan swasta</c:v>
                </c:pt>
                <c:pt idx="9">
                  <c:v>Pensiunan</c:v>
                </c:pt>
                <c:pt idx="10">
                  <c:v>Supir</c:v>
                </c:pt>
                <c:pt idx="11">
                  <c:v>TNI</c:v>
                </c:pt>
                <c:pt idx="12">
                  <c:v>Wiraswasta/pengusaha</c:v>
                </c:pt>
              </c:strCache>
            </c:strRef>
          </c:cat>
          <c:val>
            <c:numRef>
              <c:f>Pivot!$K$4:$K$16</c:f>
              <c:numCache>
                <c:formatCode>General</c:formatCode>
                <c:ptCount val="13"/>
                <c:pt idx="0">
                  <c:v>0</c:v>
                </c:pt>
                <c:pt idx="1">
                  <c:v>0</c:v>
                </c:pt>
                <c:pt idx="2">
                  <c:v>0</c:v>
                </c:pt>
                <c:pt idx="3">
                  <c:v>0</c:v>
                </c:pt>
                <c:pt idx="4">
                  <c:v>0</c:v>
                </c:pt>
                <c:pt idx="5">
                  <c:v>0</c:v>
                </c:pt>
                <c:pt idx="6">
                  <c:v>0</c:v>
                </c:pt>
                <c:pt idx="7">
                  <c:v>2</c:v>
                </c:pt>
                <c:pt idx="8">
                  <c:v>1</c:v>
                </c:pt>
                <c:pt idx="9">
                  <c:v>0</c:v>
                </c:pt>
                <c:pt idx="10">
                  <c:v>0</c:v>
                </c:pt>
                <c:pt idx="11">
                  <c:v>0</c:v>
                </c:pt>
                <c:pt idx="12">
                  <c:v>3</c:v>
                </c:pt>
              </c:numCache>
            </c:numRef>
          </c:val>
          <c:extLst>
            <c:ext xmlns:c16="http://schemas.microsoft.com/office/drawing/2014/chart" uri="{C3380CC4-5D6E-409C-BE32-E72D297353CC}">
              <c16:uniqueId val="{00000000-64A9-46C0-A8E1-7F27AB797AF5}"/>
            </c:ext>
          </c:extLst>
        </c:ser>
        <c:dLbls>
          <c:showLegendKey val="0"/>
          <c:showVal val="0"/>
          <c:showCatName val="0"/>
          <c:showSerName val="0"/>
          <c:showPercent val="0"/>
          <c:showBubbleSize val="0"/>
        </c:dLbls>
        <c:gapWidth val="182"/>
        <c:axId val="672466879"/>
        <c:axId val="672464959"/>
      </c:barChart>
      <c:catAx>
        <c:axId val="6724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672464959"/>
        <c:crosses val="autoZero"/>
        <c:auto val="1"/>
        <c:lblAlgn val="ctr"/>
        <c:lblOffset val="100"/>
        <c:noMultiLvlLbl val="0"/>
      </c:catAx>
      <c:valAx>
        <c:axId val="67246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6724668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Pivot!$D$120:$D$124</c:f>
              <c:strCache>
                <c:ptCount val="5"/>
                <c:pt idx="0">
                  <c:v>Sidoarjo</c:v>
                </c:pt>
                <c:pt idx="1">
                  <c:v>Buduran</c:v>
                </c:pt>
                <c:pt idx="2">
                  <c:v>Sukodono</c:v>
                </c:pt>
                <c:pt idx="3">
                  <c:v>Tulangan</c:v>
                </c:pt>
                <c:pt idx="4">
                  <c:v>Candi</c:v>
                </c:pt>
              </c:strCache>
            </c:strRef>
          </c:cat>
          <c:val>
            <c:numRef>
              <c:f>Pivot!$E$120:$E$124</c:f>
              <c:numCache>
                <c:formatCode>General</c:formatCode>
                <c:ptCount val="5"/>
                <c:pt idx="0">
                  <c:v>2</c:v>
                </c:pt>
                <c:pt idx="1">
                  <c:v>0</c:v>
                </c:pt>
                <c:pt idx="2">
                  <c:v>0</c:v>
                </c:pt>
                <c:pt idx="3">
                  <c:v>0</c:v>
                </c:pt>
                <c:pt idx="4">
                  <c:v>0</c:v>
                </c:pt>
              </c:numCache>
            </c:numRef>
          </c:val>
          <c:extLst>
            <c:ext xmlns:c16="http://schemas.microsoft.com/office/drawing/2014/chart" uri="{C3380CC4-5D6E-409C-BE32-E72D297353CC}">
              <c16:uniqueId val="{00000000-2097-42AB-A161-F84766B12E39}"/>
            </c:ext>
          </c:extLst>
        </c:ser>
        <c:dLbls>
          <c:showLegendKey val="0"/>
          <c:showVal val="0"/>
          <c:showCatName val="0"/>
          <c:showSerName val="0"/>
          <c:showPercent val="0"/>
          <c:showBubbleSize val="0"/>
        </c:dLbls>
        <c:gapWidth val="219"/>
        <c:overlap val="-27"/>
        <c:axId val="503103823"/>
        <c:axId val="503105743"/>
      </c:barChart>
      <c:catAx>
        <c:axId val="50310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503105743"/>
        <c:crosses val="autoZero"/>
        <c:auto val="1"/>
        <c:lblAlgn val="ctr"/>
        <c:lblOffset val="100"/>
        <c:noMultiLvlLbl val="0"/>
      </c:catAx>
      <c:valAx>
        <c:axId val="50310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id-ID"/>
          </a:p>
        </c:txPr>
        <c:crossAx val="5031038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L$61" lockText="1" noThreeD="1"/>
</file>

<file path=xl/ctrlProps/ctrlProp2.xml><?xml version="1.0" encoding="utf-8"?>
<formControlPr xmlns="http://schemas.microsoft.com/office/spreadsheetml/2009/9/main" objectType="CheckBox" checked="Checked" fmlaLink="$M$61" lockText="1" noThreeD="1"/>
</file>

<file path=xl/ctrlProps/ctrlProp3.xml><?xml version="1.0" encoding="utf-8"?>
<formControlPr xmlns="http://schemas.microsoft.com/office/spreadsheetml/2009/9/main" objectType="CheckBox" checked="Checked" fmlaLink="Pivot!$M$61" lockText="1" noThreeD="1"/>
</file>

<file path=xl/ctrlProps/ctrlProp4.xml><?xml version="1.0" encoding="utf-8"?>
<formControlPr xmlns="http://schemas.microsoft.com/office/spreadsheetml/2009/9/main" objectType="CheckBox" checked="Checked" fmlaLink="Pivot!$L$61"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1066800</xdr:colOff>
          <xdr:row>58</xdr:row>
          <xdr:rowOff>57150</xdr:rowOff>
        </xdr:from>
        <xdr:to>
          <xdr:col>8</xdr:col>
          <xdr:colOff>292100</xdr:colOff>
          <xdr:row>59</xdr:row>
          <xdr:rowOff>82550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1066800</xdr:colOff>
          <xdr:row>58</xdr:row>
          <xdr:rowOff>57150</xdr:rowOff>
        </xdr:from>
        <xdr:to>
          <xdr:col>8</xdr:col>
          <xdr:colOff>2051050</xdr:colOff>
          <xdr:row>59</xdr:row>
          <xdr:rowOff>82550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188310</xdr:colOff>
      <xdr:row>2</xdr:row>
      <xdr:rowOff>22479</xdr:rowOff>
    </xdr:from>
    <xdr:to>
      <xdr:col>12</xdr:col>
      <xdr:colOff>1694792</xdr:colOff>
      <xdr:row>17</xdr:row>
      <xdr:rowOff>28611</xdr:rowOff>
    </xdr:to>
    <xdr:graphicFrame macro="">
      <xdr:nvGraphicFramePr>
        <xdr:cNvPr id="9" name="Bagan 8">
          <a:extLst>
            <a:ext uri="{FF2B5EF4-FFF2-40B4-BE49-F238E27FC236}">
              <a16:creationId xmlns:a16="http://schemas.microsoft.com/office/drawing/2014/main" id="{D8CF998A-5BC2-1CCC-BEC5-7795DD9EC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346365</xdr:colOff>
      <xdr:row>1</xdr:row>
      <xdr:rowOff>42332</xdr:rowOff>
    </xdr:from>
    <xdr:to>
      <xdr:col>19</xdr:col>
      <xdr:colOff>372534</xdr:colOff>
      <xdr:row>6</xdr:row>
      <xdr:rowOff>173180</xdr:rowOff>
    </xdr:to>
    <xdr:sp macro="" textlink="">
      <xdr:nvSpPr>
        <xdr:cNvPr id="2" name="Persegi: Sudut Atas Lengkung 1">
          <a:extLst>
            <a:ext uri="{FF2B5EF4-FFF2-40B4-BE49-F238E27FC236}">
              <a16:creationId xmlns:a16="http://schemas.microsoft.com/office/drawing/2014/main" id="{44BC7D35-7937-D479-773D-DEC7F003D7AE}"/>
            </a:ext>
          </a:extLst>
        </xdr:cNvPr>
        <xdr:cNvSpPr/>
      </xdr:nvSpPr>
      <xdr:spPr>
        <a:xfrm>
          <a:off x="2781623" y="225631"/>
          <a:ext cx="9158385" cy="1047343"/>
        </a:xfrm>
        <a:prstGeom prst="round2SameRect">
          <a:avLst>
            <a:gd name="adj1" fmla="val 16667"/>
            <a:gd name="adj2" fmla="val 0"/>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154942</xdr:colOff>
      <xdr:row>5</xdr:row>
      <xdr:rowOff>81321</xdr:rowOff>
    </xdr:from>
    <xdr:to>
      <xdr:col>7</xdr:col>
      <xdr:colOff>583278</xdr:colOff>
      <xdr:row>9</xdr:row>
      <xdr:rowOff>123653</xdr:rowOff>
    </xdr:to>
    <xdr:sp macro="" textlink="">
      <xdr:nvSpPr>
        <xdr:cNvPr id="3" name="Persegi Panjang: Sudut Lengkung 2">
          <a:extLst>
            <a:ext uri="{FF2B5EF4-FFF2-40B4-BE49-F238E27FC236}">
              <a16:creationId xmlns:a16="http://schemas.microsoft.com/office/drawing/2014/main" id="{6993913D-2A5A-B564-BA4E-FC85060E371F}"/>
            </a:ext>
          </a:extLst>
        </xdr:cNvPr>
        <xdr:cNvSpPr/>
      </xdr:nvSpPr>
      <xdr:spPr>
        <a:xfrm>
          <a:off x="2610275" y="980904"/>
          <a:ext cx="2269836" cy="761999"/>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369798</xdr:colOff>
      <xdr:row>1</xdr:row>
      <xdr:rowOff>74140</xdr:rowOff>
    </xdr:from>
    <xdr:to>
      <xdr:col>17</xdr:col>
      <xdr:colOff>190335</xdr:colOff>
      <xdr:row>4</xdr:row>
      <xdr:rowOff>64202</xdr:rowOff>
    </xdr:to>
    <xdr:sp macro="" textlink="">
      <xdr:nvSpPr>
        <xdr:cNvPr id="5" name="Kotak Teks 4">
          <a:extLst>
            <a:ext uri="{FF2B5EF4-FFF2-40B4-BE49-F238E27FC236}">
              <a16:creationId xmlns:a16="http://schemas.microsoft.com/office/drawing/2014/main" id="{E7F2B7F0-9691-1472-79A1-6B60A156B1D1}"/>
            </a:ext>
          </a:extLst>
        </xdr:cNvPr>
        <xdr:cNvSpPr txBox="1"/>
      </xdr:nvSpPr>
      <xdr:spPr>
        <a:xfrm>
          <a:off x="3429343" y="258867"/>
          <a:ext cx="7163447" cy="54424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Arial" panose="020B0604020202020204" pitchFamily="34" charset="0"/>
              <a:cs typeface="Arial" panose="020B0604020202020204" pitchFamily="34" charset="0"/>
            </a:rPr>
            <a:t>Dashboard Evaluasi</a:t>
          </a:r>
          <a:r>
            <a:rPr lang="en-US" sz="2400" baseline="0">
              <a:solidFill>
                <a:schemeClr val="bg1"/>
              </a:solidFill>
              <a:latin typeface="Arial" panose="020B0604020202020204" pitchFamily="34" charset="0"/>
              <a:cs typeface="Arial" panose="020B0604020202020204" pitchFamily="34" charset="0"/>
            </a:rPr>
            <a:t> Kepuasan Layanan Polres</a:t>
          </a:r>
          <a:endParaRPr lang="id-ID" sz="24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4</xdr:col>
      <xdr:colOff>429358</xdr:colOff>
      <xdr:row>1</xdr:row>
      <xdr:rowOff>92345</xdr:rowOff>
    </xdr:from>
    <xdr:to>
      <xdr:col>5</xdr:col>
      <xdr:colOff>487194</xdr:colOff>
      <xdr:row>5</xdr:row>
      <xdr:rowOff>28368</xdr:rowOff>
    </xdr:to>
    <xdr:pic>
      <xdr:nvPicPr>
        <xdr:cNvPr id="6" name="Grafik 5" descr="Ruang Kelas dengan isian solid">
          <a:extLst>
            <a:ext uri="{FF2B5EF4-FFF2-40B4-BE49-F238E27FC236}">
              <a16:creationId xmlns:a16="http://schemas.microsoft.com/office/drawing/2014/main" id="{2163CA9E-A9DD-4285-92D1-BBC35E9D1F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76994" y="277072"/>
          <a:ext cx="669745" cy="674932"/>
        </a:xfrm>
        <a:prstGeom prst="rect">
          <a:avLst/>
        </a:prstGeom>
      </xdr:spPr>
    </xdr:pic>
    <xdr:clientData/>
  </xdr:twoCellAnchor>
  <xdr:twoCellAnchor>
    <xdr:from>
      <xdr:col>5</xdr:col>
      <xdr:colOff>396672</xdr:colOff>
      <xdr:row>3</xdr:row>
      <xdr:rowOff>37457</xdr:rowOff>
    </xdr:from>
    <xdr:to>
      <xdr:col>12</xdr:col>
      <xdr:colOff>188820</xdr:colOff>
      <xdr:row>5</xdr:row>
      <xdr:rowOff>26317</xdr:rowOff>
    </xdr:to>
    <xdr:sp macro="" textlink="">
      <xdr:nvSpPr>
        <xdr:cNvPr id="8" name="Kotak Teks 7">
          <a:extLst>
            <a:ext uri="{FF2B5EF4-FFF2-40B4-BE49-F238E27FC236}">
              <a16:creationId xmlns:a16="http://schemas.microsoft.com/office/drawing/2014/main" id="{39812107-C33A-8F0E-7188-D391FFAE649E}"/>
            </a:ext>
          </a:extLst>
        </xdr:cNvPr>
        <xdr:cNvSpPr txBox="1"/>
      </xdr:nvSpPr>
      <xdr:spPr>
        <a:xfrm>
          <a:off x="3440744" y="587354"/>
          <a:ext cx="4053849" cy="3554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Berdasarkan Survei</a:t>
          </a:r>
          <a:r>
            <a:rPr lang="en-US" sz="1100" baseline="0">
              <a:solidFill>
                <a:schemeClr val="bg1"/>
              </a:solidFill>
              <a:latin typeface="Arial" panose="020B0604020202020204" pitchFamily="34" charset="0"/>
              <a:cs typeface="Arial" panose="020B0604020202020204" pitchFamily="34" charset="0"/>
            </a:rPr>
            <a:t> Kepuasan Masyarakat</a:t>
          </a:r>
          <a:endParaRPr lang="id-ID"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135410</xdr:colOff>
      <xdr:row>5</xdr:row>
      <xdr:rowOff>82315</xdr:rowOff>
    </xdr:from>
    <xdr:to>
      <xdr:col>11</xdr:col>
      <xdr:colOff>563747</xdr:colOff>
      <xdr:row>9</xdr:row>
      <xdr:rowOff>124647</xdr:rowOff>
    </xdr:to>
    <xdr:sp macro="" textlink="">
      <xdr:nvSpPr>
        <xdr:cNvPr id="9" name="Persegi Panjang: Sudut Lengkung 8">
          <a:extLst>
            <a:ext uri="{FF2B5EF4-FFF2-40B4-BE49-F238E27FC236}">
              <a16:creationId xmlns:a16="http://schemas.microsoft.com/office/drawing/2014/main" id="{7B02EA7B-2F4A-4470-98A1-913B4E8B63A0}"/>
            </a:ext>
          </a:extLst>
        </xdr:cNvPr>
        <xdr:cNvSpPr/>
      </xdr:nvSpPr>
      <xdr:spPr>
        <a:xfrm>
          <a:off x="5027262" y="983858"/>
          <a:ext cx="2262781" cy="763567"/>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12</xdr:col>
      <xdr:colOff>148914</xdr:colOff>
      <xdr:row>5</xdr:row>
      <xdr:rowOff>86126</xdr:rowOff>
    </xdr:from>
    <xdr:to>
      <xdr:col>15</xdr:col>
      <xdr:colOff>577251</xdr:colOff>
      <xdr:row>9</xdr:row>
      <xdr:rowOff>128458</xdr:rowOff>
    </xdr:to>
    <xdr:sp macro="" textlink="">
      <xdr:nvSpPr>
        <xdr:cNvPr id="10" name="Persegi Panjang: Sudut Lengkung 9">
          <a:extLst>
            <a:ext uri="{FF2B5EF4-FFF2-40B4-BE49-F238E27FC236}">
              <a16:creationId xmlns:a16="http://schemas.microsoft.com/office/drawing/2014/main" id="{BA832045-3ACD-4F40-9409-9B90FF53A6E6}"/>
            </a:ext>
          </a:extLst>
        </xdr:cNvPr>
        <xdr:cNvSpPr/>
      </xdr:nvSpPr>
      <xdr:spPr>
        <a:xfrm>
          <a:off x="7486692" y="997469"/>
          <a:ext cx="2262781" cy="77140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16</xdr:col>
      <xdr:colOff>135802</xdr:colOff>
      <xdr:row>5</xdr:row>
      <xdr:rowOff>83729</xdr:rowOff>
    </xdr:from>
    <xdr:to>
      <xdr:col>19</xdr:col>
      <xdr:colOff>564734</xdr:colOff>
      <xdr:row>9</xdr:row>
      <xdr:rowOff>126061</xdr:rowOff>
    </xdr:to>
    <xdr:sp macro="" textlink="">
      <xdr:nvSpPr>
        <xdr:cNvPr id="11" name="Persegi Panjang: Sudut Lengkung 10">
          <a:extLst>
            <a:ext uri="{FF2B5EF4-FFF2-40B4-BE49-F238E27FC236}">
              <a16:creationId xmlns:a16="http://schemas.microsoft.com/office/drawing/2014/main" id="{49296BCE-E051-48D2-A886-043723D85149}"/>
            </a:ext>
          </a:extLst>
        </xdr:cNvPr>
        <xdr:cNvSpPr/>
      </xdr:nvSpPr>
      <xdr:spPr>
        <a:xfrm>
          <a:off x="9919506" y="995072"/>
          <a:ext cx="2263376" cy="77140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0</xdr:col>
      <xdr:colOff>162231</xdr:colOff>
      <xdr:row>10</xdr:row>
      <xdr:rowOff>46778</xdr:rowOff>
    </xdr:from>
    <xdr:to>
      <xdr:col>4</xdr:col>
      <xdr:colOff>147052</xdr:colOff>
      <xdr:row>22</xdr:row>
      <xdr:rowOff>13368</xdr:rowOff>
    </xdr:to>
    <xdr:sp macro="" textlink="">
      <xdr:nvSpPr>
        <xdr:cNvPr id="12" name="Persegi Panjang: Sudut Lengkung 11">
          <a:extLst>
            <a:ext uri="{FF2B5EF4-FFF2-40B4-BE49-F238E27FC236}">
              <a16:creationId xmlns:a16="http://schemas.microsoft.com/office/drawing/2014/main" id="{03B1329F-297F-45C4-AB10-E3FE9B09723C}"/>
            </a:ext>
          </a:extLst>
        </xdr:cNvPr>
        <xdr:cNvSpPr/>
      </xdr:nvSpPr>
      <xdr:spPr>
        <a:xfrm>
          <a:off x="162231" y="1918357"/>
          <a:ext cx="2417874" cy="2212485"/>
        </a:xfrm>
        <a:prstGeom prst="roundRect">
          <a:avLst/>
        </a:prstGeom>
        <a:solidFill>
          <a:schemeClr val="accent4">
            <a:lumMod val="50000"/>
          </a:schemeClr>
        </a:solidFill>
        <a:ln>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533743</xdr:colOff>
      <xdr:row>23</xdr:row>
      <xdr:rowOff>25057</xdr:rowOff>
    </xdr:from>
    <xdr:to>
      <xdr:col>11</xdr:col>
      <xdr:colOff>260803</xdr:colOff>
      <xdr:row>43</xdr:row>
      <xdr:rowOff>79375</xdr:rowOff>
    </xdr:to>
    <xdr:sp macro="" textlink="">
      <xdr:nvSpPr>
        <xdr:cNvPr id="14" name="Persegi Panjang: Sudut Lengkung 13">
          <a:extLst>
            <a:ext uri="{FF2B5EF4-FFF2-40B4-BE49-F238E27FC236}">
              <a16:creationId xmlns:a16="http://schemas.microsoft.com/office/drawing/2014/main" id="{2401A4EC-D8A3-4EEA-A647-ACF0044FD855}"/>
            </a:ext>
          </a:extLst>
        </xdr:cNvPr>
        <xdr:cNvSpPr/>
      </xdr:nvSpPr>
      <xdr:spPr>
        <a:xfrm>
          <a:off x="3595350" y="4197914"/>
          <a:ext cx="3400989" cy="3682890"/>
        </a:xfrm>
        <a:prstGeom prst="roundRect">
          <a:avLst/>
        </a:prstGeom>
        <a:solidFill>
          <a:schemeClr val="accent4">
            <a:lumMod val="50000"/>
          </a:schemeClr>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11</xdr:col>
      <xdr:colOff>418051</xdr:colOff>
      <xdr:row>23</xdr:row>
      <xdr:rowOff>43634</xdr:rowOff>
    </xdr:from>
    <xdr:to>
      <xdr:col>19</xdr:col>
      <xdr:colOff>275566</xdr:colOff>
      <xdr:row>43</xdr:row>
      <xdr:rowOff>95849</xdr:rowOff>
    </xdr:to>
    <xdr:sp macro="" textlink="">
      <xdr:nvSpPr>
        <xdr:cNvPr id="15" name="Persegi Panjang: Sudut Lengkung 14">
          <a:extLst>
            <a:ext uri="{FF2B5EF4-FFF2-40B4-BE49-F238E27FC236}">
              <a16:creationId xmlns:a16="http://schemas.microsoft.com/office/drawing/2014/main" id="{782D4798-C39E-40F1-A306-1158351C984D}"/>
            </a:ext>
          </a:extLst>
        </xdr:cNvPr>
        <xdr:cNvSpPr/>
      </xdr:nvSpPr>
      <xdr:spPr>
        <a:xfrm>
          <a:off x="7139466" y="4177125"/>
          <a:ext cx="4745817" cy="3646554"/>
        </a:xfrm>
        <a:prstGeom prst="roundRect">
          <a:avLst/>
        </a:prstGeom>
        <a:solidFill>
          <a:schemeClr val="accent4">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257431</xdr:colOff>
      <xdr:row>10</xdr:row>
      <xdr:rowOff>24007</xdr:rowOff>
    </xdr:from>
    <xdr:to>
      <xdr:col>17</xdr:col>
      <xdr:colOff>283592</xdr:colOff>
      <xdr:row>22</xdr:row>
      <xdr:rowOff>92475</xdr:rowOff>
    </xdr:to>
    <xdr:sp macro="" textlink="">
      <xdr:nvSpPr>
        <xdr:cNvPr id="16" name="Persegi Panjang: Sudut Lengkung 15">
          <a:extLst>
            <a:ext uri="{FF2B5EF4-FFF2-40B4-BE49-F238E27FC236}">
              <a16:creationId xmlns:a16="http://schemas.microsoft.com/office/drawing/2014/main" id="{5658BFBF-BF83-4112-B8FC-C74889F63F91}"/>
            </a:ext>
          </a:extLst>
        </xdr:cNvPr>
        <xdr:cNvSpPr/>
      </xdr:nvSpPr>
      <xdr:spPr>
        <a:xfrm>
          <a:off x="2698981" y="1845325"/>
          <a:ext cx="7961200" cy="225404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17</xdr:col>
      <xdr:colOff>397485</xdr:colOff>
      <xdr:row>10</xdr:row>
      <xdr:rowOff>52107</xdr:rowOff>
    </xdr:from>
    <xdr:to>
      <xdr:col>22</xdr:col>
      <xdr:colOff>594295</xdr:colOff>
      <xdr:row>22</xdr:row>
      <xdr:rowOff>16281</xdr:rowOff>
    </xdr:to>
    <xdr:sp macro="" textlink="">
      <xdr:nvSpPr>
        <xdr:cNvPr id="17" name="Persegi Panjang: Sudut Lengkung 16">
          <a:extLst>
            <a:ext uri="{FF2B5EF4-FFF2-40B4-BE49-F238E27FC236}">
              <a16:creationId xmlns:a16="http://schemas.microsoft.com/office/drawing/2014/main" id="{6F16D942-994C-4009-BB08-F935F8D0D09A}"/>
            </a:ext>
          </a:extLst>
        </xdr:cNvPr>
        <xdr:cNvSpPr/>
      </xdr:nvSpPr>
      <xdr:spPr>
        <a:xfrm>
          <a:off x="10777293" y="1924543"/>
          <a:ext cx="3249694" cy="2211097"/>
        </a:xfrm>
        <a:prstGeom prst="roundRect">
          <a:avLst/>
        </a:prstGeom>
        <a:solidFill>
          <a:schemeClr val="accent4">
            <a:lumMod val="50000"/>
          </a:schemeClr>
        </a:solidFill>
        <a:ln>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19</xdr:col>
      <xdr:colOff>419554</xdr:colOff>
      <xdr:row>23</xdr:row>
      <xdr:rowOff>22679</xdr:rowOff>
    </xdr:from>
    <xdr:to>
      <xdr:col>22</xdr:col>
      <xdr:colOff>546582</xdr:colOff>
      <xdr:row>30</xdr:row>
      <xdr:rowOff>8039</xdr:rowOff>
    </xdr:to>
    <xdr:sp macro="" textlink="">
      <xdr:nvSpPr>
        <xdr:cNvPr id="19" name="Persegi Panjang: Sudut Lengkung 18">
          <a:extLst>
            <a:ext uri="{FF2B5EF4-FFF2-40B4-BE49-F238E27FC236}">
              <a16:creationId xmlns:a16="http://schemas.microsoft.com/office/drawing/2014/main" id="{6E719C59-BD05-4929-BBB3-B99DA40C309A}"/>
            </a:ext>
          </a:extLst>
        </xdr:cNvPr>
        <xdr:cNvSpPr/>
      </xdr:nvSpPr>
      <xdr:spPr>
        <a:xfrm>
          <a:off x="12053661" y="4195536"/>
          <a:ext cx="1963992" cy="1255360"/>
        </a:xfrm>
        <a:prstGeom prst="roundRect">
          <a:avLst/>
        </a:prstGeom>
        <a:solidFill>
          <a:schemeClr val="accent4">
            <a:lumMod val="50000"/>
          </a:schemeClr>
        </a:solidFill>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524161</xdr:colOff>
      <xdr:row>5</xdr:row>
      <xdr:rowOff>99238</xdr:rowOff>
    </xdr:from>
    <xdr:to>
      <xdr:col>7</xdr:col>
      <xdr:colOff>152722</xdr:colOff>
      <xdr:row>7</xdr:row>
      <xdr:rowOff>48228</xdr:rowOff>
    </xdr:to>
    <xdr:sp macro="" textlink="">
      <xdr:nvSpPr>
        <xdr:cNvPr id="20" name="Kotak Teks 19">
          <a:extLst>
            <a:ext uri="{FF2B5EF4-FFF2-40B4-BE49-F238E27FC236}">
              <a16:creationId xmlns:a16="http://schemas.microsoft.com/office/drawing/2014/main" id="{4FDBCEF8-1E47-B490-26D5-B0775963E29E}"/>
            </a:ext>
          </a:extLst>
        </xdr:cNvPr>
        <xdr:cNvSpPr txBox="1"/>
      </xdr:nvSpPr>
      <xdr:spPr>
        <a:xfrm>
          <a:off x="2967705" y="1023605"/>
          <a:ext cx="1461220" cy="3187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Total</a:t>
          </a:r>
          <a:r>
            <a:rPr lang="en-US" sz="1200" b="1" baseline="0">
              <a:solidFill>
                <a:schemeClr val="tx1"/>
              </a:solidFill>
              <a:latin typeface="Arial" panose="020B0604020202020204" pitchFamily="34" charset="0"/>
              <a:cs typeface="Arial" panose="020B0604020202020204" pitchFamily="34" charset="0"/>
            </a:rPr>
            <a:t> Responden</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443007</xdr:colOff>
      <xdr:row>5</xdr:row>
      <xdr:rowOff>89617</xdr:rowOff>
    </xdr:from>
    <xdr:to>
      <xdr:col>11</xdr:col>
      <xdr:colOff>303695</xdr:colOff>
      <xdr:row>7</xdr:row>
      <xdr:rowOff>96631</xdr:rowOff>
    </xdr:to>
    <xdr:sp macro="" textlink="">
      <xdr:nvSpPr>
        <xdr:cNvPr id="21" name="Kotak Teks 20">
          <a:extLst>
            <a:ext uri="{FF2B5EF4-FFF2-40B4-BE49-F238E27FC236}">
              <a16:creationId xmlns:a16="http://schemas.microsoft.com/office/drawing/2014/main" id="{F8A1DABF-FCFD-6896-1F57-E0CCAF82E8E1}"/>
            </a:ext>
          </a:extLst>
        </xdr:cNvPr>
        <xdr:cNvSpPr txBox="1"/>
      </xdr:nvSpPr>
      <xdr:spPr>
        <a:xfrm>
          <a:off x="5302137" y="1021410"/>
          <a:ext cx="1682862" cy="3797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Rata-Rata</a:t>
          </a:r>
          <a:r>
            <a:rPr lang="en-US" sz="1200" b="1" baseline="0">
              <a:solidFill>
                <a:schemeClr val="tx1"/>
              </a:solidFill>
              <a:latin typeface="Arial" panose="020B0604020202020204" pitchFamily="34" charset="0"/>
              <a:cs typeface="Arial" panose="020B0604020202020204" pitchFamily="34" charset="0"/>
            </a:rPr>
            <a:t> Kepuasan</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12</xdr:col>
      <xdr:colOff>346820</xdr:colOff>
      <xdr:row>5</xdr:row>
      <xdr:rowOff>107205</xdr:rowOff>
    </xdr:from>
    <xdr:to>
      <xdr:col>15</xdr:col>
      <xdr:colOff>395628</xdr:colOff>
      <xdr:row>7</xdr:row>
      <xdr:rowOff>114219</xdr:rowOff>
    </xdr:to>
    <xdr:sp macro="" textlink="">
      <xdr:nvSpPr>
        <xdr:cNvPr id="22" name="Kotak Teks 21">
          <a:extLst>
            <a:ext uri="{FF2B5EF4-FFF2-40B4-BE49-F238E27FC236}">
              <a16:creationId xmlns:a16="http://schemas.microsoft.com/office/drawing/2014/main" id="{49E083D4-0E95-6198-04A3-48A355A7C5B1}"/>
            </a:ext>
          </a:extLst>
        </xdr:cNvPr>
        <xdr:cNvSpPr txBox="1"/>
      </xdr:nvSpPr>
      <xdr:spPr>
        <a:xfrm>
          <a:off x="7681070" y="1020018"/>
          <a:ext cx="1882371" cy="372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Rata-Rata</a:t>
          </a:r>
          <a:r>
            <a:rPr lang="en-US" sz="1200" b="1" baseline="0">
              <a:solidFill>
                <a:schemeClr val="tx1"/>
              </a:solidFill>
              <a:latin typeface="Arial" panose="020B0604020202020204" pitchFamily="34" charset="0"/>
              <a:cs typeface="Arial" panose="020B0604020202020204" pitchFamily="34" charset="0"/>
            </a:rPr>
            <a:t> Kepentingan</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16</xdr:col>
      <xdr:colOff>322496</xdr:colOff>
      <xdr:row>5</xdr:row>
      <xdr:rowOff>107205</xdr:rowOff>
    </xdr:from>
    <xdr:to>
      <xdr:col>19</xdr:col>
      <xdr:colOff>371304</xdr:colOff>
      <xdr:row>7</xdr:row>
      <xdr:rowOff>114219</xdr:rowOff>
    </xdr:to>
    <xdr:sp macro="" textlink="">
      <xdr:nvSpPr>
        <xdr:cNvPr id="23" name="Kotak Teks 22">
          <a:extLst>
            <a:ext uri="{FF2B5EF4-FFF2-40B4-BE49-F238E27FC236}">
              <a16:creationId xmlns:a16="http://schemas.microsoft.com/office/drawing/2014/main" id="{27FD2C11-B2F7-1936-00B6-05D7115FCC1A}"/>
            </a:ext>
          </a:extLst>
        </xdr:cNvPr>
        <xdr:cNvSpPr txBox="1"/>
      </xdr:nvSpPr>
      <xdr:spPr>
        <a:xfrm>
          <a:off x="10054707" y="1042994"/>
          <a:ext cx="1873597" cy="3813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Rata-Rata</a:t>
          </a:r>
          <a:r>
            <a:rPr lang="en-US" sz="1200" b="1" baseline="0">
              <a:solidFill>
                <a:schemeClr val="tx1"/>
              </a:solidFill>
              <a:latin typeface="Arial" panose="020B0604020202020204" pitchFamily="34" charset="0"/>
              <a:cs typeface="Arial" panose="020B0604020202020204" pitchFamily="34" charset="0"/>
            </a:rPr>
            <a:t> Gap</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502307</xdr:colOff>
      <xdr:row>6</xdr:row>
      <xdr:rowOff>169930</xdr:rowOff>
    </xdr:from>
    <xdr:to>
      <xdr:col>7</xdr:col>
      <xdr:colOff>130868</xdr:colOff>
      <xdr:row>8</xdr:row>
      <xdr:rowOff>118918</xdr:rowOff>
    </xdr:to>
    <xdr:sp macro="" textlink="Pivot!G103">
      <xdr:nvSpPr>
        <xdr:cNvPr id="24" name="Kotak Teks 23">
          <a:extLst>
            <a:ext uri="{FF2B5EF4-FFF2-40B4-BE49-F238E27FC236}">
              <a16:creationId xmlns:a16="http://schemas.microsoft.com/office/drawing/2014/main" id="{D4340D52-24A8-ADDD-A23F-9EBA66FF824C}"/>
            </a:ext>
          </a:extLst>
        </xdr:cNvPr>
        <xdr:cNvSpPr txBox="1"/>
      </xdr:nvSpPr>
      <xdr:spPr>
        <a:xfrm>
          <a:off x="2952660" y="1290518"/>
          <a:ext cx="1466326" cy="32251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8AB09E-1459-4DE6-AFF6-C3A861352B5D}" type="TxLink">
            <a:rPr lang="en-US" sz="2000" b="1" i="0" u="none" strike="noStrike">
              <a:solidFill>
                <a:srgbClr val="000000"/>
              </a:solidFill>
              <a:latin typeface="Arial" panose="020B0604020202020204" pitchFamily="34" charset="0"/>
              <a:ea typeface="Calibri" panose="020F0502020204030204" pitchFamily="34" charset="0"/>
              <a:cs typeface="Arial" panose="020B0604020202020204" pitchFamily="34" charset="0"/>
            </a:rPr>
            <a:pPr algn="ctr"/>
            <a:t>6</a:t>
          </a:fld>
          <a:endParaRPr lang="id-ID" sz="2400" b="1">
            <a:solidFill>
              <a:schemeClr val="tx1"/>
            </a:solidFill>
            <a:latin typeface="Arial" panose="020B0604020202020204" pitchFamily="34" charset="0"/>
            <a:ea typeface="Calibri" panose="020F0502020204030204" pitchFamily="34" charset="0"/>
            <a:cs typeface="Arial" panose="020B0604020202020204" pitchFamily="34" charset="0"/>
          </a:endParaRPr>
        </a:p>
      </xdr:txBody>
    </xdr:sp>
    <xdr:clientData/>
  </xdr:twoCellAnchor>
  <xdr:twoCellAnchor>
    <xdr:from>
      <xdr:col>8</xdr:col>
      <xdr:colOff>379189</xdr:colOff>
      <xdr:row>6</xdr:row>
      <xdr:rowOff>152374</xdr:rowOff>
    </xdr:from>
    <xdr:to>
      <xdr:col>11</xdr:col>
      <xdr:colOff>239877</xdr:colOff>
      <xdr:row>8</xdr:row>
      <xdr:rowOff>159388</xdr:rowOff>
    </xdr:to>
    <xdr:sp macro="" textlink="Pivot!H72">
      <xdr:nvSpPr>
        <xdr:cNvPr id="25" name="Kotak Teks 24">
          <a:extLst>
            <a:ext uri="{FF2B5EF4-FFF2-40B4-BE49-F238E27FC236}">
              <a16:creationId xmlns:a16="http://schemas.microsoft.com/office/drawing/2014/main" id="{5DDF8114-0125-C1D2-645F-840A34223CD5}"/>
            </a:ext>
          </a:extLst>
        </xdr:cNvPr>
        <xdr:cNvSpPr txBox="1"/>
      </xdr:nvSpPr>
      <xdr:spPr>
        <a:xfrm>
          <a:off x="5238319" y="1270526"/>
          <a:ext cx="1682862" cy="3797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CA48C7-33DC-4D97-8606-6056D3A2484B}" type="TxLink">
            <a:rPr lang="en-US" sz="2000" b="1" i="0" u="none" strike="noStrike">
              <a:solidFill>
                <a:srgbClr val="000000"/>
              </a:solidFill>
              <a:latin typeface="Arial" panose="020B0604020202020204" pitchFamily="34" charset="0"/>
              <a:cs typeface="Arial" panose="020B0604020202020204" pitchFamily="34" charset="0"/>
            </a:rPr>
            <a:pPr algn="ctr"/>
            <a:t>3.09</a:t>
          </a:fld>
          <a:endParaRPr lang="id-ID"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12</xdr:col>
      <xdr:colOff>317987</xdr:colOff>
      <xdr:row>6</xdr:row>
      <xdr:rowOff>161649</xdr:rowOff>
    </xdr:from>
    <xdr:to>
      <xdr:col>15</xdr:col>
      <xdr:colOff>366795</xdr:colOff>
      <xdr:row>8</xdr:row>
      <xdr:rowOff>168663</xdr:rowOff>
    </xdr:to>
    <xdr:sp macro="" textlink="Pivot!I72">
      <xdr:nvSpPr>
        <xdr:cNvPr id="26" name="Kotak Teks 25">
          <a:extLst>
            <a:ext uri="{FF2B5EF4-FFF2-40B4-BE49-F238E27FC236}">
              <a16:creationId xmlns:a16="http://schemas.microsoft.com/office/drawing/2014/main" id="{E2D46F08-8F4E-C615-55FA-662A0D40F103}"/>
            </a:ext>
          </a:extLst>
        </xdr:cNvPr>
        <xdr:cNvSpPr txBox="1"/>
      </xdr:nvSpPr>
      <xdr:spPr>
        <a:xfrm>
          <a:off x="7637987" y="1271649"/>
          <a:ext cx="1878808" cy="3770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41AAA1-476F-4213-B93D-1CCB6CF91A9A}" type="TxLink">
            <a:rPr lang="en-US" sz="2000" b="1" i="0" u="none" strike="noStrike">
              <a:solidFill>
                <a:srgbClr val="000000"/>
              </a:solidFill>
              <a:latin typeface="Arial" panose="020B0604020202020204" pitchFamily="34" charset="0"/>
              <a:cs typeface="Arial" panose="020B0604020202020204" pitchFamily="34" charset="0"/>
            </a:rPr>
            <a:pPr algn="ctr"/>
            <a:t>3.26</a:t>
          </a:fld>
          <a:endParaRPr lang="id-ID"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16</xdr:col>
      <xdr:colOff>300317</xdr:colOff>
      <xdr:row>6</xdr:row>
      <xdr:rowOff>138161</xdr:rowOff>
    </xdr:from>
    <xdr:to>
      <xdr:col>19</xdr:col>
      <xdr:colOff>349125</xdr:colOff>
      <xdr:row>8</xdr:row>
      <xdr:rowOff>145174</xdr:rowOff>
    </xdr:to>
    <xdr:sp macro="" textlink="Pivot!J63">
      <xdr:nvSpPr>
        <xdr:cNvPr id="27" name="Kotak Teks 26">
          <a:extLst>
            <a:ext uri="{FF2B5EF4-FFF2-40B4-BE49-F238E27FC236}">
              <a16:creationId xmlns:a16="http://schemas.microsoft.com/office/drawing/2014/main" id="{CF711956-F016-AEB5-E553-DA03D02CE560}"/>
            </a:ext>
          </a:extLst>
        </xdr:cNvPr>
        <xdr:cNvSpPr txBox="1"/>
      </xdr:nvSpPr>
      <xdr:spPr>
        <a:xfrm>
          <a:off x="10069548" y="1261623"/>
          <a:ext cx="1880539" cy="38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1E35E9-016D-4AC8-93C7-7B0F750BB88C}" type="TxLink">
            <a:rPr lang="en-US" sz="2000" b="1" i="0" u="none" strike="noStrike">
              <a:solidFill>
                <a:srgbClr val="000000"/>
              </a:solidFill>
              <a:latin typeface="Arial" panose="020B0604020202020204" pitchFamily="34" charset="0"/>
              <a:cs typeface="Arial" panose="020B0604020202020204" pitchFamily="34" charset="0"/>
            </a:rPr>
            <a:pPr algn="ctr"/>
            <a:t>17%</a:t>
          </a:fld>
          <a:endParaRPr lang="id-ID"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320841</xdr:colOff>
      <xdr:row>11</xdr:row>
      <xdr:rowOff>160759</xdr:rowOff>
    </xdr:from>
    <xdr:to>
      <xdr:col>3</xdr:col>
      <xdr:colOff>522468</xdr:colOff>
      <xdr:row>22</xdr:row>
      <xdr:rowOff>43042</xdr:rowOff>
    </xdr:to>
    <xdr:graphicFrame macro="">
      <xdr:nvGraphicFramePr>
        <xdr:cNvPr id="28" name="Bagan 27">
          <a:extLst>
            <a:ext uri="{FF2B5EF4-FFF2-40B4-BE49-F238E27FC236}">
              <a16:creationId xmlns:a16="http://schemas.microsoft.com/office/drawing/2014/main" id="{4B9D8F55-DF4E-41F1-B6FE-D54CC6221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166133</xdr:colOff>
      <xdr:row>23</xdr:row>
      <xdr:rowOff>21584</xdr:rowOff>
    </xdr:from>
    <xdr:to>
      <xdr:col>5</xdr:col>
      <xdr:colOff>391976</xdr:colOff>
      <xdr:row>43</xdr:row>
      <xdr:rowOff>47036</xdr:rowOff>
    </xdr:to>
    <xdr:sp macro="" textlink="">
      <xdr:nvSpPr>
        <xdr:cNvPr id="29" name="Persegi Panjang: Sudut Lengkung 28">
          <a:extLst>
            <a:ext uri="{FF2B5EF4-FFF2-40B4-BE49-F238E27FC236}">
              <a16:creationId xmlns:a16="http://schemas.microsoft.com/office/drawing/2014/main" id="{819E43A3-3E18-4235-9A80-FB1E696BFF85}"/>
            </a:ext>
          </a:extLst>
        </xdr:cNvPr>
        <xdr:cNvSpPr/>
      </xdr:nvSpPr>
      <xdr:spPr>
        <a:xfrm>
          <a:off x="166133" y="4168683"/>
          <a:ext cx="3283250" cy="3631625"/>
        </a:xfrm>
        <a:prstGeom prst="roundRect">
          <a:avLst/>
        </a:prstGeom>
        <a:solidFill>
          <a:schemeClr val="accent4">
            <a:lumMod val="50000"/>
          </a:schemeClr>
        </a:solidFill>
        <a:ln>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id-ID" sz="1100"/>
        </a:p>
      </xdr:txBody>
    </xdr:sp>
    <xdr:clientData/>
  </xdr:twoCellAnchor>
  <xdr:twoCellAnchor>
    <xdr:from>
      <xdr:col>1</xdr:col>
      <xdr:colOff>30602</xdr:colOff>
      <xdr:row>10</xdr:row>
      <xdr:rowOff>101362</xdr:rowOff>
    </xdr:from>
    <xdr:to>
      <xdr:col>3</xdr:col>
      <xdr:colOff>266554</xdr:colOff>
      <xdr:row>12</xdr:row>
      <xdr:rowOff>53750</xdr:rowOff>
    </xdr:to>
    <xdr:sp macro="" textlink="">
      <xdr:nvSpPr>
        <xdr:cNvPr id="30" name="Kotak Teks 29">
          <a:extLst>
            <a:ext uri="{FF2B5EF4-FFF2-40B4-BE49-F238E27FC236}">
              <a16:creationId xmlns:a16="http://schemas.microsoft.com/office/drawing/2014/main" id="{0B5A68FF-979E-F6FC-C4A4-6D883EFC31B7}"/>
            </a:ext>
          </a:extLst>
        </xdr:cNvPr>
        <xdr:cNvSpPr txBox="1"/>
      </xdr:nvSpPr>
      <xdr:spPr>
        <a:xfrm>
          <a:off x="637993" y="1923536"/>
          <a:ext cx="1450735" cy="3168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Jenis Kelamin</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519245</xdr:colOff>
      <xdr:row>25</xdr:row>
      <xdr:rowOff>653</xdr:rowOff>
    </xdr:from>
    <xdr:to>
      <xdr:col>19</xdr:col>
      <xdr:colOff>215447</xdr:colOff>
      <xdr:row>41</xdr:row>
      <xdr:rowOff>158749</xdr:rowOff>
    </xdr:to>
    <xdr:graphicFrame macro="">
      <xdr:nvGraphicFramePr>
        <xdr:cNvPr id="31" name="Bagan 30">
          <a:extLst>
            <a:ext uri="{FF2B5EF4-FFF2-40B4-BE49-F238E27FC236}">
              <a16:creationId xmlns:a16="http://schemas.microsoft.com/office/drawing/2014/main" id="{6F29220E-D47E-4E1C-9A6C-6C30FD703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100479</xdr:colOff>
      <xdr:row>24</xdr:row>
      <xdr:rowOff>45252</xdr:rowOff>
    </xdr:from>
    <xdr:to>
      <xdr:col>11</xdr:col>
      <xdr:colOff>68036</xdr:colOff>
      <xdr:row>42</xdr:row>
      <xdr:rowOff>68035</xdr:rowOff>
    </xdr:to>
    <xdr:graphicFrame macro="">
      <xdr:nvGraphicFramePr>
        <xdr:cNvPr id="32" name="Bagan 31">
          <a:extLst>
            <a:ext uri="{FF2B5EF4-FFF2-40B4-BE49-F238E27FC236}">
              <a16:creationId xmlns:a16="http://schemas.microsoft.com/office/drawing/2014/main" id="{3586114C-FEB9-4332-A0C3-22EA6A30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330858</xdr:colOff>
      <xdr:row>25</xdr:row>
      <xdr:rowOff>8567</xdr:rowOff>
    </xdr:from>
    <xdr:to>
      <xdr:col>5</xdr:col>
      <xdr:colOff>227346</xdr:colOff>
      <xdr:row>42</xdr:row>
      <xdr:rowOff>31358</xdr:rowOff>
    </xdr:to>
    <xdr:graphicFrame macro="">
      <xdr:nvGraphicFramePr>
        <xdr:cNvPr id="33" name="Bagan 32">
          <a:extLst>
            <a:ext uri="{FF2B5EF4-FFF2-40B4-BE49-F238E27FC236}">
              <a16:creationId xmlns:a16="http://schemas.microsoft.com/office/drawing/2014/main" id="{B4735A67-6537-4ECF-8F38-749AB1A25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424222</xdr:colOff>
      <xdr:row>23</xdr:row>
      <xdr:rowOff>80264</xdr:rowOff>
    </xdr:from>
    <xdr:to>
      <xdr:col>4</xdr:col>
      <xdr:colOff>49136</xdr:colOff>
      <xdr:row>25</xdr:row>
      <xdr:rowOff>33302</xdr:rowOff>
    </xdr:to>
    <xdr:sp macro="" textlink="">
      <xdr:nvSpPr>
        <xdr:cNvPr id="34" name="Kotak Teks 33">
          <a:extLst>
            <a:ext uri="{FF2B5EF4-FFF2-40B4-BE49-F238E27FC236}">
              <a16:creationId xmlns:a16="http://schemas.microsoft.com/office/drawing/2014/main" id="{010F7D36-2AAB-D276-1590-CC9DA8A3AE15}"/>
            </a:ext>
          </a:extLst>
        </xdr:cNvPr>
        <xdr:cNvSpPr txBox="1"/>
      </xdr:nvSpPr>
      <xdr:spPr>
        <a:xfrm>
          <a:off x="1029914" y="4349418"/>
          <a:ext cx="1441991" cy="3242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Media Informasi</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127889</xdr:colOff>
      <xdr:row>23</xdr:row>
      <xdr:rowOff>45840</xdr:rowOff>
    </xdr:from>
    <xdr:to>
      <xdr:col>10</xdr:col>
      <xdr:colOff>84667</xdr:colOff>
      <xdr:row>25</xdr:row>
      <xdr:rowOff>1</xdr:rowOff>
    </xdr:to>
    <xdr:sp macro="" textlink="">
      <xdr:nvSpPr>
        <xdr:cNvPr id="35" name="Kotak Teks 34">
          <a:extLst>
            <a:ext uri="{FF2B5EF4-FFF2-40B4-BE49-F238E27FC236}">
              <a16:creationId xmlns:a16="http://schemas.microsoft.com/office/drawing/2014/main" id="{40230134-E1D1-5286-A630-AB45E99B0AFB}"/>
            </a:ext>
          </a:extLst>
        </xdr:cNvPr>
        <xdr:cNvSpPr txBox="1"/>
      </xdr:nvSpPr>
      <xdr:spPr>
        <a:xfrm>
          <a:off x="4412226" y="4268973"/>
          <a:ext cx="1792923" cy="3213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Pendidikan</a:t>
          </a:r>
          <a:r>
            <a:rPr lang="en-US" sz="1200" b="1" baseline="0">
              <a:solidFill>
                <a:schemeClr val="bg1"/>
              </a:solidFill>
              <a:latin typeface="Arial" panose="020B0604020202020204" pitchFamily="34" charset="0"/>
              <a:cs typeface="Arial" panose="020B0604020202020204" pitchFamily="34" charset="0"/>
            </a:rPr>
            <a:t> Terakhir</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51382</xdr:colOff>
      <xdr:row>23</xdr:row>
      <xdr:rowOff>107044</xdr:rowOff>
    </xdr:from>
    <xdr:to>
      <xdr:col>17</xdr:col>
      <xdr:colOff>8161</xdr:colOff>
      <xdr:row>25</xdr:row>
      <xdr:rowOff>61205</xdr:rowOff>
    </xdr:to>
    <xdr:sp macro="" textlink="">
      <xdr:nvSpPr>
        <xdr:cNvPr id="36" name="Kotak Teks 35">
          <a:extLst>
            <a:ext uri="{FF2B5EF4-FFF2-40B4-BE49-F238E27FC236}">
              <a16:creationId xmlns:a16="http://schemas.microsoft.com/office/drawing/2014/main" id="{BF5450E2-C276-A2AC-1275-B0B1A768C79F}"/>
            </a:ext>
          </a:extLst>
        </xdr:cNvPr>
        <xdr:cNvSpPr txBox="1"/>
      </xdr:nvSpPr>
      <xdr:spPr>
        <a:xfrm>
          <a:off x="8620057" y="4330177"/>
          <a:ext cx="1792923" cy="3213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Kelompok</a:t>
          </a:r>
          <a:r>
            <a:rPr lang="en-US" sz="1200" b="1" baseline="0">
              <a:solidFill>
                <a:schemeClr val="bg1"/>
              </a:solidFill>
              <a:latin typeface="Arial" panose="020B0604020202020204" pitchFamily="34" charset="0"/>
              <a:cs typeface="Arial" panose="020B0604020202020204" pitchFamily="34" charset="0"/>
            </a:rPr>
            <a:t> Usia</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531943</xdr:colOff>
      <xdr:row>10</xdr:row>
      <xdr:rowOff>64998</xdr:rowOff>
    </xdr:from>
    <xdr:to>
      <xdr:col>7</xdr:col>
      <xdr:colOff>160504</xdr:colOff>
      <xdr:row>12</xdr:row>
      <xdr:rowOff>13988</xdr:rowOff>
    </xdr:to>
    <xdr:sp macro="" textlink="">
      <xdr:nvSpPr>
        <xdr:cNvPr id="39" name="Kotak Teks 38">
          <a:extLst>
            <a:ext uri="{FF2B5EF4-FFF2-40B4-BE49-F238E27FC236}">
              <a16:creationId xmlns:a16="http://schemas.microsoft.com/office/drawing/2014/main" id="{9EF031A1-700C-2A53-DE65-1DBB6995B087}"/>
            </a:ext>
          </a:extLst>
        </xdr:cNvPr>
        <xdr:cNvSpPr txBox="1"/>
      </xdr:nvSpPr>
      <xdr:spPr>
        <a:xfrm>
          <a:off x="2966110" y="1917081"/>
          <a:ext cx="1454186" cy="3194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Dimensi</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346615</xdr:colOff>
      <xdr:row>12</xdr:row>
      <xdr:rowOff>17972</xdr:rowOff>
    </xdr:from>
    <xdr:to>
      <xdr:col>17</xdr:col>
      <xdr:colOff>119811</xdr:colOff>
      <xdr:row>22</xdr:row>
      <xdr:rowOff>125803</xdr:rowOff>
    </xdr:to>
    <xdr:graphicFrame macro="">
      <xdr:nvGraphicFramePr>
        <xdr:cNvPr id="13" name="Bagan 12">
          <a:extLst>
            <a:ext uri="{FF2B5EF4-FFF2-40B4-BE49-F238E27FC236}">
              <a16:creationId xmlns:a16="http://schemas.microsoft.com/office/drawing/2014/main" id="{16CAEAEF-3163-4EC8-8310-C0B51859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88852</xdr:colOff>
      <xdr:row>10</xdr:row>
      <xdr:rowOff>74133</xdr:rowOff>
    </xdr:from>
    <xdr:to>
      <xdr:col>17</xdr:col>
      <xdr:colOff>19845</xdr:colOff>
      <xdr:row>12</xdr:row>
      <xdr:rowOff>81146</xdr:rowOff>
    </xdr:to>
    <xdr:sp macro="" textlink="">
      <xdr:nvSpPr>
        <xdr:cNvPr id="18" name="Kotak Teks 17">
          <a:extLst>
            <a:ext uri="{FF2B5EF4-FFF2-40B4-BE49-F238E27FC236}">
              <a16:creationId xmlns:a16="http://schemas.microsoft.com/office/drawing/2014/main" id="{BE364E89-9B03-B0AD-3EE7-C77664FAD25D}"/>
            </a:ext>
          </a:extLst>
        </xdr:cNvPr>
        <xdr:cNvSpPr txBox="1"/>
      </xdr:nvSpPr>
      <xdr:spPr>
        <a:xfrm>
          <a:off x="9216977" y="1926216"/>
          <a:ext cx="1148076" cy="3774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Kepentingan</a:t>
          </a:r>
          <a:endParaRPr lang="id-ID" sz="1200" b="1">
            <a:solidFill>
              <a:schemeClr val="tx1"/>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14</xdr:col>
          <xdr:colOff>527050</xdr:colOff>
          <xdr:row>10</xdr:row>
          <xdr:rowOff>101600</xdr:rowOff>
        </xdr:from>
        <xdr:to>
          <xdr:col>15</xdr:col>
          <xdr:colOff>146050</xdr:colOff>
          <xdr:row>11</xdr:row>
          <xdr:rowOff>139700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10</xdr:row>
          <xdr:rowOff>95250</xdr:rowOff>
        </xdr:from>
        <xdr:to>
          <xdr:col>13</xdr:col>
          <xdr:colOff>247650</xdr:colOff>
          <xdr:row>11</xdr:row>
          <xdr:rowOff>133350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216837</xdr:colOff>
      <xdr:row>10</xdr:row>
      <xdr:rowOff>68915</xdr:rowOff>
    </xdr:from>
    <xdr:to>
      <xdr:col>14</xdr:col>
      <xdr:colOff>531628</xdr:colOff>
      <xdr:row>11</xdr:row>
      <xdr:rowOff>137829</xdr:rowOff>
    </xdr:to>
    <xdr:sp macro="" textlink="">
      <xdr:nvSpPr>
        <xdr:cNvPr id="37" name="Kotak Teks 36">
          <a:extLst>
            <a:ext uri="{FF2B5EF4-FFF2-40B4-BE49-F238E27FC236}">
              <a16:creationId xmlns:a16="http://schemas.microsoft.com/office/drawing/2014/main" id="{799A1161-BB95-13F0-7561-E1C2BC9FA148}"/>
            </a:ext>
          </a:extLst>
        </xdr:cNvPr>
        <xdr:cNvSpPr txBox="1"/>
      </xdr:nvSpPr>
      <xdr:spPr>
        <a:xfrm>
          <a:off x="8151876" y="1890233"/>
          <a:ext cx="925178" cy="2510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Arial" panose="020B0604020202020204" pitchFamily="34" charset="0"/>
              <a:cs typeface="Arial" panose="020B0604020202020204" pitchFamily="34" charset="0"/>
            </a:rPr>
            <a:t>Kepuasan</a:t>
          </a:r>
          <a:endParaRPr lang="id-ID"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23</xdr:col>
      <xdr:colOff>211667</xdr:colOff>
      <xdr:row>5</xdr:row>
      <xdr:rowOff>165146</xdr:rowOff>
    </xdr:from>
    <xdr:to>
      <xdr:col>28</xdr:col>
      <xdr:colOff>356492</xdr:colOff>
      <xdr:row>30</xdr:row>
      <xdr:rowOff>0</xdr:rowOff>
    </xdr:to>
    <xdr:sp macro="" textlink="">
      <xdr:nvSpPr>
        <xdr:cNvPr id="40" name="Persegi Panjang: Sudut Lengkung 39">
          <a:extLst>
            <a:ext uri="{FF2B5EF4-FFF2-40B4-BE49-F238E27FC236}">
              <a16:creationId xmlns:a16="http://schemas.microsoft.com/office/drawing/2014/main" id="{E5958EAD-46DD-49FD-A434-7B01230DDE66}"/>
            </a:ext>
          </a:extLst>
        </xdr:cNvPr>
        <xdr:cNvSpPr/>
      </xdr:nvSpPr>
      <xdr:spPr>
        <a:xfrm>
          <a:off x="14304211" y="1112076"/>
          <a:ext cx="3208421" cy="4569503"/>
        </a:xfrm>
        <a:prstGeom prst="roundRect">
          <a:avLst/>
        </a:prstGeom>
        <a:solidFill>
          <a:schemeClr val="accent4">
            <a:lumMod val="50000"/>
          </a:schemeClr>
        </a:solidFill>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id-ID" sz="1100"/>
        </a:p>
      </xdr:txBody>
    </xdr:sp>
    <xdr:clientData/>
  </xdr:twoCellAnchor>
  <xdr:twoCellAnchor>
    <xdr:from>
      <xdr:col>17</xdr:col>
      <xdr:colOff>241576</xdr:colOff>
      <xdr:row>11</xdr:row>
      <xdr:rowOff>20202</xdr:rowOff>
    </xdr:from>
    <xdr:to>
      <xdr:col>23</xdr:col>
      <xdr:colOff>103533</xdr:colOff>
      <xdr:row>21</xdr:row>
      <xdr:rowOff>94495</xdr:rowOff>
    </xdr:to>
    <xdr:graphicFrame macro="">
      <xdr:nvGraphicFramePr>
        <xdr:cNvPr id="41" name="Bagan 40">
          <a:extLst>
            <a:ext uri="{FF2B5EF4-FFF2-40B4-BE49-F238E27FC236}">
              <a16:creationId xmlns:a16="http://schemas.microsoft.com/office/drawing/2014/main" id="{07BA064C-B6CC-4319-956E-9952CA491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156217</xdr:colOff>
      <xdr:row>10</xdr:row>
      <xdr:rowOff>31281</xdr:rowOff>
    </xdr:from>
    <xdr:to>
      <xdr:col>21</xdr:col>
      <xdr:colOff>199327</xdr:colOff>
      <xdr:row>11</xdr:row>
      <xdr:rowOff>136090</xdr:rowOff>
    </xdr:to>
    <xdr:sp macro="" textlink="">
      <xdr:nvSpPr>
        <xdr:cNvPr id="42" name="Kotak Teks 41">
          <a:extLst>
            <a:ext uri="{FF2B5EF4-FFF2-40B4-BE49-F238E27FC236}">
              <a16:creationId xmlns:a16="http://schemas.microsoft.com/office/drawing/2014/main" id="{5F51D34C-E957-E464-98A8-FF141DF3444B}"/>
            </a:ext>
          </a:extLst>
        </xdr:cNvPr>
        <xdr:cNvSpPr txBox="1"/>
      </xdr:nvSpPr>
      <xdr:spPr>
        <a:xfrm>
          <a:off x="11696652" y="1894868"/>
          <a:ext cx="1257892" cy="2911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Jenis Layanan</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431322</xdr:colOff>
      <xdr:row>30</xdr:row>
      <xdr:rowOff>136647</xdr:rowOff>
    </xdr:from>
    <xdr:to>
      <xdr:col>28</xdr:col>
      <xdr:colOff>386520</xdr:colOff>
      <xdr:row>43</xdr:row>
      <xdr:rowOff>96212</xdr:rowOff>
    </xdr:to>
    <xdr:sp macro="" textlink="">
      <xdr:nvSpPr>
        <xdr:cNvPr id="44" name="Persegi Panjang: Sudut Lengkung 43">
          <a:extLst>
            <a:ext uri="{FF2B5EF4-FFF2-40B4-BE49-F238E27FC236}">
              <a16:creationId xmlns:a16="http://schemas.microsoft.com/office/drawing/2014/main" id="{1991754A-BEED-4C16-A1F7-6FDA16FE5870}"/>
            </a:ext>
          </a:extLst>
        </xdr:cNvPr>
        <xdr:cNvSpPr/>
      </xdr:nvSpPr>
      <xdr:spPr>
        <a:xfrm>
          <a:off x="12041039" y="5528156"/>
          <a:ext cx="5454538" cy="2295886"/>
        </a:xfrm>
        <a:prstGeom prst="roundRect">
          <a:avLst/>
        </a:prstGeom>
        <a:solidFill>
          <a:schemeClr val="accent4">
            <a:lumMod val="50000"/>
          </a:schemeClr>
        </a:solidFill>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id-ID" sz="1100"/>
        </a:p>
      </xdr:txBody>
    </xdr:sp>
    <xdr:clientData/>
  </xdr:twoCellAnchor>
  <xdr:twoCellAnchor>
    <xdr:from>
      <xdr:col>23</xdr:col>
      <xdr:colOff>303450</xdr:colOff>
      <xdr:row>8</xdr:row>
      <xdr:rowOff>32284</xdr:rowOff>
    </xdr:from>
    <xdr:to>
      <xdr:col>28</xdr:col>
      <xdr:colOff>275000</xdr:colOff>
      <xdr:row>29</xdr:row>
      <xdr:rowOff>104078</xdr:rowOff>
    </xdr:to>
    <xdr:graphicFrame macro="">
      <xdr:nvGraphicFramePr>
        <xdr:cNvPr id="45" name="Bagan 44">
          <a:extLst>
            <a:ext uri="{FF2B5EF4-FFF2-40B4-BE49-F238E27FC236}">
              <a16:creationId xmlns:a16="http://schemas.microsoft.com/office/drawing/2014/main" id="{9DB61E1E-30D3-4A4E-ADC4-50ADD91C3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470569</xdr:colOff>
      <xdr:row>6</xdr:row>
      <xdr:rowOff>98186</xdr:rowOff>
    </xdr:from>
    <xdr:to>
      <xdr:col>27</xdr:col>
      <xdr:colOff>87779</xdr:colOff>
      <xdr:row>8</xdr:row>
      <xdr:rowOff>16637</xdr:rowOff>
    </xdr:to>
    <xdr:sp macro="" textlink="">
      <xdr:nvSpPr>
        <xdr:cNvPr id="46" name="Kotak Teks 45">
          <a:extLst>
            <a:ext uri="{FF2B5EF4-FFF2-40B4-BE49-F238E27FC236}">
              <a16:creationId xmlns:a16="http://schemas.microsoft.com/office/drawing/2014/main" id="{A33967D2-A61E-51E7-1427-AD61BDD33567}"/>
            </a:ext>
          </a:extLst>
        </xdr:cNvPr>
        <xdr:cNvSpPr txBox="1"/>
      </xdr:nvSpPr>
      <xdr:spPr>
        <a:xfrm>
          <a:off x="15175832" y="1234502"/>
          <a:ext cx="1455368" cy="2972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Jenis Pekerjaan</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22</xdr:col>
      <xdr:colOff>423941</xdr:colOff>
      <xdr:row>31</xdr:row>
      <xdr:rowOff>1557</xdr:rowOff>
    </xdr:from>
    <xdr:to>
      <xdr:col>25</xdr:col>
      <xdr:colOff>355445</xdr:colOff>
      <xdr:row>32</xdr:row>
      <xdr:rowOff>96784</xdr:rowOff>
    </xdr:to>
    <xdr:sp macro="" textlink="">
      <xdr:nvSpPr>
        <xdr:cNvPr id="47" name="Kotak Teks 46">
          <a:extLst>
            <a:ext uri="{FF2B5EF4-FFF2-40B4-BE49-F238E27FC236}">
              <a16:creationId xmlns:a16="http://schemas.microsoft.com/office/drawing/2014/main" id="{D302ED33-17EA-9E67-B6F1-062E5F87CFFA}"/>
            </a:ext>
          </a:extLst>
        </xdr:cNvPr>
        <xdr:cNvSpPr txBox="1"/>
      </xdr:nvSpPr>
      <xdr:spPr>
        <a:xfrm>
          <a:off x="13895012" y="5625843"/>
          <a:ext cx="1768469" cy="2766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Top</a:t>
          </a:r>
          <a:r>
            <a:rPr lang="en-US" sz="1200" b="1" baseline="0">
              <a:solidFill>
                <a:schemeClr val="bg1"/>
              </a:solidFill>
              <a:latin typeface="Arial" panose="020B0604020202020204" pitchFamily="34" charset="0"/>
              <a:cs typeface="Arial" panose="020B0604020202020204" pitchFamily="34" charset="0"/>
            </a:rPr>
            <a:t> 5 Kecamatan</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364237</xdr:colOff>
      <xdr:row>25</xdr:row>
      <xdr:rowOff>31809</xdr:rowOff>
    </xdr:from>
    <xdr:to>
      <xdr:col>22</xdr:col>
      <xdr:colOff>1</xdr:colOff>
      <xdr:row>27</xdr:row>
      <xdr:rowOff>110138</xdr:rowOff>
    </xdr:to>
    <xdr:sp macro="" textlink="Pivot!I84">
      <xdr:nvSpPr>
        <xdr:cNvPr id="48" name="Kotak Teks 47">
          <a:extLst>
            <a:ext uri="{FF2B5EF4-FFF2-40B4-BE49-F238E27FC236}">
              <a16:creationId xmlns:a16="http://schemas.microsoft.com/office/drawing/2014/main" id="{0C2A5AAB-6CA3-ED64-C0B1-2D49EC994CB5}"/>
            </a:ext>
          </a:extLst>
        </xdr:cNvPr>
        <xdr:cNvSpPr txBox="1"/>
      </xdr:nvSpPr>
      <xdr:spPr>
        <a:xfrm>
          <a:off x="12593867" y="4539525"/>
          <a:ext cx="858727" cy="4389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7897A4-8596-48D8-8795-B2DF04B5978D}" type="TxLink">
            <a:rPr lang="en-US" sz="2400" b="1" i="0" u="none" strike="noStrike">
              <a:solidFill>
                <a:schemeClr val="bg1"/>
              </a:solidFill>
              <a:latin typeface="Arial" panose="020B0604020202020204" pitchFamily="34" charset="0"/>
              <a:cs typeface="Arial" panose="020B0604020202020204" pitchFamily="34" charset="0"/>
            </a:rPr>
            <a:pPr algn="ctr"/>
            <a:t>33%</a:t>
          </a:fld>
          <a:endParaRPr lang="id-ID" sz="2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460176</xdr:colOff>
      <xdr:row>28</xdr:row>
      <xdr:rowOff>36902</xdr:rowOff>
    </xdr:from>
    <xdr:to>
      <xdr:col>22</xdr:col>
      <xdr:colOff>537723</xdr:colOff>
      <xdr:row>29</xdr:row>
      <xdr:rowOff>135909</xdr:rowOff>
    </xdr:to>
    <xdr:sp macro="" textlink="">
      <xdr:nvSpPr>
        <xdr:cNvPr id="49" name="Kotak Teks 48">
          <a:extLst>
            <a:ext uri="{FF2B5EF4-FFF2-40B4-BE49-F238E27FC236}">
              <a16:creationId xmlns:a16="http://schemas.microsoft.com/office/drawing/2014/main" id="{52FB7D7A-58C3-7D46-89B4-435C8DA0599A}"/>
            </a:ext>
          </a:extLst>
        </xdr:cNvPr>
        <xdr:cNvSpPr txBox="1"/>
      </xdr:nvSpPr>
      <xdr:spPr>
        <a:xfrm>
          <a:off x="12063112" y="5181753"/>
          <a:ext cx="1909590" cy="2827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solidFill>
              <a:latin typeface="Arial" panose="020B0604020202020204" pitchFamily="34" charset="0"/>
              <a:cs typeface="Arial" panose="020B0604020202020204" pitchFamily="34" charset="0"/>
            </a:rPr>
            <a:t>Waktu</a:t>
          </a:r>
          <a:r>
            <a:rPr lang="en-US" sz="900" b="1" baseline="0">
              <a:solidFill>
                <a:schemeClr val="bg1"/>
              </a:solidFill>
              <a:latin typeface="Arial" panose="020B0604020202020204" pitchFamily="34" charset="0"/>
              <a:cs typeface="Arial" panose="020B0604020202020204" pitchFamily="34" charset="0"/>
            </a:rPr>
            <a:t> Pelayanan/Penyelesaian</a:t>
          </a:r>
          <a:endParaRPr lang="id-ID" sz="9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595802</xdr:colOff>
      <xdr:row>32</xdr:row>
      <xdr:rowOff>80986</xdr:rowOff>
    </xdr:from>
    <xdr:to>
      <xdr:col>28</xdr:col>
      <xdr:colOff>274383</xdr:colOff>
      <xdr:row>43</xdr:row>
      <xdr:rowOff>0</xdr:rowOff>
    </xdr:to>
    <xdr:graphicFrame macro="">
      <xdr:nvGraphicFramePr>
        <xdr:cNvPr id="50" name="Bagan 49">
          <a:extLst>
            <a:ext uri="{FF2B5EF4-FFF2-40B4-BE49-F238E27FC236}">
              <a16:creationId xmlns:a16="http://schemas.microsoft.com/office/drawing/2014/main" id="{A3B45C2C-8B67-487E-AB1B-C681F7BD5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336565</xdr:colOff>
      <xdr:row>23</xdr:row>
      <xdr:rowOff>83530</xdr:rowOff>
    </xdr:from>
    <xdr:to>
      <xdr:col>23</xdr:col>
      <xdr:colOff>27851</xdr:colOff>
      <xdr:row>24</xdr:row>
      <xdr:rowOff>182498</xdr:rowOff>
    </xdr:to>
    <xdr:sp macro="" textlink="">
      <xdr:nvSpPr>
        <xdr:cNvPr id="51" name="Kotak Teks 50">
          <a:extLst>
            <a:ext uri="{FF2B5EF4-FFF2-40B4-BE49-F238E27FC236}">
              <a16:creationId xmlns:a16="http://schemas.microsoft.com/office/drawing/2014/main" id="{8039F1D5-D049-9873-BA69-F0442B3C2B06}"/>
            </a:ext>
          </a:extLst>
        </xdr:cNvPr>
        <xdr:cNvSpPr txBox="1"/>
      </xdr:nvSpPr>
      <xdr:spPr>
        <a:xfrm>
          <a:off x="11872398" y="4311293"/>
          <a:ext cx="2119883" cy="2827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Gap Dimensi</a:t>
          </a:r>
          <a:r>
            <a:rPr lang="en-US" sz="1200" b="1" baseline="0">
              <a:solidFill>
                <a:schemeClr val="bg1"/>
              </a:solidFill>
              <a:latin typeface="Arial" panose="020B0604020202020204" pitchFamily="34" charset="0"/>
              <a:cs typeface="Arial" panose="020B0604020202020204" pitchFamily="34" charset="0"/>
            </a:rPr>
            <a:t> </a:t>
          </a:r>
          <a:r>
            <a:rPr lang="en-US" sz="1200" b="1">
              <a:solidFill>
                <a:schemeClr val="bg1"/>
              </a:solidFill>
              <a:latin typeface="Arial" panose="020B0604020202020204" pitchFamily="34" charset="0"/>
              <a:cs typeface="Arial" panose="020B0604020202020204" pitchFamily="34" charset="0"/>
            </a:rPr>
            <a:t>Tertinggi</a:t>
          </a:r>
          <a:endParaRPr lang="id-ID"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20</xdr:col>
      <xdr:colOff>96454</xdr:colOff>
      <xdr:row>5</xdr:row>
      <xdr:rowOff>128608</xdr:rowOff>
    </xdr:from>
    <xdr:to>
      <xdr:col>23</xdr:col>
      <xdr:colOff>98009</xdr:colOff>
      <xdr:row>9</xdr:row>
      <xdr:rowOff>99481</xdr:rowOff>
    </xdr:to>
    <mc:AlternateContent xmlns:mc="http://schemas.openxmlformats.org/markup-compatibility/2006" xmlns:a14="http://schemas.microsoft.com/office/drawing/2010/main">
      <mc:Choice Requires="a14">
        <xdr:graphicFrame macro="">
          <xdr:nvGraphicFramePr>
            <xdr:cNvPr id="52" name="Jenis Kelamin">
              <a:extLst>
                <a:ext uri="{FF2B5EF4-FFF2-40B4-BE49-F238E27FC236}">
                  <a16:creationId xmlns:a16="http://schemas.microsoft.com/office/drawing/2014/main" id="{229A6587-79B9-4732-A995-60FBFD0B5DC1}"/>
                </a:ext>
              </a:extLst>
            </xdr:cNvPr>
            <xdr:cNvGraphicFramePr/>
          </xdr:nvGraphicFramePr>
          <xdr:xfrm>
            <a:off x="0" y="0"/>
            <a:ext cx="0" cy="0"/>
          </xdr:xfrm>
          <a:graphic>
            <a:graphicData uri="http://schemas.microsoft.com/office/drawing/2010/slicer">
              <sle:slicer xmlns:sle="http://schemas.microsoft.com/office/drawing/2010/slicer" name="Jenis Kelamin"/>
            </a:graphicData>
          </a:graphic>
        </xdr:graphicFrame>
      </mc:Choice>
      <mc:Fallback xmlns="">
        <xdr:sp macro="" textlink="">
          <xdr:nvSpPr>
            <xdr:cNvPr id="0" name=""/>
            <xdr:cNvSpPr>
              <a:spLocks noTextEdit="1"/>
            </xdr:cNvSpPr>
          </xdr:nvSpPr>
          <xdr:spPr>
            <a:xfrm>
              <a:off x="12358523" y="1059211"/>
              <a:ext cx="1840865" cy="715356"/>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19</xdr:col>
      <xdr:colOff>455897</xdr:colOff>
      <xdr:row>1</xdr:row>
      <xdr:rowOff>48846</xdr:rowOff>
    </xdr:from>
    <xdr:to>
      <xdr:col>28</xdr:col>
      <xdr:colOff>350064</xdr:colOff>
      <xdr:row>5</xdr:row>
      <xdr:rowOff>24423</xdr:rowOff>
    </xdr:to>
    <mc:AlternateContent xmlns:mc="http://schemas.openxmlformats.org/markup-compatibility/2006" xmlns:a14="http://schemas.microsoft.com/office/drawing/2010/main">
      <mc:Choice Requires="a14">
        <xdr:graphicFrame macro="">
          <xdr:nvGraphicFramePr>
            <xdr:cNvPr id="55" name="Pendidikan Terakhir ">
              <a:extLst>
                <a:ext uri="{FF2B5EF4-FFF2-40B4-BE49-F238E27FC236}">
                  <a16:creationId xmlns:a16="http://schemas.microsoft.com/office/drawing/2014/main" id="{89C81D5B-A445-4045-AC4C-338432B55A0C}"/>
                </a:ext>
              </a:extLst>
            </xdr:cNvPr>
            <xdr:cNvGraphicFramePr/>
          </xdr:nvGraphicFramePr>
          <xdr:xfrm>
            <a:off x="0" y="0"/>
            <a:ext cx="0" cy="0"/>
          </xdr:xfrm>
          <a:graphic>
            <a:graphicData uri="http://schemas.microsoft.com/office/drawing/2010/slicer">
              <sle:slicer xmlns:sle="http://schemas.microsoft.com/office/drawing/2010/slicer" name="Pendidikan Terakhir "/>
            </a:graphicData>
          </a:graphic>
        </xdr:graphicFrame>
      </mc:Choice>
      <mc:Fallback xmlns="">
        <xdr:sp macro="" textlink="">
          <xdr:nvSpPr>
            <xdr:cNvPr id="0" name=""/>
            <xdr:cNvSpPr>
              <a:spLocks noTextEdit="1"/>
            </xdr:cNvSpPr>
          </xdr:nvSpPr>
          <xdr:spPr>
            <a:xfrm>
              <a:off x="12104863" y="234967"/>
              <a:ext cx="5412098" cy="720059"/>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162820</xdr:colOff>
      <xdr:row>1</xdr:row>
      <xdr:rowOff>8141</xdr:rowOff>
    </xdr:from>
    <xdr:to>
      <xdr:col>4</xdr:col>
      <xdr:colOff>32564</xdr:colOff>
      <xdr:row>9</xdr:row>
      <xdr:rowOff>148166</xdr:rowOff>
    </xdr:to>
    <xdr:sp macro="" textlink="">
      <xdr:nvSpPr>
        <xdr:cNvPr id="56" name="Persegi Panjang: Sudut Lengkung 55">
          <a:extLst>
            <a:ext uri="{FF2B5EF4-FFF2-40B4-BE49-F238E27FC236}">
              <a16:creationId xmlns:a16="http://schemas.microsoft.com/office/drawing/2014/main" id="{9D9F71F9-84DC-4F4F-BB59-7B00DD45078F}"/>
            </a:ext>
          </a:extLst>
        </xdr:cNvPr>
        <xdr:cNvSpPr/>
      </xdr:nvSpPr>
      <xdr:spPr>
        <a:xfrm>
          <a:off x="162820" y="195385"/>
          <a:ext cx="2312052" cy="1637973"/>
        </a:xfrm>
        <a:prstGeom prst="round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editAs="oneCell">
    <xdr:from>
      <xdr:col>0</xdr:col>
      <xdr:colOff>242273</xdr:colOff>
      <xdr:row>0</xdr:row>
      <xdr:rowOff>0</xdr:rowOff>
    </xdr:from>
    <xdr:to>
      <xdr:col>3</xdr:col>
      <xdr:colOff>553590</xdr:colOff>
      <xdr:row>9</xdr:row>
      <xdr:rowOff>180397</xdr:rowOff>
    </xdr:to>
    <mc:AlternateContent xmlns:mc="http://schemas.openxmlformats.org/markup-compatibility/2006" xmlns:a14="http://schemas.microsoft.com/office/drawing/2010/main">
      <mc:Choice Requires="a14">
        <xdr:graphicFrame macro="">
          <xdr:nvGraphicFramePr>
            <xdr:cNvPr id="54" name="Jenis layanan yang pernah Anda dapatkan di Polresta Sidoarjo?">
              <a:extLst>
                <a:ext uri="{FF2B5EF4-FFF2-40B4-BE49-F238E27FC236}">
                  <a16:creationId xmlns:a16="http://schemas.microsoft.com/office/drawing/2014/main" id="{A29B12BD-6BC8-48AC-A8D7-2982F4F78B4D}"/>
                </a:ext>
              </a:extLst>
            </xdr:cNvPr>
            <xdr:cNvGraphicFramePr/>
          </xdr:nvGraphicFramePr>
          <xdr:xfrm>
            <a:off x="0" y="0"/>
            <a:ext cx="0" cy="0"/>
          </xdr:xfrm>
          <a:graphic>
            <a:graphicData uri="http://schemas.microsoft.com/office/drawing/2010/slicer">
              <sle:slicer xmlns:sle="http://schemas.microsoft.com/office/drawing/2010/slicer" name="Jenis layanan yang pernah Anda dapatkan di Polresta Sidoarjo?"/>
            </a:graphicData>
          </a:graphic>
        </xdr:graphicFrame>
      </mc:Choice>
      <mc:Fallback xmlns="">
        <xdr:sp macro="" textlink="">
          <xdr:nvSpPr>
            <xdr:cNvPr id="0" name=""/>
            <xdr:cNvSpPr>
              <a:spLocks noTextEdit="1"/>
            </xdr:cNvSpPr>
          </xdr:nvSpPr>
          <xdr:spPr>
            <a:xfrm>
              <a:off x="242273" y="0"/>
              <a:ext cx="2150627" cy="185548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19</xdr:col>
      <xdr:colOff>605006</xdr:colOff>
      <xdr:row>5</xdr:row>
      <xdr:rowOff>49489</xdr:rowOff>
    </xdr:from>
    <xdr:to>
      <xdr:col>23</xdr:col>
      <xdr:colOff>189815</xdr:colOff>
      <xdr:row>9</xdr:row>
      <xdr:rowOff>155323</xdr:rowOff>
    </xdr:to>
    <xdr:sp macro="" textlink="">
      <xdr:nvSpPr>
        <xdr:cNvPr id="57" name="Persegi Panjang: Sudut Lengkung 56">
          <a:extLst>
            <a:ext uri="{FF2B5EF4-FFF2-40B4-BE49-F238E27FC236}">
              <a16:creationId xmlns:a16="http://schemas.microsoft.com/office/drawing/2014/main" id="{0C14CE62-E22F-4200-8D2E-E3C9A1FAE9FB}"/>
            </a:ext>
          </a:extLst>
        </xdr:cNvPr>
        <xdr:cNvSpPr/>
      </xdr:nvSpPr>
      <xdr:spPr>
        <a:xfrm>
          <a:off x="12193756" y="968568"/>
          <a:ext cx="2024546" cy="841097"/>
        </a:xfrm>
        <a:prstGeom prst="round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19</xdr:col>
      <xdr:colOff>385748</xdr:colOff>
      <xdr:row>0</xdr:row>
      <xdr:rowOff>160235</xdr:rowOff>
    </xdr:from>
    <xdr:to>
      <xdr:col>28</xdr:col>
      <xdr:colOff>403552</xdr:colOff>
      <xdr:row>5</xdr:row>
      <xdr:rowOff>89019</xdr:rowOff>
    </xdr:to>
    <xdr:sp macro="" textlink="">
      <xdr:nvSpPr>
        <xdr:cNvPr id="58" name="Persegi Panjang: Sudut Lengkung 57">
          <a:extLst>
            <a:ext uri="{FF2B5EF4-FFF2-40B4-BE49-F238E27FC236}">
              <a16:creationId xmlns:a16="http://schemas.microsoft.com/office/drawing/2014/main" id="{71ABAEA0-1D0A-4AED-9E25-B3DC5192D2C6}"/>
            </a:ext>
          </a:extLst>
        </xdr:cNvPr>
        <xdr:cNvSpPr/>
      </xdr:nvSpPr>
      <xdr:spPr>
        <a:xfrm>
          <a:off x="11999720" y="160235"/>
          <a:ext cx="5519159" cy="848644"/>
        </a:xfrm>
        <a:prstGeom prst="roundRect">
          <a:avLst/>
        </a:prstGeom>
        <a:no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6350</xdr:colOff>
      <xdr:row>2</xdr:row>
      <xdr:rowOff>158750</xdr:rowOff>
    </xdr:from>
    <xdr:to>
      <xdr:col>5</xdr:col>
      <xdr:colOff>311150</xdr:colOff>
      <xdr:row>7</xdr:row>
      <xdr:rowOff>152400</xdr:rowOff>
    </xdr:to>
    <xdr:pic>
      <xdr:nvPicPr>
        <xdr:cNvPr id="3" name="Grafik 2" descr="Ruang Kelas dengan isian solid">
          <a:extLst>
            <a:ext uri="{FF2B5EF4-FFF2-40B4-BE49-F238E27FC236}">
              <a16:creationId xmlns:a16="http://schemas.microsoft.com/office/drawing/2014/main" id="{B2DA0C45-05DE-01A0-21BE-CB60D2C169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44750" y="5270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hamfirsyah" refreshedDate="46008.881118865742" createdVersion="8" refreshedVersion="8" minRefreshableVersion="3" recordCount="401" xr:uid="{A3AB860B-9CCA-4A09-858A-46D9D2D34364}">
  <cacheSource type="worksheet">
    <worksheetSource name="data"/>
  </cacheSource>
  <cacheFields count="58">
    <cacheField name="No" numFmtId="0">
      <sharedItems containsSemiMixedTypes="0" containsString="0" containsNumber="1" containsInteger="1" minValue="1" maxValue="401"/>
    </cacheField>
    <cacheField name="Nama Responden" numFmtId="0">
      <sharedItems/>
    </cacheField>
    <cacheField name="Kabupaten" numFmtId="0">
      <sharedItems count="26">
        <s v="Sidoarjo"/>
        <s v="Ponorogo"/>
        <s v="Gresik"/>
        <s v="Nganjuk"/>
        <s v="Sampang"/>
        <s v="Buduran"/>
        <s v="Tarik"/>
        <s v="Jombang"/>
        <s v="Surabaya"/>
        <s v="Mojokerto"/>
        <s v="Krembung"/>
        <s v="Magetan"/>
        <s v="Sidaorjo"/>
        <s v="Probolinggo"/>
        <s v="Tulungagung"/>
        <s v="Madiun"/>
        <s v="Malang"/>
        <s v="Trenggalek"/>
        <s v="Taman"/>
        <s v="Pasuruan"/>
        <s v="Sodoarjo"/>
        <s v="Gersik"/>
        <s v="Kota Surabaya"/>
        <s v="Bekasi"/>
        <s v="Surbaya"/>
        <s v="Jakarta Timur"/>
      </sharedItems>
    </cacheField>
    <cacheField name="Kecamatan" numFmtId="0">
      <sharedItems count="72">
        <s v="Sidoarjo"/>
        <s v="Candi"/>
        <s v="Tulangan"/>
        <s v="Sukodono"/>
        <s v="Tanggulangin"/>
        <s v="Buduran"/>
        <s v="Krian"/>
        <s v="Ngrayun"/>
        <s v="Tarik"/>
        <s v="Porong"/>
        <s v="Taman"/>
        <s v="Wringin Anom"/>
        <s v="Loceret"/>
        <s v="Sedati"/>
        <s v="Ketapang"/>
        <s v="Waru"/>
        <s v="Krembung"/>
        <s v="Wonoayu"/>
        <s v="Suko"/>
        <s v="Sukudono"/>
        <s v="Gedangan"/>
        <s v="Balongbendo"/>
        <s v="Diwek"/>
        <s v="Wonokromo"/>
        <s v="Sidokare"/>
        <s v="Kemalagi"/>
        <s v="kalitidur"/>
        <s v="Jagir"/>
        <s v="Gempong"/>
        <s v="Grogol"/>
        <s v="Palang"/>
        <s v="Jabon"/>
        <s v="Driyorejo"/>
        <s v="Takeran"/>
        <s v="Pangung rejo"/>
        <s v="Jombang"/>
        <s v="Sumput"/>
        <s v="Simokerto"/>
        <s v="Jambangan"/>
        <s v="Kraksaan"/>
        <s v="Boyolangu"/>
        <s v="Dagangan"/>
        <s v="Tenggilis"/>
        <s v="Tenggilis Mejoyo"/>
        <s v="Berbek"/>
        <s v="Tangulangin"/>
        <s v="Gayungan"/>
        <s v="Tanggulain"/>
        <s v="Karang Ploso"/>
        <s v="Watulimo"/>
        <s v="Gedung ombo"/>
        <s v="Pandaan"/>
        <s v="Poncol"/>
        <s v="Jogoroto"/>
        <s v="Ploso"/>
        <s v="Tandes"/>
        <s v="Menganti"/>
        <s v="Mojo warno"/>
        <s v="Sucinara"/>
        <s v="Ponco kusumo"/>
        <s v="Jati"/>
        <s v="Gubeng"/>
        <s v="Gubeng Kertajaya"/>
        <s v="Ponorogo"/>
        <s v="Krembangan"/>
        <s v="Beji"/>
        <s v="Prambon"/>
        <s v="Buduruan"/>
        <s v="Tangulanggin"/>
        <s v="Tabon"/>
        <s v="Mojoanyar"/>
        <s v="Pulogadung"/>
      </sharedItems>
    </cacheField>
    <cacheField name="Apakah anggota keluarga Anda (yang tinggal serumah) bekerja di salah satu bidang berikut?   [Bekerja di Perusahaan Riset Pemasaran]" numFmtId="0">
      <sharedItems/>
    </cacheField>
    <cacheField name="Apakah anggota keluarga Anda (yang tinggal serumah) bekerja di salah satu bidang berikut?   [Perusahaan Periklanan / Agen Periklanan]" numFmtId="0">
      <sharedItems/>
    </cacheField>
    <cacheField name="Apakah anggota keluarga Anda (yang tinggal serumah) bekerja di salah satu bidang berikut?   [Media massa (TV, Radio, Surat kabar, Majalah, Tabloid)]" numFmtId="0">
      <sharedItems/>
    </cacheField>
    <cacheField name="Apakah anggota keluarga Anda (yang tinggal serumah) bekerja di salah satu bidang berikut?   [Pegawai Polresta Sidoarjo]" numFmtId="0">
      <sharedItems/>
    </cacheField>
    <cacheField name="Jenis Kelamin" numFmtId="0">
      <sharedItems count="2">
        <s v="Perempuan"/>
        <s v="Laki-laki"/>
      </sharedItems>
    </cacheField>
    <cacheField name="Jenis layanan yang pernah Anda dapatkan di Polresta Sidoarjo?" numFmtId="0">
      <sharedItems count="6">
        <s v="Layanan SAT INTELKAM (SKCK)"/>
        <s v="Layanan SPKT"/>
        <s v="Layanan Pembuatan SIM A"/>
        <s v="Layanan Pembuatan SIM C"/>
        <s v="Layanan RESKRIM"/>
        <s v="Layanan SAT INTELKAM (PERIZINAN)"/>
      </sharedItems>
    </cacheField>
    <cacheField name="Usia " numFmtId="0">
      <sharedItems containsSemiMixedTypes="0" containsString="0" containsNumber="1" containsInteger="1" minValue="18" maxValue="60"/>
    </cacheField>
    <cacheField name="Koding Usia " numFmtId="0">
      <sharedItems count="9">
        <s v="21-25 tahun"/>
        <s v="26-30 tahun"/>
        <s v="31-35 tahun"/>
        <s v="18-20 tahun"/>
        <s v="36-40 tahun"/>
        <s v="56-60 tahun"/>
        <s v="41-45 tahun"/>
        <s v="46-50 tahun"/>
        <s v="51-55 tahun"/>
      </sharedItems>
    </cacheField>
    <cacheField name="Pendidikan Terakhir " numFmtId="0">
      <sharedItems count="5">
        <s v="SMA"/>
        <s v="Sarjana (S1) / D4"/>
        <s v="Diploma (D1–D3) / Akademi"/>
        <s v="SMP"/>
        <s v="Pascasarjana (S2)"/>
      </sharedItems>
    </cacheField>
    <cacheField name="Koding Pekerjaan" numFmtId="0">
      <sharedItems count="13">
        <s v="Pegawai/karyawan swasta"/>
        <s v="Mahasiswa/Pelajar"/>
        <s v="Wiraswasta/pengusaha"/>
        <s v="Belum bekerja"/>
        <s v="Guru/Dosen"/>
        <s v="Pegawai Pemerintahan (PNS)"/>
        <s v="Pensiunan"/>
        <s v="Ibu Rumah Tangga"/>
        <s v="Freelance"/>
        <s v="Supir"/>
        <s v="Kesehatan"/>
        <s v="Entetainer"/>
        <s v="TNI"/>
      </sharedItems>
    </cacheField>
    <cacheField name="Nilai Kepuasan Dimensi Persyaratan" numFmtId="0">
      <sharedItems containsSemiMixedTypes="0" containsString="0" containsNumber="1" containsInteger="1" minValue="2" maxValue="4"/>
    </cacheField>
    <cacheField name="Nilai Kepentingan Dimensi Persyaratan" numFmtId="0">
      <sharedItems containsSemiMixedTypes="0" containsString="0" containsNumber="1" containsInteger="1" minValue="2" maxValue="4"/>
    </cacheField>
    <cacheField name="Gap Dimensi Persyaratan" numFmtId="0">
      <sharedItems containsSemiMixedTypes="0" containsString="0" containsNumber="1" containsInteger="1" minValue="-1" maxValue="1"/>
    </cacheField>
    <cacheField name="Nilai Kepuasan Dimensi Prosedur" numFmtId="0">
      <sharedItems containsSemiMixedTypes="0" containsString="0" containsNumber="1" containsInteger="1" minValue="2" maxValue="4"/>
    </cacheField>
    <cacheField name="Nilai Kepentingan Dimensi Prosedur" numFmtId="0">
      <sharedItems containsSemiMixedTypes="0" containsString="0" containsNumber="1" containsInteger="1" minValue="2" maxValue="4"/>
    </cacheField>
    <cacheField name="Gap Dimensi Prosedur" numFmtId="0">
      <sharedItems containsSemiMixedTypes="0" containsString="0" containsNumber="1" containsInteger="1" minValue="-1" maxValue="2" count="4">
        <n v="0"/>
        <n v="-1"/>
        <n v="1"/>
        <n v="2"/>
      </sharedItems>
    </cacheField>
    <cacheField name="Nilai Kepuasan Dimensi Waktu Pelayanan/Penyelesaian" numFmtId="0">
      <sharedItems containsSemiMixedTypes="0" containsString="0" containsNumber="1" containsInteger="1" minValue="2" maxValue="4"/>
    </cacheField>
    <cacheField name="Nilai Kepentingan Dimensi Waktu Pelayanan/Penyelesaian" numFmtId="0">
      <sharedItems containsSemiMixedTypes="0" containsString="0" containsNumber="1" containsInteger="1" minValue="2" maxValue="4"/>
    </cacheField>
    <cacheField name="Gap Dimensi Waktu Pelayanan/Penyelesaian" numFmtId="0">
      <sharedItems containsSemiMixedTypes="0" containsString="0" containsNumber="1" containsInteger="1" minValue="-1" maxValue="2"/>
    </cacheField>
    <cacheField name="Nilai Kepuasan Dimensi Tarif / Biaya" numFmtId="0">
      <sharedItems containsSemiMixedTypes="0" containsString="0" containsNumber="1" containsInteger="1" minValue="0" maxValue="4"/>
    </cacheField>
    <cacheField name="Nilai Kepentingan Dimensi Tarif/ Biaya" numFmtId="0">
      <sharedItems containsSemiMixedTypes="0" containsString="0" containsNumber="1" containsInteger="1" minValue="0" maxValue="4"/>
    </cacheField>
    <cacheField name="Gap Dimensi Tarif/Biaya" numFmtId="0">
      <sharedItems containsSemiMixedTypes="0" containsString="0" containsNumber="1" containsInteger="1" minValue="-4" maxValue="3"/>
    </cacheField>
    <cacheField name="Nilai Kepuasan Dimensi Produk Spesifikasi Jenis Layanan" numFmtId="0">
      <sharedItems containsSemiMixedTypes="0" containsString="0" containsNumber="1" containsInteger="1" minValue="2" maxValue="4"/>
    </cacheField>
    <cacheField name="Nilai Kepentingan Dimensi Produk Spesifikasi Jenis Layanan" numFmtId="0">
      <sharedItems containsSemiMixedTypes="0" containsString="0" containsNumber="1" containsInteger="1" minValue="3" maxValue="4"/>
    </cacheField>
    <cacheField name="Gap Dimensi Produk Spesifikasi Jenis Layanan" numFmtId="0">
      <sharedItems containsSemiMixedTypes="0" containsString="0" containsNumber="1" containsInteger="1" minValue="-1" maxValue="2"/>
    </cacheField>
    <cacheField name="Nilai Kepuasan Dimensi Kompetensi Pelaksana" numFmtId="0">
      <sharedItems containsSemiMixedTypes="0" containsString="0" containsNumber="1" containsInteger="1" minValue="1" maxValue="4"/>
    </cacheField>
    <cacheField name="Nilai Kepentingan Dimensi Kompetensi Pelaksana" numFmtId="0">
      <sharedItems containsSemiMixedTypes="0" containsString="0" containsNumber="1" containsInteger="1" minValue="2" maxValue="4"/>
    </cacheField>
    <cacheField name="Gap Dimensi Kompetemsi Pelaksana" numFmtId="0">
      <sharedItems containsSemiMixedTypes="0" containsString="0" containsNumber="1" containsInteger="1" minValue="-1" maxValue="3"/>
    </cacheField>
    <cacheField name="Nilai Kepuasan Dimensi Perilaku Pelaksana" numFmtId="0">
      <sharedItems containsSemiMixedTypes="0" containsString="0" containsNumber="1" containsInteger="1" minValue="2" maxValue="4"/>
    </cacheField>
    <cacheField name="Nilai Kepentingan Dimensi Perilaku Pelaksana" numFmtId="0">
      <sharedItems containsSemiMixedTypes="0" containsString="0" containsNumber="1" containsInteger="1" minValue="2" maxValue="4"/>
    </cacheField>
    <cacheField name="Gap Dimensi Perilaku Pelaksana" numFmtId="0">
      <sharedItems containsSemiMixedTypes="0" containsString="0" containsNumber="1" containsInteger="1" minValue="-1" maxValue="2"/>
    </cacheField>
    <cacheField name="Nilai Kepuasan Dimensi Penanganan Pengaduan, Saran &amp; Masukan" numFmtId="0">
      <sharedItems containsSemiMixedTypes="0" containsString="0" containsNumber="1" containsInteger="1" minValue="1" maxValue="4"/>
    </cacheField>
    <cacheField name="Nilai Kepentingan Dimensi Penanganan Pengaduan, Saran &amp; Masukan" numFmtId="0">
      <sharedItems containsSemiMixedTypes="0" containsString="0" containsNumber="1" containsInteger="1" minValue="2" maxValue="4"/>
    </cacheField>
    <cacheField name="Gap Dimensi Penanganan Pengaduan, Saran &amp; Masukan" numFmtId="0">
      <sharedItems containsSemiMixedTypes="0" containsString="0" containsNumber="1" containsInteger="1" minValue="-1" maxValue="2"/>
    </cacheField>
    <cacheField name="Nilai Kepuasan Dimensi Kualitas Sarana dan Prasarana" numFmtId="0">
      <sharedItems containsSemiMixedTypes="0" containsString="0" containsNumber="1" containsInteger="1" minValue="1" maxValue="4"/>
    </cacheField>
    <cacheField name="Nilai Kepentingan Dimensi Kualitas Sarana dan Prasarana" numFmtId="0">
      <sharedItems containsSemiMixedTypes="0" containsString="0" containsNumber="1" containsInteger="1" minValue="3" maxValue="4"/>
    </cacheField>
    <cacheField name="Gap Dimensi Kualitas Sarana dan Prasarana" numFmtId="0">
      <sharedItems containsSemiMixedTypes="0" containsString="0" containsNumber="1" containsInteger="1" minValue="-1" maxValue="3"/>
    </cacheField>
    <cacheField name="Konversi Media Sosial2" numFmtId="0">
      <sharedItems containsSemiMixedTypes="0" containsString="0" containsNumber="1" containsInteger="1" minValue="0" maxValue="4"/>
    </cacheField>
    <cacheField name="Koding Media Sosial" numFmtId="0">
      <sharedItems/>
    </cacheField>
    <cacheField name="Konversi Website" numFmtId="0">
      <sharedItems containsSemiMixedTypes="0" containsString="0" containsNumber="1" containsInteger="1" minValue="0" maxValue="4"/>
    </cacheField>
    <cacheField name="Koding Website Polresta Sidoarjo" numFmtId="0">
      <sharedItems/>
    </cacheField>
    <cacheField name="Konversi Pegawai" numFmtId="0">
      <sharedItems containsSemiMixedTypes="0" containsString="0" containsNumber="1" containsInteger="1" minValue="0" maxValue="4"/>
    </cacheField>
    <cacheField name="Koding Pegawai Polresta Sidoarjo" numFmtId="0">
      <sharedItems/>
    </cacheField>
    <cacheField name="Lainnya" numFmtId="0">
      <sharedItems/>
    </cacheField>
    <cacheField name="Koding Lainnya" numFmtId="0">
      <sharedItems/>
    </cacheField>
    <cacheField name="Column 50" numFmtId="0">
      <sharedItems containsSemiMixedTypes="0" containsString="0" containsNumber="1" containsInteger="1" minValue="0" maxValue="4"/>
    </cacheField>
    <cacheField name="Konversi Lainnya" numFmtId="0">
      <sharedItems containsSemiMixedTypes="0" containsString="0" containsNumber="1" containsInteger="1" minValue="0" maxValue="4"/>
    </cacheField>
    <cacheField name="People(Contoh: perilaku dan kompetensi petugas dalam melayani, dll)" numFmtId="0">
      <sharedItems/>
    </cacheField>
    <cacheField name="Koding People" numFmtId="0">
      <sharedItems/>
    </cacheField>
    <cacheField name="Process(Contoh: Kemudahan dan waktu pelayanan, dll)" numFmtId="0">
      <sharedItems/>
    </cacheField>
    <cacheField name="Koding Process" numFmtId="0">
      <sharedItems/>
    </cacheField>
    <cacheField name="Physical Evidence(Contoh: Ruangan pelayanan, dll)" numFmtId="0">
      <sharedItems/>
    </cacheField>
    <cacheField name="Koding Physical Evidence" numFmtId="0">
      <sharedItems/>
    </cacheField>
    <cacheField name="Lainnya jika ada…" numFmtId="0">
      <sharedItems containsBlank="1"/>
    </cacheField>
  </cacheFields>
  <extLst>
    <ext xmlns:x14="http://schemas.microsoft.com/office/spreadsheetml/2009/9/main" uri="{725AE2AE-9491-48be-B2B4-4EB974FC3084}">
      <x14:pivotCacheDefinition pivotCacheId="1667345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1"/>
    <s v="Chorlina Juniar F."/>
    <x v="0"/>
    <x v="0"/>
    <s v="Tidak"/>
    <s v="Tidak"/>
    <s v="Tidak"/>
    <s v="Tidak"/>
    <x v="0"/>
    <x v="0"/>
    <n v="23"/>
    <x v="0"/>
    <x v="0"/>
    <x v="0"/>
    <n v="3"/>
    <n v="3"/>
    <n v="0"/>
    <n v="3"/>
    <n v="3"/>
    <x v="0"/>
    <n v="3"/>
    <n v="3"/>
    <n v="0"/>
    <n v="4"/>
    <n v="4"/>
    <n v="0"/>
    <n v="3"/>
    <n v="4"/>
    <n v="1"/>
    <n v="4"/>
    <n v="4"/>
    <n v="0"/>
    <n v="4"/>
    <n v="4"/>
    <n v="0"/>
    <n v="3"/>
    <n v="3"/>
    <n v="0"/>
    <n v="3"/>
    <n v="3"/>
    <n v="0"/>
    <n v="3"/>
    <s v="Ya"/>
    <n v="2"/>
    <s v="Ya"/>
    <n v="2"/>
    <s v="Ya"/>
    <s v="Orang Tua"/>
    <s v="Keluarga"/>
    <n v="2"/>
    <n v="3"/>
    <s v="Petugasnya ramah dan baik"/>
    <s v="sudah baik/bagus"/>
    <s v="Prosesnya sangat cepat"/>
    <s v="proses pelayanan cepat dan mudah"/>
    <s v="Ruangannya juga bagus"/>
    <s v="sudah baik/bagus"/>
    <s v=""/>
  </r>
  <r>
    <n v="2"/>
    <s v="Miftah"/>
    <x v="0"/>
    <x v="1"/>
    <s v="Tidak"/>
    <s v="Tidak"/>
    <s v="Tidak"/>
    <s v="Tidak"/>
    <x v="0"/>
    <x v="0"/>
    <n v="27"/>
    <x v="1"/>
    <x v="1"/>
    <x v="1"/>
    <n v="3"/>
    <n v="3"/>
    <n v="0"/>
    <n v="4"/>
    <n v="3"/>
    <x v="1"/>
    <n v="3"/>
    <n v="4"/>
    <n v="1"/>
    <n v="4"/>
    <n v="4"/>
    <n v="0"/>
    <n v="4"/>
    <n v="4"/>
    <n v="0"/>
    <n v="3"/>
    <n v="4"/>
    <n v="1"/>
    <n v="4"/>
    <n v="3"/>
    <n v="-1"/>
    <n v="4"/>
    <n v="4"/>
    <n v="0"/>
    <n v="4"/>
    <n v="4"/>
    <n v="0"/>
    <n v="3"/>
    <s v="Ya"/>
    <n v="0"/>
    <s v="Tidak"/>
    <n v="0"/>
    <s v="Tidak"/>
    <s v=""/>
    <s v="-"/>
    <n v="0"/>
    <n v="0"/>
    <s v="Mohon untuk mempertahankan pelayanan yang sudah baik"/>
    <s v="sudah baik/bagus"/>
    <s v="Tidak ada"/>
    <s v="tidak ada"/>
    <s v="Tidak ada"/>
    <s v="tidak ada"/>
    <s v="Tidak ada"/>
  </r>
  <r>
    <n v="3"/>
    <s v="Firdaus Adityana Sukma"/>
    <x v="0"/>
    <x v="0"/>
    <s v="Tidak"/>
    <s v="Tidak"/>
    <s v="Tidak"/>
    <s v="Tidak"/>
    <x v="1"/>
    <x v="1"/>
    <n v="32"/>
    <x v="2"/>
    <x v="0"/>
    <x v="2"/>
    <n v="4"/>
    <n v="4"/>
    <n v="0"/>
    <n v="4"/>
    <n v="4"/>
    <x v="0"/>
    <n v="4"/>
    <n v="4"/>
    <n v="0"/>
    <n v="4"/>
    <n v="4"/>
    <n v="0"/>
    <n v="4"/>
    <n v="4"/>
    <n v="0"/>
    <n v="4"/>
    <n v="4"/>
    <n v="0"/>
    <n v="4"/>
    <n v="4"/>
    <n v="0"/>
    <n v="4"/>
    <n v="4"/>
    <n v="0"/>
    <n v="4"/>
    <n v="4"/>
    <n v="0"/>
    <n v="0"/>
    <s v="Ya"/>
    <n v="0"/>
    <s v="Tidak"/>
    <n v="0"/>
    <s v="Tidak"/>
    <s v=""/>
    <s v="-"/>
    <n v="0"/>
    <n v="0"/>
    <s v="Lebih di tingkatkan lagi kualitas pelayanannya"/>
    <s v="meningkatkan kinerja pelayanan"/>
    <s v="Prosesnya waktunya cepat jadi di tingkatkan"/>
    <s v="meningkatkan kinerja pelayanan"/>
    <s v="Sudah cukup kantin juga sudah ada, parkirnya juga rapi aksesnya gampang"/>
    <s v="sudah baik/bagus"/>
    <s v=""/>
  </r>
  <r>
    <n v="4"/>
    <s v="Wahyu Ardiansyah"/>
    <x v="0"/>
    <x v="0"/>
    <s v="Tidak"/>
    <s v="Tidak"/>
    <s v="Tidak"/>
    <s v="Tidak"/>
    <x v="1"/>
    <x v="0"/>
    <n v="27"/>
    <x v="1"/>
    <x v="0"/>
    <x v="0"/>
    <n v="4"/>
    <n v="4"/>
    <n v="0"/>
    <n v="4"/>
    <n v="4"/>
    <x v="0"/>
    <n v="4"/>
    <n v="4"/>
    <n v="0"/>
    <n v="4"/>
    <n v="4"/>
    <n v="0"/>
    <n v="4"/>
    <n v="4"/>
    <n v="0"/>
    <n v="4"/>
    <n v="4"/>
    <n v="0"/>
    <n v="4"/>
    <n v="4"/>
    <n v="0"/>
    <n v="3"/>
    <n v="3"/>
    <n v="0"/>
    <n v="3"/>
    <n v="3"/>
    <n v="0"/>
    <n v="4"/>
    <s v="Ya"/>
    <n v="0"/>
    <s v="Tidak"/>
    <n v="0"/>
    <s v="Tidak"/>
    <s v=""/>
    <s v="-"/>
    <n v="0"/>
    <n v="0"/>
    <s v="Pelayanannya Ramah"/>
    <s v="sudah baik/bagus"/>
    <s v="Proses jadinya juga cepat"/>
    <s v="proses pelayanan cepat dan mudah"/>
    <s v="Ruangannya sudah nyaman"/>
    <s v="sudah baik/bagus"/>
    <s v="Tidak ada saran sudah baik dan cukup semua"/>
  </r>
  <r>
    <n v="5"/>
    <s v="Muhammad asfari faizun"/>
    <x v="0"/>
    <x v="2"/>
    <s v="Tidak"/>
    <s v="Tidak"/>
    <s v="Tidak"/>
    <s v="Tidak"/>
    <x v="1"/>
    <x v="0"/>
    <n v="18"/>
    <x v="3"/>
    <x v="0"/>
    <x v="3"/>
    <n v="3"/>
    <n v="3"/>
    <n v="0"/>
    <n v="4"/>
    <n v="4"/>
    <x v="0"/>
    <n v="3"/>
    <n v="3"/>
    <n v="0"/>
    <n v="4"/>
    <n v="4"/>
    <n v="0"/>
    <n v="4"/>
    <n v="4"/>
    <n v="0"/>
    <n v="3"/>
    <n v="4"/>
    <n v="1"/>
    <n v="4"/>
    <n v="4"/>
    <n v="0"/>
    <n v="4"/>
    <n v="4"/>
    <n v="0"/>
    <n v="3"/>
    <n v="3"/>
    <n v="0"/>
    <n v="3"/>
    <s v="Ya"/>
    <n v="0"/>
    <s v="Tidak"/>
    <n v="0"/>
    <s v="Tidak"/>
    <s v=""/>
    <s v="-"/>
    <n v="0"/>
    <n v="0"/>
    <s v="Tidak ada"/>
    <s v="tidak ada"/>
    <s v="Tidak ada"/>
    <s v="tidak ada"/>
    <s v="Tidak ada"/>
    <s v="tidak ada"/>
    <s v="Tidak ada"/>
  </r>
  <r>
    <n v="6"/>
    <s v="Walidatul Qomariyah"/>
    <x v="0"/>
    <x v="3"/>
    <s v="Tidak"/>
    <s v="Tidak"/>
    <s v="Tidak"/>
    <s v="Tidak"/>
    <x v="0"/>
    <x v="0"/>
    <n v="24"/>
    <x v="0"/>
    <x v="1"/>
    <x v="4"/>
    <n v="4"/>
    <n v="4"/>
    <n v="0"/>
    <n v="4"/>
    <n v="3"/>
    <x v="1"/>
    <n v="4"/>
    <n v="4"/>
    <n v="0"/>
    <n v="4"/>
    <n v="4"/>
    <n v="0"/>
    <n v="4"/>
    <n v="4"/>
    <n v="0"/>
    <n v="4"/>
    <n v="4"/>
    <n v="0"/>
    <n v="4"/>
    <n v="4"/>
    <n v="0"/>
    <n v="4"/>
    <n v="4"/>
    <n v="0"/>
    <n v="3"/>
    <n v="3"/>
    <n v="0"/>
    <n v="0"/>
    <s v="Tidak"/>
    <n v="0"/>
    <s v="Tidak"/>
    <n v="0"/>
    <s v="Tidak"/>
    <s v="Teman"/>
    <s v="Teman"/>
    <n v="1"/>
    <n v="4"/>
    <s v="Tidak ada"/>
    <s v="tidak ada"/>
    <s v="Tidak ada"/>
    <s v="tidak ada"/>
    <s v="Ruang tunggu ditambah kursi, ditambah kabel colokan"/>
    <s v="kursi ditambah atau diperbaiki yang rusak"/>
    <s v="Tidak ada"/>
  </r>
  <r>
    <n v="7"/>
    <s v="Wahyu Lestari Ningrum"/>
    <x v="0"/>
    <x v="4"/>
    <s v="Tidak"/>
    <s v="Tidak"/>
    <s v="Tidak"/>
    <s v="Tidak"/>
    <x v="0"/>
    <x v="1"/>
    <n v="37"/>
    <x v="4"/>
    <x v="1"/>
    <x v="5"/>
    <n v="4"/>
    <n v="3"/>
    <n v="-1"/>
    <n v="4"/>
    <n v="4"/>
    <x v="0"/>
    <n v="4"/>
    <n v="4"/>
    <n v="0"/>
    <n v="4"/>
    <n v="4"/>
    <n v="0"/>
    <n v="3"/>
    <n v="3"/>
    <n v="0"/>
    <n v="3"/>
    <n v="3"/>
    <n v="0"/>
    <n v="3"/>
    <n v="3"/>
    <n v="0"/>
    <n v="3"/>
    <n v="3"/>
    <n v="0"/>
    <n v="3"/>
    <n v="4"/>
    <n v="1"/>
    <n v="3"/>
    <s v="Ya"/>
    <n v="3"/>
    <s v="Ya"/>
    <n v="0"/>
    <s v="Tidak"/>
    <s v=""/>
    <s v="-"/>
    <n v="0"/>
    <n v="0"/>
    <s v="Perilaku petugas sudah cukup baik"/>
    <s v="sudah baik/bagus"/>
    <s v="Waktu sudah cepat"/>
    <s v="mempercepat waktu pelayanan"/>
    <s v="Ruangan pelayanan sudah baik"/>
    <s v="sudah baik/bagus"/>
    <s v="Kurang prasaranan untuk foto copy agar tidak terlalu jauh"/>
  </r>
  <r>
    <n v="8"/>
    <s v="Ervita Olivia"/>
    <x v="0"/>
    <x v="3"/>
    <s v="Tidak"/>
    <s v="Tidak"/>
    <s v="Tidak"/>
    <s v="Tidak"/>
    <x v="0"/>
    <x v="0"/>
    <n v="18"/>
    <x v="3"/>
    <x v="0"/>
    <x v="3"/>
    <n v="4"/>
    <n v="4"/>
    <n v="0"/>
    <n v="4"/>
    <n v="4"/>
    <x v="0"/>
    <n v="4"/>
    <n v="4"/>
    <n v="0"/>
    <n v="4"/>
    <n v="4"/>
    <n v="0"/>
    <n v="4"/>
    <n v="4"/>
    <n v="0"/>
    <n v="4"/>
    <n v="4"/>
    <n v="0"/>
    <n v="4"/>
    <n v="4"/>
    <n v="0"/>
    <n v="4"/>
    <n v="4"/>
    <n v="0"/>
    <n v="4"/>
    <n v="4"/>
    <n v="0"/>
    <n v="0"/>
    <s v="Tidak"/>
    <n v="0"/>
    <s v="Tidak"/>
    <n v="0"/>
    <s v="Tidak"/>
    <s v="keluarga"/>
    <s v="Keluarga"/>
    <n v="1"/>
    <n v="4"/>
    <s v="Tidak ada"/>
    <s v="tidak ada"/>
    <s v="Tidak ada"/>
    <s v="tidak ada"/>
    <s v="Tidak ada"/>
    <s v="tidak ada"/>
    <s v="Tidak ada"/>
  </r>
  <r>
    <n v="9"/>
    <s v="Anggieta amalia"/>
    <x v="0"/>
    <x v="0"/>
    <s v="Tidak"/>
    <s v="Tidak"/>
    <s v="Tidak"/>
    <s v="Tidak"/>
    <x v="0"/>
    <x v="0"/>
    <n v="18"/>
    <x v="3"/>
    <x v="0"/>
    <x v="3"/>
    <n v="3"/>
    <n v="3"/>
    <n v="0"/>
    <n v="3"/>
    <n v="3"/>
    <x v="0"/>
    <n v="3"/>
    <n v="3"/>
    <n v="0"/>
    <n v="3"/>
    <n v="3"/>
    <n v="0"/>
    <n v="3"/>
    <n v="3"/>
    <n v="0"/>
    <n v="3"/>
    <n v="3"/>
    <n v="0"/>
    <n v="4"/>
    <n v="3"/>
    <n v="-1"/>
    <n v="3"/>
    <n v="3"/>
    <n v="0"/>
    <n v="3"/>
    <n v="3"/>
    <n v="0"/>
    <n v="0"/>
    <s v="Tidak"/>
    <n v="0"/>
    <s v="Tidak"/>
    <n v="0"/>
    <s v="Tidak"/>
    <s v="Dari keluarga atau ayah"/>
    <s v="Keluarga"/>
    <n v="2"/>
    <n v="3"/>
    <s v="Tidak ada"/>
    <s v="tidak ada"/>
    <s v="Tidak ada"/>
    <s v="tidak ada"/>
    <s v="Tidak ada"/>
    <s v="tidak ada"/>
    <s v="Tidak ada"/>
  </r>
  <r>
    <n v="10"/>
    <s v="Limas Azida Mumtaza"/>
    <x v="0"/>
    <x v="3"/>
    <s v="Tidak"/>
    <s v="Tidak"/>
    <s v="Tidak"/>
    <s v="Tidak"/>
    <x v="0"/>
    <x v="0"/>
    <n v="18"/>
    <x v="3"/>
    <x v="0"/>
    <x v="1"/>
    <n v="4"/>
    <n v="4"/>
    <n v="0"/>
    <n v="4"/>
    <n v="4"/>
    <x v="0"/>
    <n v="4"/>
    <n v="4"/>
    <n v="0"/>
    <n v="3"/>
    <n v="4"/>
    <n v="1"/>
    <n v="4"/>
    <n v="4"/>
    <n v="0"/>
    <n v="4"/>
    <n v="4"/>
    <n v="0"/>
    <n v="4"/>
    <n v="4"/>
    <n v="0"/>
    <n v="4"/>
    <n v="4"/>
    <n v="0"/>
    <n v="4"/>
    <n v="4"/>
    <n v="0"/>
    <n v="0"/>
    <s v="Tidak"/>
    <n v="0"/>
    <s v="Tidak"/>
    <n v="4"/>
    <s v="Ya"/>
    <s v=""/>
    <s v="-"/>
    <n v="0"/>
    <n v="0"/>
    <s v="Tidak ada"/>
    <s v="tidak ada"/>
    <s v="Tidak ada"/>
    <s v="tidak ada"/>
    <s v="Tidak ada"/>
    <s v="tidak ada"/>
    <s v="Tidak ada"/>
  </r>
  <r>
    <n v="11"/>
    <s v="Siswono"/>
    <x v="0"/>
    <x v="5"/>
    <s v="Tidak"/>
    <s v="Tidak"/>
    <s v="Tidak"/>
    <s v="Tidak"/>
    <x v="1"/>
    <x v="1"/>
    <n v="60"/>
    <x v="5"/>
    <x v="1"/>
    <x v="6"/>
    <n v="4"/>
    <n v="3"/>
    <n v="-1"/>
    <n v="4"/>
    <n v="3"/>
    <x v="1"/>
    <n v="4"/>
    <n v="4"/>
    <n v="0"/>
    <n v="4"/>
    <n v="4"/>
    <n v="0"/>
    <n v="4"/>
    <n v="4"/>
    <n v="0"/>
    <n v="4"/>
    <n v="3"/>
    <n v="-1"/>
    <n v="4"/>
    <n v="4"/>
    <n v="0"/>
    <n v="4"/>
    <n v="3"/>
    <n v="-1"/>
    <n v="4"/>
    <n v="3"/>
    <n v="-1"/>
    <n v="0"/>
    <s v="Tidak"/>
    <n v="0"/>
    <s v="Tidak"/>
    <n v="0"/>
    <s v="Tidak"/>
    <s v="Sudah tahu dan langsung datang"/>
    <s v="Mengetahui sendiri"/>
    <n v="1"/>
    <n v="4"/>
    <s v="Sudah bagus untuk petugas yang melayani"/>
    <s v="sudah baik/bagus"/>
    <s v="Waktu sudah praktis dan cepat"/>
    <s v="proses pelayanan cepat dan mudah"/>
    <s v="Ruangan dan fasilitas sudah baik"/>
    <s v="ruangan lebih memadai dan nyaman"/>
    <s v="Tidak ada saran karena sudah bagus"/>
  </r>
  <r>
    <n v="12"/>
    <s v="Rini Tresno Wati"/>
    <x v="0"/>
    <x v="0"/>
    <s v="Tidak"/>
    <s v="Tidak"/>
    <s v="Tidak"/>
    <s v="Tidak"/>
    <x v="0"/>
    <x v="1"/>
    <n v="42"/>
    <x v="6"/>
    <x v="0"/>
    <x v="2"/>
    <n v="4"/>
    <n v="4"/>
    <n v="0"/>
    <n v="4"/>
    <n v="4"/>
    <x v="0"/>
    <n v="4"/>
    <n v="4"/>
    <n v="0"/>
    <n v="0"/>
    <n v="0"/>
    <n v="0"/>
    <n v="4"/>
    <n v="4"/>
    <n v="0"/>
    <n v="4"/>
    <n v="4"/>
    <n v="0"/>
    <n v="4"/>
    <n v="4"/>
    <n v="0"/>
    <n v="4"/>
    <n v="4"/>
    <n v="0"/>
    <n v="3"/>
    <n v="3"/>
    <n v="0"/>
    <n v="0"/>
    <s v="Tidak"/>
    <n v="0"/>
    <s v="Tidak"/>
    <n v="0"/>
    <s v="Tidak"/>
    <s v="Orang Terdekat"/>
    <s v="Keluarga"/>
    <n v="3"/>
    <n v="2"/>
    <s v="Cukup karena sudah sesuai"/>
    <s v="sudah baik/bagus"/>
    <s v="Lebih di majukan, dan cukup puas"/>
    <s v="meningkatkan kinerja pelayanan"/>
    <s v="Ruang tunggu kurang banyak, jadi mengantri lokete pengaduan kurang banyk sedangkan yg melaporkan banyk"/>
    <s v="kursi ditambah atau diperbaiki yang rusak"/>
    <s v=""/>
  </r>
  <r>
    <n v="13"/>
    <s v="Satria"/>
    <x v="0"/>
    <x v="5"/>
    <s v="Tidak"/>
    <s v="Tidak"/>
    <s v="Tidak"/>
    <s v="Tidak"/>
    <x v="1"/>
    <x v="0"/>
    <n v="18"/>
    <x v="3"/>
    <x v="0"/>
    <x v="3"/>
    <n v="4"/>
    <n v="4"/>
    <n v="0"/>
    <n v="4"/>
    <n v="4"/>
    <x v="0"/>
    <n v="3"/>
    <n v="4"/>
    <n v="1"/>
    <n v="3"/>
    <n v="4"/>
    <n v="1"/>
    <n v="4"/>
    <n v="4"/>
    <n v="0"/>
    <n v="4"/>
    <n v="4"/>
    <n v="0"/>
    <n v="4"/>
    <n v="4"/>
    <n v="0"/>
    <n v="4"/>
    <n v="4"/>
    <n v="0"/>
    <n v="4"/>
    <n v="4"/>
    <n v="0"/>
    <n v="3"/>
    <s v="Ya"/>
    <n v="0"/>
    <s v="Tidak"/>
    <n v="0"/>
    <s v="Tidak"/>
    <s v=""/>
    <s v="-"/>
    <n v="0"/>
    <n v="0"/>
    <s v="Tidak ada"/>
    <s v="tidak ada"/>
    <s v="Tidak ada"/>
    <s v="tidak ada"/>
    <s v="Tidak ada"/>
    <s v="tidak ada"/>
    <s v="Tidak ada"/>
  </r>
  <r>
    <n v="14"/>
    <s v="Ani Nismah"/>
    <x v="0"/>
    <x v="3"/>
    <s v="Tidak"/>
    <s v="Tidak"/>
    <s v="Tidak"/>
    <s v="Tidak"/>
    <x v="0"/>
    <x v="1"/>
    <n v="32"/>
    <x v="2"/>
    <x v="0"/>
    <x v="0"/>
    <n v="3"/>
    <n v="3"/>
    <n v="0"/>
    <n v="4"/>
    <n v="3"/>
    <x v="1"/>
    <n v="3"/>
    <n v="3"/>
    <n v="0"/>
    <n v="4"/>
    <n v="4"/>
    <n v="0"/>
    <n v="3"/>
    <n v="3"/>
    <n v="0"/>
    <n v="3"/>
    <n v="3"/>
    <n v="0"/>
    <n v="4"/>
    <n v="4"/>
    <n v="0"/>
    <n v="4"/>
    <n v="4"/>
    <n v="0"/>
    <n v="3"/>
    <n v="3"/>
    <n v="0"/>
    <n v="0"/>
    <s v="Tidak"/>
    <n v="0"/>
    <s v="Tidak"/>
    <n v="4"/>
    <s v="Ya"/>
    <s v=""/>
    <s v="-"/>
    <n v="0"/>
    <n v="0"/>
    <s v="Tidak ada"/>
    <s v="tidak ada"/>
    <s v="Tidak ada"/>
    <s v="tidak ada"/>
    <s v="Tidak ada"/>
    <s v="tidak ada"/>
    <s v="Tidak ada"/>
  </r>
  <r>
    <n v="15"/>
    <s v="Mina alfianus fadhila"/>
    <x v="0"/>
    <x v="0"/>
    <s v="Tidak"/>
    <s v="Tidak"/>
    <s v="Tidak"/>
    <s v="Tidak"/>
    <x v="0"/>
    <x v="0"/>
    <n v="20"/>
    <x v="3"/>
    <x v="0"/>
    <x v="1"/>
    <n v="3"/>
    <n v="3"/>
    <n v="0"/>
    <n v="3"/>
    <n v="3"/>
    <x v="0"/>
    <n v="3"/>
    <n v="3"/>
    <n v="0"/>
    <n v="3"/>
    <n v="3"/>
    <n v="0"/>
    <n v="3"/>
    <n v="3"/>
    <n v="0"/>
    <n v="4"/>
    <n v="3"/>
    <n v="-1"/>
    <n v="3"/>
    <n v="4"/>
    <n v="1"/>
    <n v="3"/>
    <n v="3"/>
    <n v="0"/>
    <n v="3"/>
    <n v="3"/>
    <n v="0"/>
    <n v="2"/>
    <s v="Ya"/>
    <n v="0"/>
    <s v="Tidak"/>
    <n v="0"/>
    <s v="Tidak"/>
    <s v=""/>
    <s v="-"/>
    <n v="0"/>
    <n v="0"/>
    <s v="Tidak ada"/>
    <s v="tidak ada"/>
    <s v="Harus ada spare waktu ketika petugas meninggalkan pos pelayanan di jam pelayanan"/>
    <s v="meningkatkan kinerja pelayanan"/>
    <s v="Tidak ada"/>
    <s v="tidak ada"/>
    <s v="Lebih di perbaiki lagi untuk kejelasan syarat administrasi"/>
  </r>
  <r>
    <n v="16"/>
    <s v="Tri Hendro Wahyono"/>
    <x v="0"/>
    <x v="2"/>
    <s v="Tidak"/>
    <s v="Tidak"/>
    <s v="Tidak"/>
    <s v="Tidak"/>
    <x v="1"/>
    <x v="1"/>
    <n v="46"/>
    <x v="7"/>
    <x v="1"/>
    <x v="0"/>
    <n v="4"/>
    <n v="4"/>
    <n v="0"/>
    <n v="4"/>
    <n v="4"/>
    <x v="0"/>
    <n v="4"/>
    <n v="4"/>
    <n v="0"/>
    <n v="3"/>
    <n v="4"/>
    <n v="1"/>
    <n v="4"/>
    <n v="4"/>
    <n v="0"/>
    <n v="3"/>
    <n v="4"/>
    <n v="1"/>
    <n v="4"/>
    <n v="4"/>
    <n v="0"/>
    <n v="4"/>
    <n v="4"/>
    <n v="0"/>
    <n v="4"/>
    <n v="4"/>
    <n v="0"/>
    <n v="0"/>
    <s v="Tidak"/>
    <n v="0"/>
    <s v="Tidak"/>
    <n v="0"/>
    <s v="Tidak"/>
    <s v="Teman"/>
    <s v="Teman"/>
    <n v="2"/>
    <n v="3"/>
    <s v="Harus di tambahkan informasi alur perizinan perloket ke loket"/>
    <s v="memberi alur pelayanan"/>
    <s v="Tidak ada"/>
    <s v="tidak ada"/>
    <s v="Tidak ada"/>
    <s v="tidak ada"/>
    <s v="Diberikan nomor antrian untuk semua pelayanan"/>
  </r>
  <r>
    <n v="17"/>
    <s v="Sri Rilmiyati"/>
    <x v="0"/>
    <x v="3"/>
    <s v="Tidak"/>
    <s v="Tidak"/>
    <s v="Tidak"/>
    <s v="Tidak"/>
    <x v="0"/>
    <x v="1"/>
    <n v="60"/>
    <x v="5"/>
    <x v="0"/>
    <x v="7"/>
    <n v="3"/>
    <n v="3"/>
    <n v="0"/>
    <n v="4"/>
    <n v="4"/>
    <x v="0"/>
    <n v="3"/>
    <n v="3"/>
    <n v="0"/>
    <n v="4"/>
    <n v="4"/>
    <n v="0"/>
    <n v="3"/>
    <n v="3"/>
    <n v="0"/>
    <n v="3"/>
    <n v="3"/>
    <n v="0"/>
    <n v="3"/>
    <n v="3"/>
    <n v="0"/>
    <n v="3"/>
    <n v="3"/>
    <n v="0"/>
    <n v="3"/>
    <n v="3"/>
    <n v="0"/>
    <n v="0"/>
    <s v="Tidak"/>
    <n v="0"/>
    <s v="Tidak"/>
    <n v="0"/>
    <s v="Tidak"/>
    <s v="Orang lain"/>
    <s v="Teman"/>
    <n v="2"/>
    <n v="3"/>
    <s v="Ramah tapi tidak senyum"/>
    <s v="lebih ramah lagi"/>
    <s v="Tidak ada"/>
    <s v="tidak ada"/>
    <s v="Ruang pelayanan di luar panas"/>
    <s v="ac kurang dingin, harus diperbaiki"/>
    <s v="Tidak ada"/>
  </r>
  <r>
    <n v="18"/>
    <s v="MOCHAMMAD RIZKY AL-HAQQI"/>
    <x v="0"/>
    <x v="6"/>
    <s v="Tidak"/>
    <s v="Tidak"/>
    <s v="Tidak"/>
    <s v="Tidak"/>
    <x v="1"/>
    <x v="0"/>
    <n v="21"/>
    <x v="0"/>
    <x v="0"/>
    <x v="8"/>
    <n v="4"/>
    <n v="4"/>
    <n v="0"/>
    <n v="4"/>
    <n v="4"/>
    <x v="0"/>
    <n v="4"/>
    <n v="4"/>
    <n v="0"/>
    <n v="4"/>
    <n v="4"/>
    <n v="0"/>
    <n v="4"/>
    <n v="4"/>
    <n v="0"/>
    <n v="4"/>
    <n v="4"/>
    <n v="0"/>
    <n v="4"/>
    <n v="4"/>
    <n v="0"/>
    <n v="4"/>
    <n v="4"/>
    <n v="0"/>
    <n v="4"/>
    <n v="4"/>
    <n v="0"/>
    <n v="0"/>
    <s v="Tidak"/>
    <n v="0"/>
    <s v="Tidak"/>
    <n v="0"/>
    <s v="Tidak"/>
    <s v="dari teman"/>
    <s v="Teman"/>
    <n v="1"/>
    <n v="4"/>
    <s v="Sudah baik"/>
    <s v="sudah baik/bagus"/>
    <s v="Sudah baik"/>
    <s v="sudah baik/bagus"/>
    <s v="Sudah baik"/>
    <s v="sudah baik/bagus"/>
    <s v="Sudah baik"/>
  </r>
  <r>
    <n v="19"/>
    <s v="MOCH. SUGIANTO"/>
    <x v="0"/>
    <x v="0"/>
    <s v="Tidak"/>
    <s v="Tidak"/>
    <s v="Tidak"/>
    <s v="Tidak"/>
    <x v="1"/>
    <x v="1"/>
    <n v="60"/>
    <x v="5"/>
    <x v="2"/>
    <x v="6"/>
    <n v="4"/>
    <n v="4"/>
    <n v="0"/>
    <n v="4"/>
    <n v="4"/>
    <x v="0"/>
    <n v="4"/>
    <n v="4"/>
    <n v="0"/>
    <n v="4"/>
    <n v="4"/>
    <n v="0"/>
    <n v="4"/>
    <n v="4"/>
    <n v="0"/>
    <n v="4"/>
    <n v="4"/>
    <n v="0"/>
    <n v="4"/>
    <n v="4"/>
    <n v="0"/>
    <n v="4"/>
    <n v="4"/>
    <n v="0"/>
    <n v="3"/>
    <n v="4"/>
    <n v="1"/>
    <n v="0"/>
    <s v="Ya"/>
    <n v="0"/>
    <s v="Ya"/>
    <n v="4"/>
    <s v="Ya"/>
    <s v=""/>
    <s v="-"/>
    <n v="0"/>
    <n v="0"/>
    <s v="Lebih professional lagi"/>
    <s v="meningkatkan kinerja pelayanan"/>
    <s v="Dipertahankan yang sudah baik"/>
    <s v="meningkatkan kinerja pelayanan"/>
    <s v="Ruangan diperluas"/>
    <s v="ruangan lebih memadai dan nyaman"/>
    <s v="Sudah baik"/>
  </r>
  <r>
    <n v="20"/>
    <s v="Andhika Rizky Pratama"/>
    <x v="0"/>
    <x v="3"/>
    <s v="Tidak"/>
    <s v="Tidak"/>
    <s v="Tidak"/>
    <s v="Tidak"/>
    <x v="1"/>
    <x v="1"/>
    <n v="18"/>
    <x v="3"/>
    <x v="0"/>
    <x v="0"/>
    <n v="3"/>
    <n v="3"/>
    <n v="0"/>
    <n v="4"/>
    <n v="4"/>
    <x v="0"/>
    <n v="4"/>
    <n v="4"/>
    <n v="0"/>
    <n v="4"/>
    <n v="4"/>
    <n v="0"/>
    <n v="4"/>
    <n v="4"/>
    <n v="0"/>
    <n v="4"/>
    <n v="4"/>
    <n v="0"/>
    <n v="4"/>
    <n v="4"/>
    <n v="0"/>
    <n v="3"/>
    <n v="3"/>
    <n v="0"/>
    <n v="3"/>
    <n v="3"/>
    <n v="0"/>
    <n v="0"/>
    <s v="Tidak"/>
    <n v="0"/>
    <s v="Tidak"/>
    <n v="0"/>
    <s v="Tidak"/>
    <s v="Teman"/>
    <s v="Teman"/>
    <n v="1"/>
    <n v="4"/>
    <s v="Tidak ada"/>
    <s v="tidak ada"/>
    <s v="Tidak ada"/>
    <s v="tidak ada"/>
    <s v="Kursi di ruang tunggu kurang nyaman"/>
    <s v="kursi ditambah atau diperbaiki yang rusak"/>
    <s v="Tidak ada"/>
  </r>
  <r>
    <n v="21"/>
    <s v="SABAR"/>
    <x v="1"/>
    <x v="7"/>
    <s v="Tidak"/>
    <s v="Tidak"/>
    <s v="Tidak"/>
    <s v="Tidak"/>
    <x v="1"/>
    <x v="2"/>
    <n v="43"/>
    <x v="6"/>
    <x v="3"/>
    <x v="9"/>
    <n v="4"/>
    <n v="4"/>
    <n v="0"/>
    <n v="4"/>
    <n v="4"/>
    <x v="0"/>
    <n v="4"/>
    <n v="4"/>
    <n v="0"/>
    <n v="4"/>
    <n v="4"/>
    <n v="0"/>
    <n v="4"/>
    <n v="4"/>
    <n v="0"/>
    <n v="4"/>
    <n v="4"/>
    <n v="0"/>
    <n v="4"/>
    <n v="4"/>
    <n v="0"/>
    <n v="4"/>
    <n v="4"/>
    <n v="0"/>
    <n v="4"/>
    <n v="4"/>
    <n v="0"/>
    <n v="0"/>
    <s v="Tidak"/>
    <n v="0"/>
    <s v="Tidak"/>
    <n v="0"/>
    <s v="Tidak"/>
    <s v="Jasa Kursus"/>
    <s v="Tempat kursus mengemudi"/>
    <n v="2"/>
    <n v="3"/>
    <s v="Pertahankan yang sudah baik"/>
    <s v="sudah baik/bagus"/>
    <s v="Sudah baik"/>
    <s v="sudah baik/bagus"/>
    <s v="Sudah baik"/>
    <s v="sudah baik/bagus"/>
    <s v="Baik"/>
  </r>
  <r>
    <n v="22"/>
    <s v="Muslikhah"/>
    <x v="0"/>
    <x v="0"/>
    <s v="Tidak"/>
    <s v="Tidak"/>
    <s v="Tidak"/>
    <s v="Tidak"/>
    <x v="0"/>
    <x v="1"/>
    <n v="56"/>
    <x v="5"/>
    <x v="0"/>
    <x v="7"/>
    <n v="4"/>
    <n v="4"/>
    <n v="0"/>
    <n v="4"/>
    <n v="4"/>
    <x v="0"/>
    <n v="4"/>
    <n v="4"/>
    <n v="0"/>
    <n v="4"/>
    <n v="4"/>
    <n v="0"/>
    <n v="3"/>
    <n v="4"/>
    <n v="1"/>
    <n v="4"/>
    <n v="4"/>
    <n v="0"/>
    <n v="4"/>
    <n v="4"/>
    <n v="0"/>
    <n v="4"/>
    <n v="4"/>
    <n v="0"/>
    <n v="4"/>
    <n v="4"/>
    <n v="0"/>
    <n v="0"/>
    <s v="Tidak"/>
    <n v="0"/>
    <s v="Tidak"/>
    <n v="0"/>
    <s v="Tidak"/>
    <s v="Masyarakat"/>
    <s v="Teman"/>
    <n v="2"/>
    <n v="3"/>
    <s v="Sudah cukup puas"/>
    <s v="sudah baik/bagus"/>
    <s v="Waktu pelayanan cukup cepat tidak perlu menunggu lama"/>
    <s v="mempercepat waktu pelayanan"/>
    <s v="Ruangan baik dan memadai"/>
    <s v="ruangan lebih memadai dan nyaman"/>
    <s v=""/>
  </r>
  <r>
    <n v="23"/>
    <s v="AFRINDA PUTRI RAMADHANI"/>
    <x v="0"/>
    <x v="8"/>
    <s v="Tidak"/>
    <s v="Tidak"/>
    <s v="Tidak"/>
    <s v="Tidak"/>
    <x v="0"/>
    <x v="3"/>
    <n v="18"/>
    <x v="3"/>
    <x v="0"/>
    <x v="1"/>
    <n v="4"/>
    <n v="4"/>
    <n v="0"/>
    <n v="4"/>
    <n v="4"/>
    <x v="0"/>
    <n v="4"/>
    <n v="4"/>
    <n v="0"/>
    <n v="4"/>
    <n v="4"/>
    <n v="0"/>
    <n v="4"/>
    <n v="4"/>
    <n v="0"/>
    <n v="4"/>
    <n v="4"/>
    <n v="0"/>
    <n v="4"/>
    <n v="4"/>
    <n v="0"/>
    <n v="4"/>
    <n v="4"/>
    <n v="0"/>
    <n v="4"/>
    <n v="4"/>
    <n v="0"/>
    <n v="0"/>
    <s v="Tidak"/>
    <n v="0"/>
    <s v="Tidak"/>
    <n v="0"/>
    <s v="Tidak"/>
    <s v="Tetangga"/>
    <s v="Teman"/>
    <n v="1"/>
    <n v="4"/>
    <s v="Sudah baik"/>
    <s v="sudah baik/bagus"/>
    <s v="Sudah baik"/>
    <s v="sudah baik/bagus"/>
    <s v="Sudah baik"/>
    <s v="sudah baik/bagus"/>
    <s v="Sudah baik"/>
  </r>
  <r>
    <n v="24"/>
    <s v="Penise Chandra Indiayana"/>
    <x v="0"/>
    <x v="3"/>
    <s v="Tidak"/>
    <s v="Tidak"/>
    <s v="Tidak"/>
    <s v="Tidak"/>
    <x v="0"/>
    <x v="1"/>
    <n v="18"/>
    <x v="3"/>
    <x v="0"/>
    <x v="1"/>
    <n v="4"/>
    <n v="4"/>
    <n v="0"/>
    <n v="4"/>
    <n v="4"/>
    <x v="0"/>
    <n v="4"/>
    <n v="4"/>
    <n v="0"/>
    <n v="4"/>
    <n v="4"/>
    <n v="0"/>
    <n v="4"/>
    <n v="4"/>
    <n v="0"/>
    <n v="4"/>
    <n v="4"/>
    <n v="0"/>
    <n v="3"/>
    <n v="4"/>
    <n v="1"/>
    <n v="4"/>
    <n v="4"/>
    <n v="0"/>
    <n v="4"/>
    <n v="4"/>
    <n v="0"/>
    <n v="2"/>
    <s v="Ya"/>
    <n v="0"/>
    <s v="Tidak"/>
    <n v="0"/>
    <s v="Tidak"/>
    <s v=""/>
    <s v="-"/>
    <n v="0"/>
    <n v="0"/>
    <s v="Ditingkatkan lagi"/>
    <s v="meningkatkan kinerja pelayanan"/>
    <s v="Tidak ada"/>
    <s v="tidak ada"/>
    <s v="Tidak ada"/>
    <s v="tidak ada"/>
    <s v="Tidak ada"/>
  </r>
  <r>
    <n v="25"/>
    <s v="FRANCISCUS DAMELLA"/>
    <x v="0"/>
    <x v="5"/>
    <s v="Tidak"/>
    <s v="Tidak"/>
    <s v="Tidak"/>
    <s v="Tidak"/>
    <x v="1"/>
    <x v="2"/>
    <n v="18"/>
    <x v="3"/>
    <x v="0"/>
    <x v="1"/>
    <n v="4"/>
    <n v="3"/>
    <n v="-1"/>
    <n v="3"/>
    <n v="4"/>
    <x v="2"/>
    <n v="4"/>
    <n v="4"/>
    <n v="0"/>
    <n v="4"/>
    <n v="3"/>
    <n v="-1"/>
    <n v="4"/>
    <n v="4"/>
    <n v="0"/>
    <n v="4"/>
    <n v="3"/>
    <n v="-1"/>
    <n v="4"/>
    <n v="4"/>
    <n v="0"/>
    <n v="4"/>
    <n v="3"/>
    <n v="-1"/>
    <n v="4"/>
    <n v="4"/>
    <n v="0"/>
    <n v="0"/>
    <s v="Tidak"/>
    <n v="0"/>
    <s v="Tidak"/>
    <n v="0"/>
    <s v="Tidak"/>
    <s v="Teman"/>
    <s v="Teman"/>
    <n v="1"/>
    <n v="4"/>
    <s v="Sudah baik"/>
    <s v="sudah baik/bagus"/>
    <s v="Sudah baik"/>
    <s v="sudah baik/bagus"/>
    <s v="Sudah baik"/>
    <s v="sudah baik/bagus"/>
    <s v="Pertahankan yang sudah baik"/>
  </r>
  <r>
    <n v="26"/>
    <s v="M. Muhtadhi Billah"/>
    <x v="0"/>
    <x v="3"/>
    <s v="Tidak"/>
    <s v="Tidak"/>
    <s v="Tidak"/>
    <s v="Tidak"/>
    <x v="1"/>
    <x v="0"/>
    <n v="25"/>
    <x v="0"/>
    <x v="0"/>
    <x v="3"/>
    <n v="4"/>
    <n v="3"/>
    <n v="-1"/>
    <n v="3"/>
    <n v="4"/>
    <x v="2"/>
    <n v="4"/>
    <n v="4"/>
    <n v="0"/>
    <n v="4"/>
    <n v="4"/>
    <n v="0"/>
    <n v="3"/>
    <n v="4"/>
    <n v="1"/>
    <n v="3"/>
    <n v="4"/>
    <n v="1"/>
    <n v="4"/>
    <n v="4"/>
    <n v="0"/>
    <n v="4"/>
    <n v="4"/>
    <n v="0"/>
    <n v="3"/>
    <n v="4"/>
    <n v="1"/>
    <n v="0"/>
    <s v="Tidak"/>
    <n v="0"/>
    <s v="Tidak"/>
    <n v="0"/>
    <s v="Tidak"/>
    <s v="Teman"/>
    <s v="Teman"/>
    <n v="1"/>
    <n v="4"/>
    <s v="Tidak ada"/>
    <s v="tidak ada"/>
    <s v="Tidak ada"/>
    <s v="tidak ada"/>
    <s v="Tidak ada"/>
    <s v="tidak ada"/>
    <s v="Tidak ada"/>
  </r>
  <r>
    <n v="27"/>
    <s v="M. ZIDAN ABDULLAH PASHA"/>
    <x v="0"/>
    <x v="9"/>
    <s v="Tidak"/>
    <s v="Tidak"/>
    <s v="Tidak"/>
    <s v="Tidak"/>
    <x v="1"/>
    <x v="3"/>
    <n v="18"/>
    <x v="3"/>
    <x v="0"/>
    <x v="1"/>
    <n v="3"/>
    <n v="3"/>
    <n v="0"/>
    <n v="3"/>
    <n v="4"/>
    <x v="2"/>
    <n v="2"/>
    <n v="3"/>
    <n v="1"/>
    <n v="3"/>
    <n v="3"/>
    <n v="0"/>
    <n v="3"/>
    <n v="4"/>
    <n v="1"/>
    <n v="3"/>
    <n v="4"/>
    <n v="1"/>
    <n v="3"/>
    <n v="4"/>
    <n v="1"/>
    <n v="3"/>
    <n v="4"/>
    <n v="1"/>
    <n v="3"/>
    <n v="3"/>
    <n v="0"/>
    <n v="0"/>
    <s v="Tidak"/>
    <n v="0"/>
    <s v="Tidak"/>
    <n v="0"/>
    <s v="Tidak"/>
    <s v="Teman"/>
    <s v="Teman"/>
    <n v="2"/>
    <n v="3"/>
    <s v="Petugas yang mengarahkan bersikpalh lebih ramah"/>
    <s v="lebih ramah lagi"/>
    <s v="Sudah cukup tapi perlu diperbaiki lagi"/>
    <s v="meningkatkan kinerja pelayanan"/>
    <s v="Suadah baik"/>
    <s v="sudah baik/bagus"/>
    <s v="Sudah baik"/>
  </r>
  <r>
    <n v="28"/>
    <s v="M. Rayhan Naufal Rafi"/>
    <x v="0"/>
    <x v="3"/>
    <s v="Tidak"/>
    <s v="Tidak"/>
    <s v="Tidak"/>
    <s v="Tidak"/>
    <x v="1"/>
    <x v="0"/>
    <n v="24"/>
    <x v="0"/>
    <x v="1"/>
    <x v="0"/>
    <n v="4"/>
    <n v="4"/>
    <n v="0"/>
    <n v="4"/>
    <n v="4"/>
    <x v="0"/>
    <n v="4"/>
    <n v="4"/>
    <n v="0"/>
    <n v="4"/>
    <n v="4"/>
    <n v="0"/>
    <n v="4"/>
    <n v="4"/>
    <n v="0"/>
    <n v="4"/>
    <n v="4"/>
    <n v="0"/>
    <n v="4"/>
    <n v="4"/>
    <n v="0"/>
    <n v="4"/>
    <n v="4"/>
    <n v="0"/>
    <n v="4"/>
    <n v="4"/>
    <n v="0"/>
    <n v="0"/>
    <s v="Tidak"/>
    <n v="2"/>
    <s v="Ya"/>
    <n v="0"/>
    <s v="Tidak"/>
    <s v=""/>
    <s v="-"/>
    <n v="0"/>
    <n v="0"/>
    <s v="Tidak ada"/>
    <s v="tidak ada"/>
    <s v="Tidak ada"/>
    <s v="tidak ada"/>
    <s v="Tidak ada"/>
    <s v="tidak ada"/>
    <s v="di website tidak ada tambahan persyaratan JKN, sedangkan di polsek ada tambahan persyaratan JKN"/>
  </r>
  <r>
    <n v="29"/>
    <s v="BINTANG CHELSY THAHARA"/>
    <x v="0"/>
    <x v="3"/>
    <s v="Tidak"/>
    <s v="Tidak"/>
    <s v="Tidak"/>
    <s v="Tidak"/>
    <x v="0"/>
    <x v="3"/>
    <n v="18"/>
    <x v="3"/>
    <x v="0"/>
    <x v="0"/>
    <n v="4"/>
    <n v="4"/>
    <n v="0"/>
    <n v="4"/>
    <n v="4"/>
    <x v="0"/>
    <n v="4"/>
    <n v="4"/>
    <n v="0"/>
    <n v="4"/>
    <n v="4"/>
    <n v="0"/>
    <n v="4"/>
    <n v="4"/>
    <n v="0"/>
    <n v="4"/>
    <n v="4"/>
    <n v="0"/>
    <n v="4"/>
    <n v="4"/>
    <n v="0"/>
    <n v="4"/>
    <n v="4"/>
    <n v="0"/>
    <n v="4"/>
    <n v="4"/>
    <n v="0"/>
    <n v="0"/>
    <s v="Ya"/>
    <n v="0"/>
    <s v="Tidak"/>
    <n v="0"/>
    <s v="Tidak"/>
    <s v="Kakak"/>
    <s v="Keluarga"/>
    <n v="1"/>
    <n v="4"/>
    <s v="Sudah baik"/>
    <s v="sudah baik/bagus"/>
    <s v="Sudah baik"/>
    <s v="sudah baik/bagus"/>
    <s v="Sudah baik"/>
    <s v="sudah baik/bagus"/>
    <s v="Sudah baik"/>
  </r>
  <r>
    <n v="30"/>
    <s v="Bisma Danendra"/>
    <x v="0"/>
    <x v="0"/>
    <s v="Tidak"/>
    <s v="Tidak"/>
    <s v="Tidak"/>
    <s v="Tidak"/>
    <x v="1"/>
    <x v="1"/>
    <n v="22"/>
    <x v="0"/>
    <x v="0"/>
    <x v="1"/>
    <n v="4"/>
    <n v="3"/>
    <n v="-1"/>
    <n v="4"/>
    <n v="3"/>
    <x v="1"/>
    <n v="4"/>
    <n v="3"/>
    <n v="-1"/>
    <n v="4"/>
    <n v="4"/>
    <n v="0"/>
    <n v="4"/>
    <n v="3"/>
    <n v="-1"/>
    <n v="3"/>
    <n v="3"/>
    <n v="0"/>
    <n v="4"/>
    <n v="3"/>
    <n v="-1"/>
    <n v="3"/>
    <n v="3"/>
    <n v="0"/>
    <n v="3"/>
    <n v="3"/>
    <n v="0"/>
    <n v="0"/>
    <s v="Tidak"/>
    <n v="0"/>
    <s v="Tidak"/>
    <n v="0"/>
    <s v="Tidak"/>
    <s v="Tetangga"/>
    <s v="Teman"/>
    <n v="1"/>
    <n v="4"/>
    <s v="Petugas cukup baik dalam pelayanan"/>
    <s v="sudah baik/bagus"/>
    <s v="Prosesnya sangat mudah dan cepat"/>
    <s v="proses pelayanan cepat dan mudah"/>
    <s v="Ruangan sudah baik dan bagus"/>
    <s v="sudah baik/bagus"/>
    <s v="Sarana dan prasarana untuk print dan foto copy di sediakan di lebih dekat dengan polsek"/>
  </r>
  <r>
    <n v="31"/>
    <s v="Jumoisah"/>
    <x v="0"/>
    <x v="10"/>
    <s v="Tidak"/>
    <s v="Tidak"/>
    <s v="Tidak"/>
    <s v="Tidak"/>
    <x v="0"/>
    <x v="1"/>
    <n v="42"/>
    <x v="6"/>
    <x v="0"/>
    <x v="7"/>
    <n v="4"/>
    <n v="4"/>
    <n v="0"/>
    <n v="4"/>
    <n v="4"/>
    <x v="0"/>
    <n v="4"/>
    <n v="4"/>
    <n v="0"/>
    <n v="4"/>
    <n v="4"/>
    <n v="0"/>
    <n v="4"/>
    <n v="4"/>
    <n v="0"/>
    <n v="4"/>
    <n v="4"/>
    <n v="0"/>
    <n v="4"/>
    <n v="4"/>
    <n v="0"/>
    <n v="4"/>
    <n v="4"/>
    <n v="0"/>
    <n v="4"/>
    <n v="4"/>
    <n v="0"/>
    <n v="0"/>
    <s v="Tidak"/>
    <n v="0"/>
    <s v="Tidak"/>
    <n v="0"/>
    <s v="Tidak"/>
    <s v="Teman"/>
    <s v="Teman"/>
    <n v="2"/>
    <n v="3"/>
    <s v="Tidak ada"/>
    <s v="tidak ada"/>
    <s v="Cepat"/>
    <s v="proses pelayanan cepat dan mudah"/>
    <s v="Bagus"/>
    <s v="sudah baik/bagus"/>
    <s v="Tidak ada"/>
  </r>
  <r>
    <n v="32"/>
    <s v="Richard Ishak S."/>
    <x v="0"/>
    <x v="0"/>
    <s v="Tidak"/>
    <s v="Tidak"/>
    <s v="Tidak"/>
    <s v="Tidak"/>
    <x v="1"/>
    <x v="0"/>
    <n v="44"/>
    <x v="6"/>
    <x v="1"/>
    <x v="0"/>
    <n v="4"/>
    <n v="4"/>
    <n v="0"/>
    <n v="4"/>
    <n v="3"/>
    <x v="1"/>
    <n v="4"/>
    <n v="4"/>
    <n v="0"/>
    <n v="4"/>
    <n v="4"/>
    <n v="0"/>
    <n v="4"/>
    <n v="4"/>
    <n v="0"/>
    <n v="4"/>
    <n v="4"/>
    <n v="0"/>
    <n v="4"/>
    <n v="4"/>
    <n v="0"/>
    <n v="3"/>
    <n v="3"/>
    <n v="0"/>
    <n v="4"/>
    <n v="4"/>
    <n v="0"/>
    <n v="0"/>
    <s v="Tidak"/>
    <n v="4"/>
    <s v="Ya"/>
    <n v="0"/>
    <s v="Tidak"/>
    <s v=""/>
    <s v="-"/>
    <n v="0"/>
    <n v="0"/>
    <s v="Tidak ada saran, pelayanan sudah Baik"/>
    <s v="tidak ada"/>
    <s v="Pelayanannya sudah cepat"/>
    <s v="proses pelayanan cepat dan mudah"/>
    <s v="Ruangannya sudah oke tidak ada saran"/>
    <s v="sudah baik/bagus"/>
    <s v=""/>
  </r>
  <r>
    <n v="33"/>
    <s v="FEBBY ARI OCTARIA"/>
    <x v="2"/>
    <x v="11"/>
    <s v="Tidak"/>
    <s v="Tidak"/>
    <s v="Tidak"/>
    <s v="Tidak"/>
    <x v="0"/>
    <x v="3"/>
    <n v="20"/>
    <x v="3"/>
    <x v="0"/>
    <x v="1"/>
    <n v="3"/>
    <n v="4"/>
    <n v="1"/>
    <n v="3"/>
    <n v="4"/>
    <x v="2"/>
    <n v="3"/>
    <n v="3"/>
    <n v="0"/>
    <n v="3"/>
    <n v="4"/>
    <n v="1"/>
    <n v="3"/>
    <n v="4"/>
    <n v="1"/>
    <n v="3"/>
    <n v="4"/>
    <n v="1"/>
    <n v="3"/>
    <n v="4"/>
    <n v="1"/>
    <n v="3"/>
    <n v="4"/>
    <n v="1"/>
    <n v="3"/>
    <n v="4"/>
    <n v="1"/>
    <n v="0"/>
    <s v="Tidak"/>
    <n v="0"/>
    <s v="Tidak"/>
    <n v="0"/>
    <s v="Tidak"/>
    <s v="Teman ayah"/>
    <s v="Teman"/>
    <n v="2"/>
    <n v="3"/>
    <s v="Sudah baik"/>
    <s v="sudah baik/bagus"/>
    <s v="Sudah baik"/>
    <s v="sudah baik/bagus"/>
    <s v="Sudah baik"/>
    <s v="sudah baik/bagus"/>
    <s v="Sudah baik"/>
  </r>
  <r>
    <n v="34"/>
    <s v="IKHROJUS SOBAKH"/>
    <x v="0"/>
    <x v="3"/>
    <s v="Tidak"/>
    <s v="Tidak"/>
    <s v="Tidak"/>
    <s v="Tidak"/>
    <x v="1"/>
    <x v="1"/>
    <n v="38"/>
    <x v="4"/>
    <x v="1"/>
    <x v="0"/>
    <n v="4"/>
    <n v="3"/>
    <n v="-1"/>
    <n v="4"/>
    <n v="4"/>
    <x v="0"/>
    <n v="4"/>
    <n v="4"/>
    <n v="0"/>
    <n v="4"/>
    <n v="4"/>
    <n v="0"/>
    <n v="4"/>
    <n v="4"/>
    <n v="0"/>
    <n v="4"/>
    <n v="4"/>
    <n v="0"/>
    <n v="4"/>
    <n v="4"/>
    <n v="0"/>
    <n v="4"/>
    <n v="4"/>
    <n v="0"/>
    <n v="4"/>
    <n v="4"/>
    <n v="0"/>
    <n v="4"/>
    <s v="Ya"/>
    <n v="0"/>
    <s v="Tidak"/>
    <n v="0"/>
    <s v="Tidak"/>
    <s v=""/>
    <s v="-"/>
    <n v="0"/>
    <n v="0"/>
    <s v="Tidak ada"/>
    <s v="tidak ada"/>
    <s v="Tidak ada"/>
    <s v="tidak ada"/>
    <s v="Tidak ada"/>
    <s v="tidak ada"/>
    <s v="Tidak ada"/>
  </r>
  <r>
    <n v="35"/>
    <s v="AZZAHRA ZABRINA PUTRI A."/>
    <x v="0"/>
    <x v="4"/>
    <s v="Tidak"/>
    <s v="Tidak"/>
    <s v="Tidak"/>
    <s v="Tidak"/>
    <x v="0"/>
    <x v="2"/>
    <n v="18"/>
    <x v="3"/>
    <x v="0"/>
    <x v="1"/>
    <n v="3"/>
    <n v="4"/>
    <n v="1"/>
    <n v="4"/>
    <n v="4"/>
    <x v="0"/>
    <n v="4"/>
    <n v="4"/>
    <n v="0"/>
    <n v="4"/>
    <n v="4"/>
    <n v="0"/>
    <n v="4"/>
    <n v="4"/>
    <n v="0"/>
    <n v="4"/>
    <n v="4"/>
    <n v="0"/>
    <n v="4"/>
    <n v="3"/>
    <n v="-1"/>
    <n v="3"/>
    <n v="4"/>
    <n v="1"/>
    <n v="3"/>
    <n v="4"/>
    <n v="1"/>
    <n v="0"/>
    <s v="Tidak"/>
    <n v="0"/>
    <s v="Tidak"/>
    <n v="0"/>
    <s v="Tidak"/>
    <s v="Orangtua"/>
    <s v="Keluarga"/>
    <n v="1"/>
    <n v="4"/>
    <s v="Diperbaiki lagi"/>
    <s v="meningkatkan kinerja pelayanan"/>
    <s v="Counter diperbanyak"/>
    <s v="mempercepat waktu pelayanan"/>
    <s v="Sudah baik"/>
    <s v="sudah baik/bagus"/>
    <s v="Sudah baik"/>
  </r>
  <r>
    <n v="36"/>
    <s v="Susanah"/>
    <x v="3"/>
    <x v="12"/>
    <s v="Tidak"/>
    <s v="Tidak"/>
    <s v="Tidak"/>
    <s v="Tidak"/>
    <x v="0"/>
    <x v="1"/>
    <n v="43"/>
    <x v="6"/>
    <x v="0"/>
    <x v="0"/>
    <n v="4"/>
    <n v="4"/>
    <n v="0"/>
    <n v="4"/>
    <n v="4"/>
    <x v="0"/>
    <n v="4"/>
    <n v="4"/>
    <n v="0"/>
    <n v="4"/>
    <n v="4"/>
    <n v="0"/>
    <n v="4"/>
    <n v="4"/>
    <n v="0"/>
    <n v="4"/>
    <n v="4"/>
    <n v="0"/>
    <n v="4"/>
    <n v="4"/>
    <n v="0"/>
    <n v="4"/>
    <n v="4"/>
    <n v="0"/>
    <n v="4"/>
    <n v="4"/>
    <n v="0"/>
    <n v="0"/>
    <s v="Tidak"/>
    <n v="0"/>
    <s v="Tidak"/>
    <n v="0"/>
    <s v="Tidak"/>
    <s v="Saudara"/>
    <s v="Keluarga"/>
    <n v="1"/>
    <n v="4"/>
    <s v="Tidak ada"/>
    <s v="tidak ada"/>
    <s v="Tidak ada"/>
    <s v="tidak ada"/>
    <s v="Tidak ada"/>
    <s v="tidak ada"/>
    <s v="Tidak ada"/>
  </r>
  <r>
    <n v="37"/>
    <s v="Moch. Wachid Yulianto"/>
    <x v="0"/>
    <x v="3"/>
    <s v="Tidak"/>
    <s v="Tidak"/>
    <s v="Tidak"/>
    <s v="Tidak"/>
    <x v="1"/>
    <x v="0"/>
    <n v="52"/>
    <x v="8"/>
    <x v="1"/>
    <x v="0"/>
    <n v="4"/>
    <n v="4"/>
    <n v="0"/>
    <n v="4"/>
    <n v="4"/>
    <x v="0"/>
    <n v="4"/>
    <n v="4"/>
    <n v="0"/>
    <n v="4"/>
    <n v="4"/>
    <n v="0"/>
    <n v="4"/>
    <n v="4"/>
    <n v="0"/>
    <n v="4"/>
    <n v="4"/>
    <n v="0"/>
    <n v="4"/>
    <n v="4"/>
    <n v="0"/>
    <n v="4"/>
    <n v="4"/>
    <n v="0"/>
    <n v="4"/>
    <n v="4"/>
    <n v="0"/>
    <n v="0"/>
    <s v="Tidak"/>
    <n v="0"/>
    <s v="Tidak"/>
    <n v="0"/>
    <s v="Tidak"/>
    <s v="Diri sendiri"/>
    <s v="Mengetahui sendiri"/>
    <n v="1"/>
    <n v="4"/>
    <s v="Tidak ada"/>
    <s v="tidak ada"/>
    <s v="Tidak ada"/>
    <s v="tidak ada"/>
    <s v="Tidak ada"/>
    <s v="tidak ada"/>
    <s v="Tidak ada"/>
  </r>
  <r>
    <n v="38"/>
    <s v="Ani isnawati"/>
    <x v="0"/>
    <x v="0"/>
    <s v="Tidak"/>
    <s v="Tidak"/>
    <s v="Tidak"/>
    <s v="Tidak"/>
    <x v="0"/>
    <x v="1"/>
    <n v="47"/>
    <x v="7"/>
    <x v="0"/>
    <x v="0"/>
    <n v="4"/>
    <n v="4"/>
    <n v="0"/>
    <n v="3"/>
    <n v="3"/>
    <x v="0"/>
    <n v="3"/>
    <n v="3"/>
    <n v="0"/>
    <n v="2"/>
    <n v="2"/>
    <n v="0"/>
    <n v="3"/>
    <n v="3"/>
    <n v="0"/>
    <n v="3"/>
    <n v="3"/>
    <n v="0"/>
    <n v="3"/>
    <n v="3"/>
    <n v="0"/>
    <n v="4"/>
    <n v="3"/>
    <n v="-1"/>
    <n v="4"/>
    <n v="3"/>
    <n v="-1"/>
    <n v="0"/>
    <s v="Tidak"/>
    <n v="0"/>
    <s v="Tidak"/>
    <n v="0"/>
    <s v="Tidak"/>
    <s v="Pegawai Polsek Sidoarjo"/>
    <s v="Pegawai Polresta Sidoarjo"/>
    <n v="1"/>
    <n v="4"/>
    <s v="Lebih baik lagi dalam melakukan pelayanan atau perlu ditingkatkan lagi"/>
    <s v="meningkatkan kinerja pelayanan"/>
    <s v="Tidak ada"/>
    <s v="tidak ada"/>
    <s v="Tidak ada"/>
    <s v="tidak ada"/>
    <s v="Tidak ada"/>
  </r>
  <r>
    <n v="39"/>
    <s v="Kamisah"/>
    <x v="0"/>
    <x v="3"/>
    <s v="Tidak"/>
    <s v="Tidak"/>
    <s v="Tidak"/>
    <s v="Tidak"/>
    <x v="0"/>
    <x v="1"/>
    <n v="60"/>
    <x v="5"/>
    <x v="0"/>
    <x v="7"/>
    <n v="4"/>
    <n v="4"/>
    <n v="0"/>
    <n v="4"/>
    <n v="4"/>
    <x v="0"/>
    <n v="4"/>
    <n v="4"/>
    <n v="0"/>
    <n v="4"/>
    <n v="4"/>
    <n v="0"/>
    <n v="4"/>
    <n v="4"/>
    <n v="0"/>
    <n v="4"/>
    <n v="4"/>
    <n v="0"/>
    <n v="4"/>
    <n v="4"/>
    <n v="0"/>
    <n v="4"/>
    <n v="4"/>
    <n v="0"/>
    <n v="4"/>
    <n v="4"/>
    <n v="0"/>
    <n v="0"/>
    <s v="Ya"/>
    <n v="0"/>
    <s v="Tidak"/>
    <n v="0"/>
    <s v="Tidak"/>
    <s v="Tetangga"/>
    <s v="Teman"/>
    <n v="2"/>
    <n v="3"/>
    <s v="Tidak ada"/>
    <s v="tidak ada"/>
    <s v="Tidak ada"/>
    <s v="tidak ada"/>
    <s v="Tidak ada"/>
    <s v="tidak ada"/>
    <s v="Tidak ada"/>
  </r>
  <r>
    <n v="40"/>
    <s v="REYNALDO JHONATAN NABABAN"/>
    <x v="0"/>
    <x v="13"/>
    <s v="Tidak"/>
    <s v="Tidak"/>
    <s v="Tidak"/>
    <s v="Tidak"/>
    <x v="1"/>
    <x v="2"/>
    <n v="27"/>
    <x v="1"/>
    <x v="0"/>
    <x v="0"/>
    <n v="3"/>
    <n v="3"/>
    <n v="0"/>
    <n v="3"/>
    <n v="3"/>
    <x v="0"/>
    <n v="3"/>
    <n v="3"/>
    <n v="0"/>
    <n v="4"/>
    <n v="3"/>
    <n v="-1"/>
    <n v="4"/>
    <n v="4"/>
    <n v="0"/>
    <n v="4"/>
    <n v="3"/>
    <n v="-1"/>
    <n v="3"/>
    <n v="3"/>
    <n v="0"/>
    <n v="3"/>
    <n v="3"/>
    <n v="0"/>
    <n v="4"/>
    <n v="4"/>
    <n v="0"/>
    <n v="0"/>
    <s v="Tidak"/>
    <n v="0"/>
    <s v="Tidak"/>
    <n v="0"/>
    <s v="Tidak"/>
    <s v="Teman"/>
    <s v="Teman"/>
    <n v="2"/>
    <n v="3"/>
    <s v="Sudah baik"/>
    <s v="sudah baik/bagus"/>
    <s v="Sudah baik"/>
    <s v="sudah baik/bagus"/>
    <s v="Sudah baik"/>
    <s v="sudah baik/bagus"/>
    <s v="Sudah baik"/>
  </r>
  <r>
    <n v="41"/>
    <s v="Ira puspita"/>
    <x v="0"/>
    <x v="0"/>
    <s v="Tidak"/>
    <s v="Tidak"/>
    <s v="Tidak"/>
    <s v="Tidak"/>
    <x v="0"/>
    <x v="1"/>
    <n v="42"/>
    <x v="6"/>
    <x v="0"/>
    <x v="0"/>
    <n v="4"/>
    <n v="4"/>
    <n v="0"/>
    <n v="4"/>
    <n v="4"/>
    <x v="0"/>
    <n v="4"/>
    <n v="4"/>
    <n v="0"/>
    <n v="2"/>
    <n v="2"/>
    <n v="0"/>
    <n v="3"/>
    <n v="3"/>
    <n v="0"/>
    <n v="4"/>
    <n v="4"/>
    <n v="0"/>
    <n v="4"/>
    <n v="4"/>
    <n v="0"/>
    <n v="4"/>
    <n v="3"/>
    <n v="-1"/>
    <n v="4"/>
    <n v="4"/>
    <n v="0"/>
    <n v="0"/>
    <s v="Tidak"/>
    <n v="0"/>
    <s v="Tidak"/>
    <n v="0"/>
    <s v="Tidak"/>
    <s v="Pegawai Polsek Sidoarjo"/>
    <s v="Pegawai Polresta Sidoarjo"/>
    <n v="2"/>
    <n v="3"/>
    <s v="Tidak ada"/>
    <s v="tidak ada"/>
    <s v="Tidak ada"/>
    <s v="tidak ada"/>
    <s v="Perlu ditambah lagi kursi pelayanan ruang tunggu"/>
    <s v="kursi ditambah atau diperbaiki yang rusak"/>
    <s v="Tidak ada"/>
  </r>
  <r>
    <n v="42"/>
    <s v="M. Choirizal Khaidir"/>
    <x v="4"/>
    <x v="14"/>
    <s v="Tidak"/>
    <s v="Tidak"/>
    <s v="Tidak"/>
    <s v="Tidak"/>
    <x v="1"/>
    <x v="1"/>
    <n v="24"/>
    <x v="0"/>
    <x v="2"/>
    <x v="10"/>
    <n v="4"/>
    <n v="4"/>
    <n v="0"/>
    <n v="4"/>
    <n v="4"/>
    <x v="0"/>
    <n v="4"/>
    <n v="4"/>
    <n v="0"/>
    <n v="4"/>
    <n v="4"/>
    <n v="0"/>
    <n v="4"/>
    <n v="4"/>
    <n v="0"/>
    <n v="4"/>
    <n v="4"/>
    <n v="0"/>
    <n v="4"/>
    <n v="4"/>
    <n v="0"/>
    <n v="4"/>
    <n v="4"/>
    <n v="0"/>
    <n v="4"/>
    <n v="4"/>
    <n v="0"/>
    <n v="0"/>
    <s v="Tidak"/>
    <n v="0"/>
    <s v="Tidak"/>
    <n v="0"/>
    <s v="Tidak"/>
    <s v="Teman"/>
    <s v="Teman"/>
    <n v="1"/>
    <n v="4"/>
    <s v="Tidak ada"/>
    <s v="tidak ada"/>
    <s v="Tidak ada"/>
    <s v="tidak ada"/>
    <s v="Tidak ada"/>
    <s v="tidak ada"/>
    <s v="Tidak ada"/>
  </r>
  <r>
    <n v="43"/>
    <s v="DIMAS BAGUS WICAKSONO"/>
    <x v="0"/>
    <x v="15"/>
    <s v="Tidak"/>
    <s v="Tidak"/>
    <s v="Tidak"/>
    <s v="Tidak"/>
    <x v="1"/>
    <x v="2"/>
    <n v="18"/>
    <x v="3"/>
    <x v="0"/>
    <x v="1"/>
    <n v="3"/>
    <n v="4"/>
    <n v="1"/>
    <n v="3"/>
    <n v="3"/>
    <x v="0"/>
    <n v="2"/>
    <n v="4"/>
    <n v="2"/>
    <n v="4"/>
    <n v="4"/>
    <n v="0"/>
    <n v="3"/>
    <n v="3"/>
    <n v="0"/>
    <n v="3"/>
    <n v="4"/>
    <n v="1"/>
    <n v="3"/>
    <n v="4"/>
    <n v="1"/>
    <n v="3"/>
    <n v="3"/>
    <n v="0"/>
    <n v="3"/>
    <n v="4"/>
    <n v="1"/>
    <n v="0"/>
    <s v="Tidak"/>
    <n v="3"/>
    <s v="Ya"/>
    <n v="0"/>
    <s v="Tidak"/>
    <s v=""/>
    <s v="-"/>
    <n v="0"/>
    <n v="0"/>
    <s v="Cukup. Ditingkatkan lagi"/>
    <s v="meningkatkan kinerja pelayanan"/>
    <s v="Menambah petugas. Pemanggilan sesuai urutan  antrian"/>
    <s v="menambah staff pelayanan"/>
    <s v="Sudah baik"/>
    <s v="sudah baik/bagus"/>
    <s v="Sudah baik"/>
  </r>
  <r>
    <n v="44"/>
    <s v="Munik Indah Wati"/>
    <x v="0"/>
    <x v="3"/>
    <s v="Tidak"/>
    <s v="Tidak"/>
    <s v="Tidak"/>
    <s v="Tidak"/>
    <x v="0"/>
    <x v="1"/>
    <n v="39"/>
    <x v="4"/>
    <x v="1"/>
    <x v="4"/>
    <n v="3"/>
    <n v="3"/>
    <n v="0"/>
    <n v="4"/>
    <n v="4"/>
    <x v="0"/>
    <n v="4"/>
    <n v="4"/>
    <n v="0"/>
    <n v="4"/>
    <n v="4"/>
    <n v="0"/>
    <n v="4"/>
    <n v="4"/>
    <n v="0"/>
    <n v="4"/>
    <n v="4"/>
    <n v="0"/>
    <n v="4"/>
    <n v="4"/>
    <n v="0"/>
    <n v="4"/>
    <n v="4"/>
    <n v="0"/>
    <n v="3"/>
    <n v="3"/>
    <n v="0"/>
    <n v="0"/>
    <s v="Tidak"/>
    <n v="0"/>
    <s v="Tidak"/>
    <n v="0"/>
    <s v="Tidak"/>
    <s v="Saudara"/>
    <s v="Keluarga"/>
    <n v="2"/>
    <n v="3"/>
    <s v="Tidak ada"/>
    <s v="tidak ada"/>
    <s v="Tidak ada"/>
    <s v="tidak ada"/>
    <s v="Lebih ditingkatkan lagi sarana dan prasana"/>
    <s v="ruangan lebih memadai dan nyaman"/>
    <s v="Tidak ada"/>
  </r>
  <r>
    <n v="45"/>
    <s v="M. ADITYA RAMADHANI"/>
    <x v="0"/>
    <x v="4"/>
    <s v="Tidak"/>
    <s v="Tidak"/>
    <s v="Tidak"/>
    <s v="Tidak"/>
    <x v="1"/>
    <x v="3"/>
    <n v="19"/>
    <x v="3"/>
    <x v="0"/>
    <x v="1"/>
    <n v="3"/>
    <n v="4"/>
    <n v="1"/>
    <n v="4"/>
    <n v="4"/>
    <x v="0"/>
    <n v="3"/>
    <n v="3"/>
    <n v="0"/>
    <n v="3"/>
    <n v="4"/>
    <n v="1"/>
    <n v="3"/>
    <n v="3"/>
    <n v="0"/>
    <n v="3"/>
    <n v="3"/>
    <n v="0"/>
    <n v="4"/>
    <n v="3"/>
    <n v="-1"/>
    <n v="3"/>
    <n v="4"/>
    <n v="1"/>
    <n v="4"/>
    <n v="4"/>
    <n v="0"/>
    <n v="0"/>
    <s v="Tidak"/>
    <n v="3"/>
    <s v="Ya"/>
    <n v="0"/>
    <s v="Tidak"/>
    <s v=""/>
    <s v="-"/>
    <n v="0"/>
    <n v="0"/>
    <s v="Lebh responsif lagi agar sesuai SOP"/>
    <s v="lebih responsif untuk pelayanannya"/>
    <s v="Cukup baik. Ditingkatkan lagi agar tidak lama"/>
    <s v="mempercepat waktu pelayanan"/>
    <s v="Sudah baik"/>
    <s v="sudah baik/bagus"/>
    <s v="Sudah baik"/>
  </r>
  <r>
    <n v="46"/>
    <s v="Zahrani putri ananta"/>
    <x v="0"/>
    <x v="0"/>
    <s v="Tidak"/>
    <s v="Tidak"/>
    <s v="Tidak"/>
    <s v="Tidak"/>
    <x v="0"/>
    <x v="1"/>
    <n v="23"/>
    <x v="0"/>
    <x v="0"/>
    <x v="7"/>
    <n v="4"/>
    <n v="4"/>
    <n v="0"/>
    <n v="4"/>
    <n v="4"/>
    <x v="0"/>
    <n v="4"/>
    <n v="4"/>
    <n v="0"/>
    <n v="4"/>
    <n v="0"/>
    <n v="-4"/>
    <n v="4"/>
    <n v="4"/>
    <n v="0"/>
    <n v="4"/>
    <n v="4"/>
    <n v="0"/>
    <n v="4"/>
    <n v="4"/>
    <n v="0"/>
    <n v="4"/>
    <n v="4"/>
    <n v="0"/>
    <n v="4"/>
    <n v="4"/>
    <n v="0"/>
    <n v="0"/>
    <s v="Tidak"/>
    <n v="0"/>
    <s v="Tidak"/>
    <n v="0"/>
    <s v="Tidak"/>
    <s v="Tetangga"/>
    <s v="Teman"/>
    <n v="1"/>
    <n v="4"/>
    <s v="Sudah cukup"/>
    <s v="sudah baik/bagus"/>
    <s v="Sudah cukup"/>
    <s v="sudah baik/bagus"/>
    <s v="Kalau bisa lebih ditingkatkan lagi"/>
    <s v="ruangan lebih memadai dan nyaman"/>
    <s v=""/>
  </r>
  <r>
    <n v="47"/>
    <s v="Dwinida Rozana"/>
    <x v="0"/>
    <x v="0"/>
    <s v="Tidak"/>
    <s v="Tidak"/>
    <s v="Tidak"/>
    <s v="Tidak"/>
    <x v="0"/>
    <x v="1"/>
    <n v="27"/>
    <x v="1"/>
    <x v="1"/>
    <x v="0"/>
    <n v="4"/>
    <n v="4"/>
    <n v="0"/>
    <n v="3"/>
    <n v="4"/>
    <x v="2"/>
    <n v="4"/>
    <n v="4"/>
    <n v="0"/>
    <n v="0"/>
    <n v="0"/>
    <n v="0"/>
    <n v="4"/>
    <n v="4"/>
    <n v="0"/>
    <n v="4"/>
    <n v="4"/>
    <n v="0"/>
    <n v="4"/>
    <n v="4"/>
    <n v="0"/>
    <n v="3"/>
    <n v="4"/>
    <n v="1"/>
    <n v="4"/>
    <n v="4"/>
    <n v="0"/>
    <n v="0"/>
    <s v="Tidak"/>
    <n v="0"/>
    <s v="Tidak"/>
    <n v="0"/>
    <s v="Tidak"/>
    <s v="Balai Desa"/>
    <s v="Informasi dari pegawai lembaga pemerintahan"/>
    <n v="2"/>
    <n v="3"/>
    <s v="Pelayanan bagus, saran kalau bisa butuh orang untuk menghandel atau seperti cs"/>
    <s v="menambah petugas pelayanan"/>
    <s v="Sangat bagus prosesnya bagus"/>
    <s v="sudah baik/bagus"/>
    <s v="Kursi sudah lengkap bagus, kalau bisa di tambahi lagi karena kurang"/>
    <s v="kursi ditambah atau diperbaiki yang rusak"/>
    <s v="Parkir ditambahi karena kurang luas pengawasan parkir harus tanggap"/>
  </r>
  <r>
    <n v="48"/>
    <s v="Noval Cahya"/>
    <x v="0"/>
    <x v="0"/>
    <s v="Tidak"/>
    <s v="Tidak"/>
    <s v="Tidak"/>
    <s v="Tidak"/>
    <x v="1"/>
    <x v="1"/>
    <n v="23"/>
    <x v="0"/>
    <x v="1"/>
    <x v="0"/>
    <n v="3"/>
    <n v="3"/>
    <n v="0"/>
    <n v="3"/>
    <n v="3"/>
    <x v="0"/>
    <n v="3"/>
    <n v="4"/>
    <n v="1"/>
    <n v="0"/>
    <n v="0"/>
    <n v="0"/>
    <n v="4"/>
    <n v="4"/>
    <n v="0"/>
    <n v="3"/>
    <n v="3"/>
    <n v="0"/>
    <n v="3"/>
    <n v="3"/>
    <n v="0"/>
    <n v="3"/>
    <n v="3"/>
    <n v="0"/>
    <n v="3"/>
    <n v="3"/>
    <n v="0"/>
    <n v="0"/>
    <s v="Tidak"/>
    <n v="0"/>
    <s v="Tidak"/>
    <n v="0"/>
    <s v="Tidak"/>
    <s v="Dari mulut ke mulut"/>
    <s v="Mengetahui sendiri"/>
    <n v="3"/>
    <n v="2"/>
    <s v="Sudah cukup baik"/>
    <s v="sudah baik/bagus"/>
    <s v="Kalau bisa staff ditambah"/>
    <s v="menambah staff pelayanan"/>
    <s v="Sudah cukup baik"/>
    <s v="sudah baik/bagus"/>
    <s v=""/>
  </r>
  <r>
    <n v="49"/>
    <s v="Rajab Hatuina"/>
    <x v="0"/>
    <x v="16"/>
    <s v="Tidak"/>
    <s v="Tidak"/>
    <s v="Tidak"/>
    <s v="Tidak"/>
    <x v="1"/>
    <x v="1"/>
    <n v="58"/>
    <x v="5"/>
    <x v="0"/>
    <x v="6"/>
    <n v="3"/>
    <n v="3"/>
    <n v="0"/>
    <n v="3"/>
    <n v="3"/>
    <x v="0"/>
    <n v="3"/>
    <n v="3"/>
    <n v="0"/>
    <n v="0"/>
    <n v="0"/>
    <n v="0"/>
    <n v="3"/>
    <n v="3"/>
    <n v="0"/>
    <n v="4"/>
    <n v="4"/>
    <n v="0"/>
    <n v="4"/>
    <n v="4"/>
    <n v="0"/>
    <n v="3"/>
    <n v="3"/>
    <n v="0"/>
    <n v="4"/>
    <n v="4"/>
    <n v="0"/>
    <n v="0"/>
    <s v="Ya"/>
    <n v="0"/>
    <s v="Tidak"/>
    <n v="0"/>
    <s v="Tidak"/>
    <s v="Sering ke polresta utk urus surat2"/>
    <s v="Mengetahui sendiri"/>
    <n v="2"/>
    <n v="3"/>
    <s v="Sudah cukup baik"/>
    <s v="sudah baik/bagus"/>
    <s v="Sudah cukup baik"/>
    <s v="sudah baik/bagus"/>
    <s v="Sudah cukup baik"/>
    <s v="sudah baik/bagus"/>
    <s v=""/>
  </r>
  <r>
    <n v="50"/>
    <s v="Yanti Wida Lestari"/>
    <x v="0"/>
    <x v="0"/>
    <s v="Tidak"/>
    <s v="Tidak"/>
    <s v="Tidak"/>
    <s v="Tidak"/>
    <x v="0"/>
    <x v="1"/>
    <n v="54"/>
    <x v="8"/>
    <x v="1"/>
    <x v="6"/>
    <n v="3"/>
    <n v="4"/>
    <n v="1"/>
    <n v="4"/>
    <n v="4"/>
    <x v="0"/>
    <n v="4"/>
    <n v="4"/>
    <n v="0"/>
    <n v="0"/>
    <n v="0"/>
    <n v="0"/>
    <n v="4"/>
    <n v="4"/>
    <n v="0"/>
    <n v="4"/>
    <n v="4"/>
    <n v="0"/>
    <n v="4"/>
    <n v="4"/>
    <n v="0"/>
    <n v="4"/>
    <n v="4"/>
    <n v="0"/>
    <n v="4"/>
    <n v="4"/>
    <n v="0"/>
    <n v="3"/>
    <s v="Ya"/>
    <n v="0"/>
    <s v="Tidak"/>
    <n v="0"/>
    <s v="Tidak"/>
    <s v=""/>
    <s v="-"/>
    <n v="0"/>
    <n v="0"/>
    <s v="Sudah cukup baik"/>
    <s v="sudah baik/bagus"/>
    <s v="Lebih ditingkatkan lagi"/>
    <s v="meningkatkan kinerja pelayanan"/>
    <s v="Sudah cukup baik"/>
    <s v="sudah baik/bagus"/>
    <s v=""/>
  </r>
  <r>
    <n v="51"/>
    <s v="Izzah Nur Fahma"/>
    <x v="0"/>
    <x v="17"/>
    <s v="Tidak"/>
    <s v="Tidak"/>
    <s v="Tidak"/>
    <s v="Tidak"/>
    <x v="0"/>
    <x v="1"/>
    <n v="28"/>
    <x v="1"/>
    <x v="1"/>
    <x v="8"/>
    <n v="2"/>
    <n v="3"/>
    <n v="1"/>
    <n v="2"/>
    <n v="3"/>
    <x v="2"/>
    <n v="3"/>
    <n v="3"/>
    <n v="0"/>
    <n v="0"/>
    <n v="0"/>
    <n v="0"/>
    <n v="3"/>
    <n v="3"/>
    <n v="0"/>
    <n v="3"/>
    <n v="3"/>
    <n v="0"/>
    <n v="3"/>
    <n v="3"/>
    <n v="0"/>
    <n v="3"/>
    <n v="3"/>
    <n v="0"/>
    <n v="4"/>
    <n v="4"/>
    <n v="0"/>
    <n v="0"/>
    <s v="Tidak"/>
    <n v="0"/>
    <s v="Tidak"/>
    <n v="0"/>
    <s v="Tidak"/>
    <s v="Pegawai samsat"/>
    <s v="Informasi dari pegawai lembaga pemerintahan"/>
    <n v="3"/>
    <n v="2"/>
    <s v="Agar lebih informatif lagi"/>
    <s v="memberikan informasi yang lebih jelas dan mudah dipahami"/>
    <s v="Sudah lumayan baik"/>
    <s v="sudah baik/bagus"/>
    <s v="Sudah cukup"/>
    <s v="sudah baik/bagus"/>
    <s v=""/>
  </r>
  <r>
    <n v="52"/>
    <s v="Shonhaji"/>
    <x v="0"/>
    <x v="0"/>
    <s v="Tidak"/>
    <s v="Tidak"/>
    <s v="Tidak"/>
    <s v="Tidak"/>
    <x v="1"/>
    <x v="0"/>
    <n v="24"/>
    <x v="0"/>
    <x v="1"/>
    <x v="0"/>
    <n v="4"/>
    <n v="4"/>
    <n v="0"/>
    <n v="3"/>
    <n v="4"/>
    <x v="2"/>
    <n v="3"/>
    <n v="4"/>
    <n v="1"/>
    <n v="4"/>
    <n v="4"/>
    <n v="0"/>
    <n v="4"/>
    <n v="4"/>
    <n v="0"/>
    <n v="3"/>
    <n v="3"/>
    <n v="0"/>
    <n v="3"/>
    <n v="3"/>
    <n v="0"/>
    <n v="3"/>
    <n v="3"/>
    <n v="0"/>
    <n v="4"/>
    <n v="4"/>
    <n v="0"/>
    <n v="0"/>
    <s v="Tidak"/>
    <n v="4"/>
    <s v="Ya"/>
    <n v="0"/>
    <s v="Tidak"/>
    <s v=""/>
    <s v="-"/>
    <n v="0"/>
    <n v="0"/>
    <s v="Kalau bisa loket dan petugas ditambah"/>
    <s v="menambah petugas pelayanan"/>
    <s v="Sudah cukup"/>
    <s v="sudah baik/bagus"/>
    <s v="Sudah cukup"/>
    <s v="sudah baik/bagus"/>
    <s v=""/>
  </r>
  <r>
    <n v="53"/>
    <s v="Cindy Ayu"/>
    <x v="0"/>
    <x v="2"/>
    <s v="Tidak"/>
    <s v="Tidak"/>
    <s v="Tidak"/>
    <s v="Tidak"/>
    <x v="0"/>
    <x v="0"/>
    <n v="22"/>
    <x v="0"/>
    <x v="1"/>
    <x v="1"/>
    <n v="3"/>
    <n v="3"/>
    <n v="0"/>
    <n v="3"/>
    <n v="3"/>
    <x v="0"/>
    <n v="3"/>
    <n v="3"/>
    <n v="0"/>
    <n v="4"/>
    <n v="4"/>
    <n v="0"/>
    <n v="4"/>
    <n v="4"/>
    <n v="0"/>
    <n v="3"/>
    <n v="3"/>
    <n v="0"/>
    <n v="3"/>
    <n v="3"/>
    <n v="0"/>
    <n v="3"/>
    <n v="3"/>
    <n v="0"/>
    <n v="4"/>
    <n v="4"/>
    <n v="0"/>
    <n v="0"/>
    <s v="Tidak"/>
    <n v="3"/>
    <s v="Ya"/>
    <n v="0"/>
    <s v="Tidak"/>
    <s v=""/>
    <s v="-"/>
    <n v="0"/>
    <n v="0"/>
    <s v="Harus lebih on time"/>
    <s v="meningkatkan kinerja pelayanan"/>
    <s v="Agar lebih ringkas aja"/>
    <s v="waktu lebih efisien"/>
    <s v="Sudah bagus"/>
    <s v="sudah baik/bagus"/>
    <s v=""/>
  </r>
  <r>
    <n v="54"/>
    <s v="Putri Ayu Aulia"/>
    <x v="0"/>
    <x v="2"/>
    <s v="Tidak"/>
    <s v="Tidak"/>
    <s v="Tidak"/>
    <s v="Tidak"/>
    <x v="0"/>
    <x v="0"/>
    <n v="22"/>
    <x v="0"/>
    <x v="0"/>
    <x v="3"/>
    <n v="3"/>
    <n v="3"/>
    <n v="0"/>
    <n v="3"/>
    <n v="3"/>
    <x v="0"/>
    <n v="3"/>
    <n v="3"/>
    <n v="0"/>
    <n v="3"/>
    <n v="3"/>
    <n v="0"/>
    <n v="3"/>
    <n v="3"/>
    <n v="0"/>
    <n v="3"/>
    <n v="3"/>
    <n v="0"/>
    <n v="3"/>
    <n v="3"/>
    <n v="0"/>
    <n v="3"/>
    <n v="3"/>
    <n v="0"/>
    <n v="4"/>
    <n v="4"/>
    <n v="0"/>
    <n v="0"/>
    <s v="Tidak"/>
    <n v="0"/>
    <s v="Tidak"/>
    <n v="0"/>
    <s v="Tidak"/>
    <s v="Teman"/>
    <s v="Teman"/>
    <n v="2"/>
    <n v="3"/>
    <s v="Sudah cukup"/>
    <s v="sudah baik/bagus"/>
    <s v="Perlu dipercepat terutama utk week day"/>
    <s v="mempercepat waktu pelayanan"/>
    <s v="Sudah bagus"/>
    <s v="sudah baik/bagus"/>
    <s v=""/>
  </r>
  <r>
    <n v="55"/>
    <s v="Harum Putri"/>
    <x v="0"/>
    <x v="9"/>
    <s v="Tidak"/>
    <s v="Tidak"/>
    <s v="Tidak"/>
    <s v="Tidak"/>
    <x v="0"/>
    <x v="0"/>
    <n v="27"/>
    <x v="1"/>
    <x v="1"/>
    <x v="7"/>
    <n v="3"/>
    <n v="3"/>
    <n v="0"/>
    <n v="3"/>
    <n v="3"/>
    <x v="0"/>
    <n v="3"/>
    <n v="3"/>
    <n v="0"/>
    <n v="3"/>
    <n v="3"/>
    <n v="0"/>
    <n v="3"/>
    <n v="3"/>
    <n v="0"/>
    <n v="2"/>
    <n v="2"/>
    <n v="0"/>
    <n v="2"/>
    <n v="2"/>
    <n v="0"/>
    <n v="3"/>
    <n v="3"/>
    <n v="0"/>
    <n v="3"/>
    <n v="3"/>
    <n v="0"/>
    <n v="3"/>
    <s v="Ya"/>
    <n v="0"/>
    <s v="Tidak"/>
    <n v="0"/>
    <s v="Tidak"/>
    <s v=""/>
    <s v="-"/>
    <n v="0"/>
    <n v="0"/>
    <s v="Harus lebih ramah"/>
    <s v="lebih ramah lagi"/>
    <s v="Sudah cukup"/>
    <s v="sudah baik/bagus"/>
    <s v="Sudah cukup"/>
    <s v="sudah baik/bagus"/>
    <s v=""/>
  </r>
  <r>
    <n v="56"/>
    <s v="Febrianto"/>
    <x v="0"/>
    <x v="1"/>
    <s v="Tidak"/>
    <s v="Tidak"/>
    <s v="Tidak"/>
    <s v="Tidak"/>
    <x v="1"/>
    <x v="0"/>
    <n v="19"/>
    <x v="3"/>
    <x v="0"/>
    <x v="3"/>
    <n v="3"/>
    <n v="3"/>
    <n v="0"/>
    <n v="3"/>
    <n v="3"/>
    <x v="0"/>
    <n v="4"/>
    <n v="4"/>
    <n v="0"/>
    <n v="3"/>
    <n v="2"/>
    <n v="-1"/>
    <n v="3"/>
    <n v="4"/>
    <n v="1"/>
    <n v="2"/>
    <n v="3"/>
    <n v="1"/>
    <n v="2"/>
    <n v="3"/>
    <n v="1"/>
    <n v="3"/>
    <n v="3"/>
    <n v="0"/>
    <n v="3"/>
    <n v="4"/>
    <n v="1"/>
    <n v="3"/>
    <s v="Ya"/>
    <n v="3"/>
    <s v="Ya"/>
    <n v="3"/>
    <s v="Ya"/>
    <s v=""/>
    <s v="-"/>
    <n v="2"/>
    <n v="3"/>
    <s v="Lebih profesional tidak tlp saat pelayanan"/>
    <s v="meningkatkan kinerja pelayanan"/>
    <s v="Sudah bagus dan cepat"/>
    <s v="sudah baik/bagus"/>
    <s v="Sudah bagus"/>
    <s v="sudah baik/bagus"/>
    <s v=""/>
  </r>
  <r>
    <n v="57"/>
    <s v="Naila Anandia"/>
    <x v="0"/>
    <x v="0"/>
    <s v="Tidak"/>
    <s v="Tidak"/>
    <s v="Tidak"/>
    <s v="Tidak"/>
    <x v="0"/>
    <x v="0"/>
    <n v="19"/>
    <x v="3"/>
    <x v="0"/>
    <x v="3"/>
    <n v="3"/>
    <n v="3"/>
    <n v="0"/>
    <n v="3"/>
    <n v="3"/>
    <x v="0"/>
    <n v="3"/>
    <n v="3"/>
    <n v="0"/>
    <n v="3"/>
    <n v="3"/>
    <n v="0"/>
    <n v="3"/>
    <n v="3"/>
    <n v="0"/>
    <n v="3"/>
    <n v="3"/>
    <n v="0"/>
    <n v="3"/>
    <n v="3"/>
    <n v="0"/>
    <n v="3"/>
    <n v="3"/>
    <n v="0"/>
    <n v="3"/>
    <n v="3"/>
    <n v="0"/>
    <n v="3"/>
    <s v="Ya"/>
    <n v="3"/>
    <s v="Ya"/>
    <n v="3"/>
    <s v="Ya"/>
    <s v=""/>
    <s v="-"/>
    <n v="2"/>
    <n v="3"/>
    <s v="Tidak ada sudah bagus"/>
    <s v="tidak ada"/>
    <s v="Sudah cukup bagus"/>
    <s v="sudah baik/bagus"/>
    <s v="Sudah bagus"/>
    <s v="sudah baik/bagus"/>
    <s v=""/>
  </r>
  <r>
    <n v="58"/>
    <s v="Afandi"/>
    <x v="5"/>
    <x v="0"/>
    <s v="Tidak"/>
    <s v="Tidak"/>
    <s v="Tidak"/>
    <s v="Tidak"/>
    <x v="1"/>
    <x v="0"/>
    <n v="24"/>
    <x v="0"/>
    <x v="0"/>
    <x v="0"/>
    <n v="4"/>
    <n v="3"/>
    <n v="-1"/>
    <n v="3"/>
    <n v="3"/>
    <x v="0"/>
    <n v="4"/>
    <n v="3"/>
    <n v="-1"/>
    <n v="3"/>
    <n v="2"/>
    <n v="-1"/>
    <n v="4"/>
    <n v="4"/>
    <n v="0"/>
    <n v="4"/>
    <n v="4"/>
    <n v="0"/>
    <n v="4"/>
    <n v="4"/>
    <n v="0"/>
    <n v="4"/>
    <n v="4"/>
    <n v="0"/>
    <n v="4"/>
    <n v="4"/>
    <n v="0"/>
    <n v="3"/>
    <s v="Ya"/>
    <n v="3"/>
    <s v="Ya"/>
    <n v="3"/>
    <s v="Ya"/>
    <s v="Orang Tua"/>
    <s v="Keluarga"/>
    <n v="1"/>
    <n v="4"/>
    <s v="Sudah bagus"/>
    <s v="sudah baik/bagus"/>
    <s v="Waktu percetakan SKCK lebih lama dibandingkan proses lainya, mungkin bisa lebih cepat"/>
    <s v="mempercepat waktu pelayanan"/>
    <s v="Sudah bagus"/>
    <s v="sudah baik/bagus"/>
    <s v=""/>
  </r>
  <r>
    <n v="59"/>
    <s v="Siti Maf'ula"/>
    <x v="0"/>
    <x v="2"/>
    <s v="Tidak"/>
    <s v="Tidak"/>
    <s v="Tidak"/>
    <s v="Tidak"/>
    <x v="0"/>
    <x v="0"/>
    <n v="41"/>
    <x v="6"/>
    <x v="2"/>
    <x v="0"/>
    <n v="3"/>
    <n v="4"/>
    <n v="1"/>
    <n v="3"/>
    <n v="4"/>
    <x v="2"/>
    <n v="3"/>
    <n v="3"/>
    <n v="0"/>
    <n v="3"/>
    <n v="3"/>
    <n v="0"/>
    <n v="3"/>
    <n v="3"/>
    <n v="0"/>
    <n v="3"/>
    <n v="3"/>
    <n v="0"/>
    <n v="3"/>
    <n v="3"/>
    <n v="0"/>
    <n v="3"/>
    <n v="3"/>
    <n v="0"/>
    <n v="3"/>
    <n v="4"/>
    <n v="1"/>
    <n v="3"/>
    <s v="Ya"/>
    <n v="3"/>
    <s v="Tidak"/>
    <n v="3"/>
    <s v="Tidak"/>
    <s v="Teman"/>
    <s v="Teman"/>
    <n v="2"/>
    <n v="3"/>
    <s v="Saat mengambil tumpukan antrian berkas, seharusnya dibalik jadi tumpukan yang dibawah yg pertama didahulukan"/>
    <s v="perbaiki sistem antrian"/>
    <s v="Sudah bagus"/>
    <s v="sudah baik/bagus"/>
    <s v="Ruang tunggu lebih diperlukan, kalau ada yang mengantar bisa cukup"/>
    <s v="kursi ditambah atau diperbaiki yang rusak"/>
    <s v=""/>
  </r>
  <r>
    <n v="60"/>
    <s v="Arda Wijaya"/>
    <x v="6"/>
    <x v="0"/>
    <s v="Tidak"/>
    <s v="Tidak"/>
    <s v="Tidak"/>
    <s v="Tidak"/>
    <x v="1"/>
    <x v="0"/>
    <n v="31"/>
    <x v="2"/>
    <x v="0"/>
    <x v="0"/>
    <n v="3"/>
    <n v="3"/>
    <n v="0"/>
    <n v="3"/>
    <n v="3"/>
    <x v="0"/>
    <n v="4"/>
    <n v="4"/>
    <n v="0"/>
    <n v="3"/>
    <n v="3"/>
    <n v="0"/>
    <n v="4"/>
    <n v="4"/>
    <n v="0"/>
    <n v="4"/>
    <n v="4"/>
    <n v="0"/>
    <n v="4"/>
    <n v="4"/>
    <n v="0"/>
    <n v="4"/>
    <n v="4"/>
    <n v="0"/>
    <n v="4"/>
    <n v="4"/>
    <n v="0"/>
    <n v="3"/>
    <s v="Ya"/>
    <n v="3"/>
    <s v="Ya"/>
    <n v="3"/>
    <s v="Ya"/>
    <s v="Teman"/>
    <s v="Teman"/>
    <n v="1"/>
    <n v="4"/>
    <s v="Sudah bagus, pertahankan"/>
    <s v="sudah baik/bagus"/>
    <s v="Sudah bagus"/>
    <s v="sudah baik/bagus"/>
    <s v="Sudah bagus"/>
    <s v="sudah baik/bagus"/>
    <s v=""/>
  </r>
  <r>
    <n v="61"/>
    <s v="Hasan Irsyad"/>
    <x v="0"/>
    <x v="3"/>
    <s v="Tidak"/>
    <s v="Tidak"/>
    <s v="Tidak"/>
    <s v="Tidak"/>
    <x v="1"/>
    <x v="1"/>
    <n v="34"/>
    <x v="2"/>
    <x v="1"/>
    <x v="0"/>
    <n v="4"/>
    <n v="4"/>
    <n v="0"/>
    <n v="3"/>
    <n v="4"/>
    <x v="2"/>
    <n v="3"/>
    <n v="4"/>
    <n v="1"/>
    <n v="0"/>
    <n v="0"/>
    <n v="0"/>
    <n v="4"/>
    <n v="4"/>
    <n v="0"/>
    <n v="4"/>
    <n v="4"/>
    <n v="0"/>
    <n v="3"/>
    <n v="4"/>
    <n v="1"/>
    <n v="4"/>
    <n v="3"/>
    <n v="-1"/>
    <n v="4"/>
    <n v="4"/>
    <n v="0"/>
    <n v="3"/>
    <s v="Ya"/>
    <n v="3"/>
    <s v="Ya"/>
    <n v="3"/>
    <s v="Ya"/>
    <s v="Google"/>
    <s v="Website Polresta Sidoarjo"/>
    <n v="3"/>
    <n v="2"/>
    <s v="Lebih banyak senyum"/>
    <s v="lebih ramah lagi"/>
    <s v="Sudah sangat bagus"/>
    <s v="sudah baik/bagus"/>
    <s v="Sudah nyaman"/>
    <s v="sudah baik/bagus"/>
    <s v=""/>
  </r>
  <r>
    <n v="62"/>
    <s v="Rifa"/>
    <x v="0"/>
    <x v="18"/>
    <s v="Tidak"/>
    <s v="Tidak"/>
    <s v="Tidak"/>
    <s v="Tidak"/>
    <x v="0"/>
    <x v="1"/>
    <n v="45"/>
    <x v="6"/>
    <x v="1"/>
    <x v="0"/>
    <n v="4"/>
    <n v="4"/>
    <n v="0"/>
    <n v="4"/>
    <n v="4"/>
    <x v="0"/>
    <n v="4"/>
    <n v="4"/>
    <n v="0"/>
    <n v="0"/>
    <n v="0"/>
    <n v="0"/>
    <n v="4"/>
    <n v="4"/>
    <n v="0"/>
    <n v="4"/>
    <n v="4"/>
    <n v="0"/>
    <n v="4"/>
    <n v="4"/>
    <n v="0"/>
    <n v="4"/>
    <n v="3"/>
    <n v="-1"/>
    <n v="4"/>
    <n v="4"/>
    <n v="0"/>
    <n v="3"/>
    <s v="Ya"/>
    <n v="3"/>
    <s v="Ya"/>
    <n v="3"/>
    <s v="Ya"/>
    <s v="Tetangga"/>
    <s v="Teman"/>
    <n v="1"/>
    <n v="4"/>
    <s v="Sudah bagus"/>
    <s v="sudah baik/bagus"/>
    <s v="Sudah bagus"/>
    <s v="sudah baik/bagus"/>
    <s v="Sudah bagus"/>
    <s v="sudah baik/bagus"/>
    <s v=""/>
  </r>
  <r>
    <n v="63"/>
    <s v="Intan Dwi Pratiwi"/>
    <x v="0"/>
    <x v="1"/>
    <s v="Tidak"/>
    <s v="Tidak"/>
    <s v="Tidak"/>
    <s v="Tidak"/>
    <x v="0"/>
    <x v="1"/>
    <n v="25"/>
    <x v="0"/>
    <x v="1"/>
    <x v="0"/>
    <n v="3"/>
    <n v="3"/>
    <n v="0"/>
    <n v="3"/>
    <n v="3"/>
    <x v="0"/>
    <n v="4"/>
    <n v="4"/>
    <n v="0"/>
    <n v="0"/>
    <n v="0"/>
    <n v="0"/>
    <n v="3"/>
    <n v="3"/>
    <n v="0"/>
    <n v="4"/>
    <n v="4"/>
    <n v="0"/>
    <n v="4"/>
    <n v="4"/>
    <n v="0"/>
    <n v="3"/>
    <n v="3"/>
    <n v="0"/>
    <n v="4"/>
    <n v="3"/>
    <n v="-1"/>
    <n v="3"/>
    <s v="Ya"/>
    <n v="3"/>
    <s v="Ya"/>
    <n v="3"/>
    <s v="Ya"/>
    <s v="Teman"/>
    <s v="Teman"/>
    <n v="2"/>
    <n v="3"/>
    <s v="Kedepannya semoga lebih baik lagi"/>
    <s v="meningkatkan kinerja pelayanan"/>
    <s v="Sudah baik"/>
    <s v="sudah baik/bagus"/>
    <s v="Sudah baik"/>
    <s v="sudah baik/bagus"/>
    <s v=""/>
  </r>
  <r>
    <n v="64"/>
    <s v="Sela Ayu Dwi"/>
    <x v="0"/>
    <x v="0"/>
    <s v="Tidak"/>
    <s v="Tidak"/>
    <s v="Tidak"/>
    <s v="Tidak"/>
    <x v="0"/>
    <x v="1"/>
    <n v="23"/>
    <x v="0"/>
    <x v="1"/>
    <x v="2"/>
    <n v="4"/>
    <n v="4"/>
    <n v="0"/>
    <n v="3"/>
    <n v="3"/>
    <x v="0"/>
    <n v="4"/>
    <n v="4"/>
    <n v="0"/>
    <n v="0"/>
    <n v="0"/>
    <n v="0"/>
    <n v="4"/>
    <n v="4"/>
    <n v="0"/>
    <n v="3"/>
    <n v="3"/>
    <n v="0"/>
    <n v="4"/>
    <n v="4"/>
    <n v="0"/>
    <n v="3"/>
    <n v="4"/>
    <n v="1"/>
    <n v="4"/>
    <n v="4"/>
    <n v="0"/>
    <n v="3"/>
    <s v="Ya"/>
    <n v="0"/>
    <s v="Tidak"/>
    <n v="0"/>
    <s v="Tidak"/>
    <s v=""/>
    <s v="-"/>
    <n v="0"/>
    <n v="0"/>
    <s v="Sudah bagus"/>
    <s v="sudah baik/bagus"/>
    <s v="Lebih cepat dari yg lalu"/>
    <s v="mempercepat waktu pelayanan"/>
    <s v="Tidak sudah cukup"/>
    <s v="tidak ada"/>
    <s v=""/>
  </r>
  <r>
    <n v="65"/>
    <s v="Hafiz Zalifunas"/>
    <x v="0"/>
    <x v="10"/>
    <s v="Tidak"/>
    <s v="Tidak"/>
    <s v="Tidak"/>
    <s v="Tidak"/>
    <x v="1"/>
    <x v="1"/>
    <n v="20"/>
    <x v="3"/>
    <x v="0"/>
    <x v="1"/>
    <n v="3"/>
    <n v="3"/>
    <n v="0"/>
    <n v="2"/>
    <n v="3"/>
    <x v="2"/>
    <n v="3"/>
    <n v="3"/>
    <n v="0"/>
    <n v="3"/>
    <n v="0"/>
    <n v="-3"/>
    <n v="3"/>
    <n v="3"/>
    <n v="0"/>
    <n v="4"/>
    <n v="4"/>
    <n v="0"/>
    <n v="4"/>
    <n v="4"/>
    <n v="0"/>
    <n v="3"/>
    <n v="3"/>
    <n v="0"/>
    <n v="3"/>
    <n v="3"/>
    <n v="0"/>
    <n v="3"/>
    <s v="Ya"/>
    <n v="0"/>
    <s v="Tidak"/>
    <n v="0"/>
    <s v="Tidak"/>
    <s v=""/>
    <s v="-"/>
    <n v="0"/>
    <n v="0"/>
    <s v="Butuh nomer antrian"/>
    <s v="perbaiki sistem antrian"/>
    <s v="Sudah cukup cepat"/>
    <s v="proses pelayanan cepat dan mudah"/>
    <s v="Sudah cukup"/>
    <s v="sudah baik/bagus"/>
    <s v="Sudah cukup perlu di pertahankan"/>
  </r>
  <r>
    <n v="66"/>
    <s v="Ibu Nur Hazizah"/>
    <x v="0"/>
    <x v="0"/>
    <s v="Tidak"/>
    <s v="Tidak"/>
    <s v="Tidak"/>
    <s v="Tidak"/>
    <x v="0"/>
    <x v="1"/>
    <n v="42"/>
    <x v="6"/>
    <x v="0"/>
    <x v="2"/>
    <n v="3"/>
    <n v="3"/>
    <n v="0"/>
    <n v="3"/>
    <n v="4"/>
    <x v="2"/>
    <n v="4"/>
    <n v="4"/>
    <n v="0"/>
    <n v="0"/>
    <n v="0"/>
    <n v="0"/>
    <n v="4"/>
    <n v="4"/>
    <n v="0"/>
    <n v="4"/>
    <n v="4"/>
    <n v="0"/>
    <n v="4"/>
    <n v="4"/>
    <n v="0"/>
    <n v="4"/>
    <n v="4"/>
    <n v="0"/>
    <n v="4"/>
    <n v="4"/>
    <n v="0"/>
    <n v="0"/>
    <s v="Tidak"/>
    <n v="0"/>
    <s v="Tidak"/>
    <n v="0"/>
    <s v="Tidak"/>
    <s v="Orang Terdekat"/>
    <s v="Keluarga"/>
    <n v="2"/>
    <n v="3"/>
    <s v="Sangat puas"/>
    <s v="sudah baik/bagus"/>
    <s v="Sangat puas"/>
    <s v="sudah baik/bagus"/>
    <s v="Sangat puas"/>
    <s v="sudah baik/bagus"/>
    <s v=""/>
  </r>
  <r>
    <n v="67"/>
    <s v="Andiran Adi Nugroho"/>
    <x v="0"/>
    <x v="5"/>
    <s v="Tidak"/>
    <s v="Tidak"/>
    <s v="Tidak"/>
    <s v="Tidak"/>
    <x v="1"/>
    <x v="0"/>
    <n v="18"/>
    <x v="3"/>
    <x v="0"/>
    <x v="1"/>
    <n v="3"/>
    <n v="4"/>
    <n v="1"/>
    <n v="3"/>
    <n v="3"/>
    <x v="0"/>
    <n v="4"/>
    <n v="3"/>
    <n v="-1"/>
    <n v="4"/>
    <n v="3"/>
    <n v="-1"/>
    <n v="4"/>
    <n v="4"/>
    <n v="0"/>
    <n v="3"/>
    <n v="3"/>
    <n v="0"/>
    <n v="3"/>
    <n v="4"/>
    <n v="1"/>
    <n v="3"/>
    <n v="3"/>
    <n v="0"/>
    <n v="3"/>
    <n v="3"/>
    <n v="0"/>
    <n v="3"/>
    <s v="Ya"/>
    <n v="0"/>
    <s v="Tidak"/>
    <n v="0"/>
    <s v="Tidak"/>
    <s v=""/>
    <s v="-"/>
    <n v="0"/>
    <n v="0"/>
    <s v="Sangat Puas"/>
    <s v="sudah baik/bagus"/>
    <s v="Sangat Puas"/>
    <s v="sudah baik/bagus"/>
    <s v="Mudah langsung ke tempat"/>
    <s v="sudah baik/bagus"/>
    <s v=""/>
  </r>
  <r>
    <n v="68"/>
    <s v="Fristia Larassati"/>
    <x v="0"/>
    <x v="1"/>
    <s v="Tidak"/>
    <s v="Tidak"/>
    <s v="Tidak"/>
    <s v="Tidak"/>
    <x v="0"/>
    <x v="0"/>
    <n v="18"/>
    <x v="3"/>
    <x v="0"/>
    <x v="1"/>
    <n v="3"/>
    <n v="4"/>
    <n v="1"/>
    <n v="3"/>
    <n v="3"/>
    <x v="0"/>
    <n v="3"/>
    <n v="3"/>
    <n v="0"/>
    <n v="3"/>
    <n v="3"/>
    <n v="0"/>
    <n v="3"/>
    <n v="3"/>
    <n v="0"/>
    <n v="3"/>
    <n v="3"/>
    <n v="0"/>
    <n v="3"/>
    <n v="3"/>
    <n v="0"/>
    <n v="3"/>
    <n v="3"/>
    <n v="0"/>
    <n v="3"/>
    <n v="3"/>
    <n v="0"/>
    <n v="0"/>
    <s v="Tidak"/>
    <n v="0"/>
    <s v="Tidak"/>
    <n v="0"/>
    <s v="Tidak"/>
    <s v="Teman"/>
    <s v="Teman"/>
    <n v="2"/>
    <n v="3"/>
    <s v="Ramah dan murah senyum, kedepannya peayanannya lebih ramah lagi"/>
    <s v="lebih ramah lagi"/>
    <s v="Saran lebih di perjelas saja untuk pegawai disini lebih detail lagi memberikan penjelasan"/>
    <s v="meningkatkan kinerja pelayanan"/>
    <s v="Sudah cukup butuh air"/>
    <s v="sudah baik/bagus"/>
    <s v="Kedepannya semoga lebih baik lagi untuk penanganan semoga tugasnya selalu ramah"/>
  </r>
  <r>
    <n v="69"/>
    <s v="Nur Aini"/>
    <x v="0"/>
    <x v="1"/>
    <s v="Tidak"/>
    <s v="Tidak"/>
    <s v="Tidak"/>
    <s v="Tidak"/>
    <x v="0"/>
    <x v="0"/>
    <n v="18"/>
    <x v="3"/>
    <x v="0"/>
    <x v="1"/>
    <n v="3"/>
    <n v="3"/>
    <n v="0"/>
    <n v="3"/>
    <n v="3"/>
    <x v="0"/>
    <n v="3"/>
    <n v="3"/>
    <n v="0"/>
    <n v="3"/>
    <n v="3"/>
    <n v="0"/>
    <n v="3"/>
    <n v="3"/>
    <n v="0"/>
    <n v="3"/>
    <n v="3"/>
    <n v="0"/>
    <n v="3"/>
    <n v="3"/>
    <n v="0"/>
    <n v="3"/>
    <n v="3"/>
    <n v="0"/>
    <n v="3"/>
    <n v="3"/>
    <n v="0"/>
    <n v="0"/>
    <s v="Tidak"/>
    <n v="0"/>
    <s v="Tidak"/>
    <n v="0"/>
    <s v="Tidak"/>
    <s v="Teman"/>
    <s v="Teman"/>
    <n v="2"/>
    <n v="3"/>
    <s v="Harus lebih peduli ke masyarakat tidak main HP"/>
    <s v="lebih ramah lagi"/>
    <s v="Lumayan"/>
    <s v="sudah baik/bagus"/>
    <s v="Kursinya kurang untuk nulis"/>
    <s v="kursi ditambah atau diperbaiki yang rusak"/>
    <s v="Lebih baik lagi aja"/>
  </r>
  <r>
    <n v="70"/>
    <s v="Muhammad Ridho"/>
    <x v="0"/>
    <x v="19"/>
    <s v="Tidak"/>
    <s v="Tidak"/>
    <s v="Tidak"/>
    <s v="Tidak"/>
    <x v="0"/>
    <x v="0"/>
    <n v="19"/>
    <x v="3"/>
    <x v="0"/>
    <x v="1"/>
    <n v="3"/>
    <n v="4"/>
    <n v="1"/>
    <n v="3"/>
    <n v="4"/>
    <x v="2"/>
    <n v="3"/>
    <n v="4"/>
    <n v="1"/>
    <n v="3"/>
    <n v="4"/>
    <n v="1"/>
    <n v="4"/>
    <n v="4"/>
    <n v="0"/>
    <n v="3"/>
    <n v="4"/>
    <n v="1"/>
    <n v="3"/>
    <n v="4"/>
    <n v="1"/>
    <n v="3"/>
    <n v="4"/>
    <n v="1"/>
    <n v="3"/>
    <n v="3"/>
    <n v="0"/>
    <n v="0"/>
    <s v="Tidak"/>
    <n v="0"/>
    <s v="Tidak"/>
    <n v="0"/>
    <s v="Tidak"/>
    <s v="Teman"/>
    <s v="Teman"/>
    <n v="1"/>
    <n v="4"/>
    <s v="Lebih Cepat"/>
    <s v="memberikan informasi yang lebih jelas dan mudah dipahami"/>
    <s v="Cukup"/>
    <s v="sudah baik/bagus"/>
    <s v="Sudah cukup"/>
    <s v="sudah baik/bagus"/>
    <s v="Seperti pelayanannya tepat tanggap dalam melayani"/>
  </r>
  <r>
    <n v="71"/>
    <s v="Titik Suharlia"/>
    <x v="0"/>
    <x v="2"/>
    <s v="Tidak"/>
    <s v="Tidak"/>
    <s v="Tidak"/>
    <s v="Tidak"/>
    <x v="0"/>
    <x v="1"/>
    <n v="38"/>
    <x v="4"/>
    <x v="0"/>
    <x v="2"/>
    <n v="4"/>
    <n v="4"/>
    <n v="0"/>
    <n v="4"/>
    <n v="4"/>
    <x v="0"/>
    <n v="4"/>
    <n v="4"/>
    <n v="0"/>
    <n v="0"/>
    <n v="0"/>
    <n v="0"/>
    <n v="4"/>
    <n v="4"/>
    <n v="0"/>
    <n v="4"/>
    <n v="4"/>
    <n v="0"/>
    <n v="4"/>
    <n v="4"/>
    <n v="0"/>
    <n v="4"/>
    <n v="4"/>
    <n v="0"/>
    <n v="4"/>
    <n v="4"/>
    <n v="0"/>
    <n v="0"/>
    <s v="Tidak"/>
    <n v="0"/>
    <s v="Tidak"/>
    <n v="0"/>
    <s v="Tidak"/>
    <s v="Sodara"/>
    <s v="Keluarga"/>
    <n v="2"/>
    <n v="3"/>
    <s v="Tetap di jaga kepuasan ke masyarakat dalam melayani"/>
    <s v="sudah baik/bagus"/>
    <s v="Waktu tepat dan cepat"/>
    <s v="proses pelayanan cepat dan mudah"/>
    <s v="Perlu di perbarui di polsej tulangan kursi di tambahi"/>
    <s v="ac kurang dingin, harus diperbaiki"/>
    <s v="Tetap di jaga untuk pelayanan masyarakat"/>
  </r>
  <r>
    <n v="72"/>
    <s v="Wahyu mardianto"/>
    <x v="0"/>
    <x v="2"/>
    <s v="Tidak"/>
    <s v="Tidak"/>
    <s v="Tidak"/>
    <s v="Tidak"/>
    <x v="1"/>
    <x v="1"/>
    <n v="36"/>
    <x v="4"/>
    <x v="0"/>
    <x v="0"/>
    <n v="4"/>
    <n v="4"/>
    <n v="0"/>
    <n v="4"/>
    <n v="4"/>
    <x v="0"/>
    <n v="4"/>
    <n v="4"/>
    <n v="0"/>
    <n v="0"/>
    <n v="0"/>
    <n v="0"/>
    <n v="4"/>
    <n v="4"/>
    <n v="0"/>
    <n v="4"/>
    <n v="4"/>
    <n v="0"/>
    <n v="4"/>
    <n v="4"/>
    <n v="0"/>
    <n v="4"/>
    <n v="4"/>
    <n v="0"/>
    <n v="4"/>
    <n v="4"/>
    <n v="0"/>
    <n v="0"/>
    <s v="Tidak"/>
    <n v="3"/>
    <s v="Ya"/>
    <n v="0"/>
    <s v="Tidak"/>
    <s v=""/>
    <s v="-"/>
    <n v="0"/>
    <n v="0"/>
    <s v="Di jaga pelayanannya untuk masyarakat"/>
    <s v="meningkatkan kinerja pelayanan"/>
    <s v="Sangat cepat"/>
    <s v="proses pelayanan cepat dan mudah"/>
    <s v="Sudah nyaman dan bagus"/>
    <s v="sudah baik/bagus"/>
    <s v="Mudah mudahn lancar terus dan bisa membantu masyarakat"/>
  </r>
  <r>
    <n v="73"/>
    <s v="Ahmad Nukman"/>
    <x v="0"/>
    <x v="6"/>
    <s v="Tidak"/>
    <s v="Tidak"/>
    <s v="Tidak"/>
    <s v="Tidak"/>
    <x v="1"/>
    <x v="0"/>
    <n v="33"/>
    <x v="2"/>
    <x v="2"/>
    <x v="0"/>
    <n v="3"/>
    <n v="4"/>
    <n v="1"/>
    <n v="3"/>
    <n v="3"/>
    <x v="0"/>
    <n v="3"/>
    <n v="3"/>
    <n v="0"/>
    <n v="3"/>
    <n v="3"/>
    <n v="0"/>
    <n v="3"/>
    <n v="3"/>
    <n v="0"/>
    <n v="3"/>
    <n v="3"/>
    <n v="0"/>
    <n v="4"/>
    <n v="3"/>
    <n v="-1"/>
    <n v="3"/>
    <n v="3"/>
    <n v="0"/>
    <n v="2"/>
    <n v="3"/>
    <n v="1"/>
    <n v="0"/>
    <s v="Tidak"/>
    <n v="0"/>
    <s v="Tidak"/>
    <n v="4"/>
    <s v="Ya"/>
    <s v=""/>
    <s v="-"/>
    <n v="0"/>
    <n v="0"/>
    <s v="Tidak ada saran sudah cukup"/>
    <s v="tidak ada"/>
    <s v="Tidak ada saran sudah cukup"/>
    <s v="tidak ada"/>
    <s v="Mungkin bisa di tambah tempat bermain anak dan kursi antri.an"/>
    <s v="menambah tempat bermain anak"/>
    <s v=""/>
  </r>
  <r>
    <n v="74"/>
    <s v="Apriliadi"/>
    <x v="0"/>
    <x v="15"/>
    <s v="Tidak"/>
    <s v="Tidak"/>
    <s v="Tidak"/>
    <s v="Tidak"/>
    <x v="1"/>
    <x v="2"/>
    <n v="24"/>
    <x v="0"/>
    <x v="0"/>
    <x v="0"/>
    <n v="4"/>
    <n v="4"/>
    <n v="0"/>
    <n v="3"/>
    <n v="3"/>
    <x v="0"/>
    <n v="4"/>
    <n v="4"/>
    <n v="0"/>
    <n v="4"/>
    <n v="4"/>
    <n v="0"/>
    <n v="4"/>
    <n v="4"/>
    <n v="0"/>
    <n v="4"/>
    <n v="4"/>
    <n v="0"/>
    <n v="3"/>
    <n v="3"/>
    <n v="0"/>
    <n v="4"/>
    <n v="4"/>
    <n v="0"/>
    <n v="3"/>
    <n v="3"/>
    <n v="0"/>
    <n v="4"/>
    <s v="Ya"/>
    <n v="0"/>
    <s v="Tidak"/>
    <n v="0"/>
    <s v="Tidak"/>
    <s v="Teman"/>
    <s v="Teman"/>
    <n v="1"/>
    <n v="4"/>
    <s v="Sudah cukup"/>
    <s v="sudah baik/bagus"/>
    <s v="Sudah baik"/>
    <s v="sudah baik/bagus"/>
    <s v="Saran untuk ruang tunggu kursi masih kurang perlu ditambah lagi"/>
    <s v="kursi ditambah atau diperbaiki yang rusak"/>
    <s v=""/>
  </r>
  <r>
    <n v="75"/>
    <s v="Sofyan Eka H"/>
    <x v="0"/>
    <x v="8"/>
    <s v="Tidak"/>
    <s v="Tidak"/>
    <s v="Tidak"/>
    <s v="Tidak"/>
    <x v="1"/>
    <x v="1"/>
    <n v="41"/>
    <x v="6"/>
    <x v="0"/>
    <x v="0"/>
    <n v="4"/>
    <n v="4"/>
    <n v="0"/>
    <n v="4"/>
    <n v="4"/>
    <x v="0"/>
    <n v="4"/>
    <n v="4"/>
    <n v="0"/>
    <n v="0"/>
    <n v="0"/>
    <n v="0"/>
    <n v="4"/>
    <n v="4"/>
    <n v="0"/>
    <n v="4"/>
    <n v="4"/>
    <n v="0"/>
    <n v="4"/>
    <n v="4"/>
    <n v="0"/>
    <n v="4"/>
    <n v="4"/>
    <n v="0"/>
    <n v="3"/>
    <n v="3"/>
    <n v="0"/>
    <n v="4"/>
    <s v="Ya"/>
    <n v="0"/>
    <s v="Tidak"/>
    <n v="0"/>
    <s v="Tidak"/>
    <s v=""/>
    <s v="-"/>
    <n v="0"/>
    <n v="0"/>
    <s v="Sudah mencukupi"/>
    <s v="sudah baik/bagus"/>
    <s v="Tidak ada saran"/>
    <s v="tidak ada"/>
    <s v="Kurang tempat duduk untuk antrian"/>
    <s v="kursi ditambah atau diperbaiki yang rusak"/>
    <s v=""/>
  </r>
  <r>
    <n v="76"/>
    <s v="Ahmad Khusairi"/>
    <x v="0"/>
    <x v="1"/>
    <s v="Tidak"/>
    <s v="Tidak"/>
    <s v="Tidak"/>
    <s v="Tidak"/>
    <x v="1"/>
    <x v="1"/>
    <n v="49"/>
    <x v="7"/>
    <x v="0"/>
    <x v="0"/>
    <n v="4"/>
    <n v="4"/>
    <n v="0"/>
    <n v="4"/>
    <n v="4"/>
    <x v="0"/>
    <n v="4"/>
    <n v="4"/>
    <n v="0"/>
    <n v="0"/>
    <n v="0"/>
    <n v="0"/>
    <n v="4"/>
    <n v="4"/>
    <n v="0"/>
    <n v="4"/>
    <n v="4"/>
    <n v="0"/>
    <n v="4"/>
    <n v="4"/>
    <n v="0"/>
    <n v="4"/>
    <n v="4"/>
    <n v="0"/>
    <n v="4"/>
    <n v="4"/>
    <n v="0"/>
    <n v="0"/>
    <s v="Tidak"/>
    <n v="0"/>
    <s v="Tidak"/>
    <n v="0"/>
    <s v="Tidak"/>
    <s v="Sudah tau karena rumah dekat dengn polres"/>
    <s v="Mengetahui sendiri"/>
    <n v="1"/>
    <n v="4"/>
    <s v="Ditingkatkan lebih baik lagi"/>
    <s v="meningkatkan kinerja pelayanan"/>
    <s v="Cukup lebih baik waktu pelayanannya"/>
    <s v="proses pelayanan cepat dan mudah"/>
    <s v="Cukup bagus untuk sarana dan prasarana"/>
    <s v="sudah baik/bagus"/>
    <s v=""/>
  </r>
  <r>
    <n v="77"/>
    <s v="Didit Anita sari"/>
    <x v="0"/>
    <x v="15"/>
    <s v="Tidak"/>
    <s v="Tidak"/>
    <s v="Tidak"/>
    <s v="Tidak"/>
    <x v="0"/>
    <x v="0"/>
    <n v="39"/>
    <x v="4"/>
    <x v="2"/>
    <x v="10"/>
    <n v="3"/>
    <n v="3"/>
    <n v="0"/>
    <n v="4"/>
    <n v="4"/>
    <x v="0"/>
    <n v="3"/>
    <n v="3"/>
    <n v="0"/>
    <n v="2"/>
    <n v="3"/>
    <n v="1"/>
    <n v="3"/>
    <n v="3"/>
    <n v="0"/>
    <n v="4"/>
    <n v="4"/>
    <n v="0"/>
    <n v="3"/>
    <n v="3"/>
    <n v="0"/>
    <n v="3"/>
    <n v="3"/>
    <n v="0"/>
    <n v="3"/>
    <n v="3"/>
    <n v="0"/>
    <n v="4"/>
    <s v="Ya"/>
    <n v="3"/>
    <s v="Ya"/>
    <n v="0"/>
    <s v="Tidak"/>
    <s v=""/>
    <s v="-"/>
    <n v="0"/>
    <n v="0"/>
    <s v="Sudah Cukup"/>
    <s v="sudah baik/bagus"/>
    <s v="Sudah cepat pelayanannya"/>
    <s v="proses pelayanan cepat dan mudah"/>
    <s v="Kurangnya tempat duduk pelayanan, di tambah tempat duduknya."/>
    <s v="menyediakan air mineral"/>
    <s v=""/>
  </r>
  <r>
    <n v="78"/>
    <s v="Muh. Verdian"/>
    <x v="0"/>
    <x v="1"/>
    <s v="Tidak"/>
    <s v="Tidak"/>
    <s v="Tidak"/>
    <s v="Tidak"/>
    <x v="1"/>
    <x v="0"/>
    <n v="22"/>
    <x v="0"/>
    <x v="0"/>
    <x v="0"/>
    <n v="3"/>
    <n v="3"/>
    <n v="0"/>
    <n v="3"/>
    <n v="3"/>
    <x v="0"/>
    <n v="3"/>
    <n v="3"/>
    <n v="0"/>
    <n v="3"/>
    <n v="3"/>
    <n v="0"/>
    <n v="3"/>
    <n v="3"/>
    <n v="0"/>
    <n v="3"/>
    <n v="3"/>
    <n v="0"/>
    <n v="3"/>
    <n v="3"/>
    <n v="0"/>
    <n v="3"/>
    <n v="3"/>
    <n v="0"/>
    <n v="3"/>
    <n v="3"/>
    <n v="0"/>
    <n v="3"/>
    <s v="Ya"/>
    <n v="0"/>
    <s v="Tidak"/>
    <n v="0"/>
    <s v="Tidak"/>
    <s v=""/>
    <s v="-"/>
    <n v="0"/>
    <n v="0"/>
    <s v="Sudah cukup bagus"/>
    <s v="sudah baik/bagus"/>
    <s v="Waktu pelayanan sudah cepat"/>
    <s v="mempercepat waktu pelayanan"/>
    <s v="Ruangan sudah cukup hanya parkiran ketika ada acara terlalu jauh"/>
    <s v="sudah baik/bagus"/>
    <s v=""/>
  </r>
  <r>
    <n v="79"/>
    <s v="Ryan Pangestu"/>
    <x v="0"/>
    <x v="2"/>
    <s v="Tidak"/>
    <s v="Tidak"/>
    <s v="Tidak"/>
    <s v="Tidak"/>
    <x v="1"/>
    <x v="0"/>
    <n v="19"/>
    <x v="3"/>
    <x v="0"/>
    <x v="3"/>
    <n v="4"/>
    <n v="4"/>
    <n v="0"/>
    <n v="3"/>
    <n v="3"/>
    <x v="0"/>
    <n v="3"/>
    <n v="3"/>
    <n v="0"/>
    <n v="4"/>
    <n v="4"/>
    <n v="0"/>
    <n v="4"/>
    <n v="4"/>
    <n v="0"/>
    <n v="4"/>
    <n v="4"/>
    <n v="0"/>
    <n v="3"/>
    <n v="4"/>
    <n v="1"/>
    <n v="4"/>
    <n v="4"/>
    <n v="0"/>
    <n v="4"/>
    <n v="4"/>
    <n v="0"/>
    <n v="0"/>
    <s v="Ya"/>
    <n v="0"/>
    <s v="Ya"/>
    <n v="0"/>
    <s v="Tidak"/>
    <s v="Teman"/>
    <s v="Teman"/>
    <n v="1"/>
    <n v="4"/>
    <s v="Seharusnya yang lanjut usia di dahulukan"/>
    <s v="perbaiki sistem antrian"/>
    <s v="Semoga selalu konsisten"/>
    <s v="sudah baik/bagus"/>
    <s v="Menyediakan tempat untuk lanjut usia"/>
    <s v="kursi ditambah atau diperbaiki yang rusak"/>
    <s v=""/>
  </r>
  <r>
    <n v="80"/>
    <s v="Rofiqul"/>
    <x v="0"/>
    <x v="0"/>
    <s v="Tidak"/>
    <s v="Tidak"/>
    <s v="Tidak"/>
    <s v="Tidak"/>
    <x v="1"/>
    <x v="1"/>
    <n v="19"/>
    <x v="3"/>
    <x v="0"/>
    <x v="0"/>
    <n v="3"/>
    <n v="3"/>
    <n v="0"/>
    <n v="3"/>
    <n v="3"/>
    <x v="0"/>
    <n v="3"/>
    <n v="3"/>
    <n v="0"/>
    <n v="3"/>
    <n v="3"/>
    <n v="0"/>
    <n v="3"/>
    <n v="3"/>
    <n v="0"/>
    <n v="3"/>
    <n v="3"/>
    <n v="0"/>
    <n v="3"/>
    <n v="3"/>
    <n v="0"/>
    <n v="3"/>
    <n v="3"/>
    <n v="0"/>
    <n v="3"/>
    <n v="3"/>
    <n v="0"/>
    <n v="0"/>
    <s v="Tidak"/>
    <n v="0"/>
    <s v="Tidak"/>
    <n v="0"/>
    <s v="Tidak"/>
    <s v="Teman"/>
    <s v="Teman"/>
    <n v="2"/>
    <n v="3"/>
    <s v="Tidak ada"/>
    <s v="tidak ada"/>
    <s v="Tidak ada"/>
    <s v="tidak ada"/>
    <s v="Tidak ada"/>
    <s v="tidak ada"/>
    <s v="Tidak ada"/>
  </r>
  <r>
    <n v="81"/>
    <s v="Wahyu Chandra Febryansya"/>
    <x v="0"/>
    <x v="17"/>
    <s v="Tidak"/>
    <s v="Tidak"/>
    <s v="Tidak"/>
    <s v="Tidak"/>
    <x v="1"/>
    <x v="3"/>
    <n v="21"/>
    <x v="0"/>
    <x v="0"/>
    <x v="0"/>
    <n v="3"/>
    <n v="4"/>
    <n v="1"/>
    <n v="3"/>
    <n v="3"/>
    <x v="0"/>
    <n v="3"/>
    <n v="4"/>
    <n v="1"/>
    <n v="4"/>
    <n v="4"/>
    <n v="0"/>
    <n v="3"/>
    <n v="4"/>
    <n v="1"/>
    <n v="4"/>
    <n v="3"/>
    <n v="-1"/>
    <n v="4"/>
    <n v="4"/>
    <n v="0"/>
    <n v="3"/>
    <n v="4"/>
    <n v="1"/>
    <n v="4"/>
    <n v="4"/>
    <n v="0"/>
    <n v="3"/>
    <s v="Ya"/>
    <n v="0"/>
    <s v="Tidak"/>
    <n v="0"/>
    <s v="Tidak"/>
    <s v=""/>
    <s v="-"/>
    <n v="0"/>
    <n v="0"/>
    <s v="Tidak ada"/>
    <s v="tidak ada"/>
    <s v="Waktu Pelayanan dipercepat"/>
    <s v="mempercepat waktu pelayanan"/>
    <s v="Tidak ada"/>
    <s v="tidak ada"/>
    <s v="Tidak ada"/>
  </r>
  <r>
    <n v="82"/>
    <s v="Rokhania Ramadhani"/>
    <x v="0"/>
    <x v="1"/>
    <s v="Tidak"/>
    <s v="Tidak"/>
    <s v="Tidak"/>
    <s v="Tidak"/>
    <x v="0"/>
    <x v="3"/>
    <n v="18"/>
    <x v="3"/>
    <x v="0"/>
    <x v="1"/>
    <n v="3"/>
    <n v="3"/>
    <n v="0"/>
    <n v="2"/>
    <n v="3"/>
    <x v="2"/>
    <n v="2"/>
    <n v="3"/>
    <n v="1"/>
    <n v="3"/>
    <n v="3"/>
    <n v="0"/>
    <n v="3"/>
    <n v="3"/>
    <n v="0"/>
    <n v="3"/>
    <n v="3"/>
    <n v="0"/>
    <n v="2"/>
    <n v="3"/>
    <n v="1"/>
    <n v="3"/>
    <n v="3"/>
    <n v="0"/>
    <n v="4"/>
    <n v="3"/>
    <n v="-1"/>
    <n v="0"/>
    <s v="Tidak"/>
    <n v="0"/>
    <s v="Tidak"/>
    <n v="3"/>
    <s v="Ya"/>
    <s v=""/>
    <s v="-"/>
    <n v="0"/>
    <n v="0"/>
    <s v="Lebih Ramah lagi pada masyrakat"/>
    <s v="lebih ramah lagi"/>
    <s v="Lebih efisien lagi urutan pengumpulan"/>
    <s v="waktu lebih efisien"/>
    <s v="Tidak ada"/>
    <s v="tidak ada"/>
    <s v="Tidak ada"/>
  </r>
  <r>
    <n v="83"/>
    <s v="Farelio Ramadhan"/>
    <x v="0"/>
    <x v="10"/>
    <s v="Tidak"/>
    <s v="Tidak"/>
    <s v="Tidak"/>
    <s v="Tidak"/>
    <x v="1"/>
    <x v="0"/>
    <n v="18"/>
    <x v="3"/>
    <x v="0"/>
    <x v="1"/>
    <n v="4"/>
    <n v="4"/>
    <n v="0"/>
    <n v="4"/>
    <n v="4"/>
    <x v="0"/>
    <n v="4"/>
    <n v="4"/>
    <n v="0"/>
    <n v="4"/>
    <n v="4"/>
    <n v="0"/>
    <n v="4"/>
    <n v="4"/>
    <n v="0"/>
    <n v="4"/>
    <n v="4"/>
    <n v="0"/>
    <n v="4"/>
    <n v="4"/>
    <n v="0"/>
    <n v="4"/>
    <n v="4"/>
    <n v="0"/>
    <n v="4"/>
    <n v="4"/>
    <n v="0"/>
    <n v="3"/>
    <s v="Ya"/>
    <n v="0"/>
    <s v="Tidak"/>
    <n v="0"/>
    <s v="Tidak"/>
    <s v=""/>
    <s v="-"/>
    <n v="0"/>
    <n v="0"/>
    <s v="Tetap dipertahankan"/>
    <s v="sudah baik/bagus"/>
    <s v="Tidak ada"/>
    <s v="tidak ada"/>
    <s v="Tidak ada"/>
    <s v="tidak ada"/>
    <s v="Tidak ada"/>
  </r>
  <r>
    <n v="84"/>
    <s v="Luth Faatin ifadah"/>
    <x v="0"/>
    <x v="9"/>
    <s v="Tidak"/>
    <s v="Tidak"/>
    <s v="Tidak"/>
    <s v="Tidak"/>
    <x v="1"/>
    <x v="0"/>
    <n v="22"/>
    <x v="0"/>
    <x v="2"/>
    <x v="1"/>
    <n v="3"/>
    <n v="4"/>
    <n v="1"/>
    <n v="4"/>
    <n v="4"/>
    <x v="0"/>
    <n v="4"/>
    <n v="4"/>
    <n v="0"/>
    <n v="4"/>
    <n v="4"/>
    <n v="0"/>
    <n v="4"/>
    <n v="4"/>
    <n v="0"/>
    <n v="4"/>
    <n v="4"/>
    <n v="0"/>
    <n v="4"/>
    <n v="4"/>
    <n v="0"/>
    <n v="4"/>
    <n v="4"/>
    <n v="0"/>
    <n v="3"/>
    <n v="3"/>
    <n v="0"/>
    <n v="0"/>
    <s v="Tidak"/>
    <n v="3"/>
    <s v="Ya"/>
    <n v="0"/>
    <s v="Tidak"/>
    <s v=""/>
    <s v="-"/>
    <n v="0"/>
    <n v="0"/>
    <s v="Tidak ada"/>
    <s v="tidak ada"/>
    <s v="Tidak ada"/>
    <s v="tidak ada"/>
    <s v="Kursinya kurang banyak diruang tunggu"/>
    <s v="kursi ditambah atau diperbaiki yang rusak"/>
    <s v="Tidak ada"/>
  </r>
  <r>
    <n v="85"/>
    <s v="Faizar ariq setyawan"/>
    <x v="0"/>
    <x v="15"/>
    <s v="Tidak"/>
    <s v="Tidak"/>
    <s v="Tidak"/>
    <s v="Tidak"/>
    <x v="1"/>
    <x v="0"/>
    <n v="18"/>
    <x v="3"/>
    <x v="0"/>
    <x v="3"/>
    <n v="4"/>
    <n v="4"/>
    <n v="0"/>
    <n v="4"/>
    <n v="4"/>
    <x v="0"/>
    <n v="4"/>
    <n v="4"/>
    <n v="0"/>
    <n v="4"/>
    <n v="4"/>
    <n v="0"/>
    <n v="4"/>
    <n v="4"/>
    <n v="0"/>
    <n v="4"/>
    <n v="4"/>
    <n v="0"/>
    <n v="4"/>
    <n v="4"/>
    <n v="0"/>
    <n v="4"/>
    <n v="4"/>
    <n v="0"/>
    <n v="4"/>
    <n v="4"/>
    <n v="0"/>
    <n v="0"/>
    <s v="Tidak"/>
    <n v="4"/>
    <s v="Ya"/>
    <n v="0"/>
    <s v="Tidak"/>
    <s v=""/>
    <s v="-"/>
    <n v="0"/>
    <n v="0"/>
    <s v="Tidak ada"/>
    <s v="tidak ada"/>
    <s v="Tidak ada"/>
    <s v="tidak ada"/>
    <s v="Tidak ada"/>
    <s v="tidak ada"/>
    <s v="Tidak ada"/>
  </r>
  <r>
    <n v="86"/>
    <s v="Ida Royani"/>
    <x v="0"/>
    <x v="0"/>
    <s v="Tidak"/>
    <s v="Tidak"/>
    <s v="Tidak"/>
    <s v="Tidak"/>
    <x v="0"/>
    <x v="0"/>
    <n v="40"/>
    <x v="4"/>
    <x v="0"/>
    <x v="2"/>
    <n v="3"/>
    <n v="4"/>
    <n v="1"/>
    <n v="3"/>
    <n v="4"/>
    <x v="2"/>
    <n v="4"/>
    <n v="4"/>
    <n v="0"/>
    <n v="3"/>
    <n v="4"/>
    <n v="1"/>
    <n v="4"/>
    <n v="4"/>
    <n v="0"/>
    <n v="4"/>
    <n v="4"/>
    <n v="0"/>
    <n v="4"/>
    <n v="4"/>
    <n v="0"/>
    <n v="4"/>
    <n v="4"/>
    <n v="0"/>
    <n v="4"/>
    <n v="4"/>
    <n v="0"/>
    <n v="0"/>
    <s v="Tidak"/>
    <n v="0"/>
    <s v="Tidak"/>
    <n v="0"/>
    <s v="Tidak"/>
    <s v="Anak"/>
    <s v="Keluarga"/>
    <n v="2"/>
    <n v="3"/>
    <s v="Tidak ada"/>
    <s v="tidak ada"/>
    <s v="Tidak ada"/>
    <s v="tidak ada"/>
    <s v="Tidak ada"/>
    <s v="tidak ada"/>
    <s v="Tidak ada"/>
  </r>
  <r>
    <n v="87"/>
    <s v="Ria ayu sabrina"/>
    <x v="0"/>
    <x v="0"/>
    <s v="Tidak"/>
    <s v="Tidak"/>
    <s v="Tidak"/>
    <s v="Tidak"/>
    <x v="0"/>
    <x v="0"/>
    <n v="19"/>
    <x v="3"/>
    <x v="0"/>
    <x v="0"/>
    <n v="3"/>
    <n v="4"/>
    <n v="1"/>
    <n v="3"/>
    <n v="3"/>
    <x v="0"/>
    <n v="4"/>
    <n v="4"/>
    <n v="0"/>
    <n v="3"/>
    <n v="3"/>
    <n v="0"/>
    <n v="4"/>
    <n v="3"/>
    <n v="-1"/>
    <n v="4"/>
    <n v="4"/>
    <n v="0"/>
    <n v="3"/>
    <n v="3"/>
    <n v="0"/>
    <n v="3"/>
    <n v="3"/>
    <n v="0"/>
    <n v="3"/>
    <n v="3"/>
    <n v="0"/>
    <n v="0"/>
    <s v="Tidak"/>
    <n v="0"/>
    <s v="Tidak"/>
    <n v="0"/>
    <s v="Tidak"/>
    <s v="Teman"/>
    <s v="Teman"/>
    <n v="2"/>
    <n v="3"/>
    <s v="Tidak ada"/>
    <s v="tidak ada"/>
    <s v="Tidak ada"/>
    <s v="tidak ada"/>
    <s v="Ditambah untuk ruang tunggu di layanan skck"/>
    <s v="ruangan lebih memadai dan nyaman"/>
    <s v="Tidak ada"/>
  </r>
  <r>
    <n v="88"/>
    <s v="Putri ayu mauliddyah"/>
    <x v="0"/>
    <x v="9"/>
    <s v="Tidak"/>
    <s v="Tidak"/>
    <s v="Tidak"/>
    <s v="Tidak"/>
    <x v="0"/>
    <x v="0"/>
    <n v="20"/>
    <x v="3"/>
    <x v="0"/>
    <x v="1"/>
    <n v="4"/>
    <n v="4"/>
    <n v="0"/>
    <n v="4"/>
    <n v="4"/>
    <x v="0"/>
    <n v="3"/>
    <n v="4"/>
    <n v="1"/>
    <n v="4"/>
    <n v="4"/>
    <n v="0"/>
    <n v="4"/>
    <n v="4"/>
    <n v="0"/>
    <n v="4"/>
    <n v="4"/>
    <n v="0"/>
    <n v="4"/>
    <n v="4"/>
    <n v="0"/>
    <n v="4"/>
    <n v="4"/>
    <n v="0"/>
    <n v="4"/>
    <n v="4"/>
    <n v="0"/>
    <n v="4"/>
    <s v="Ya"/>
    <n v="0"/>
    <s v="Tidak"/>
    <n v="0"/>
    <s v="Tidak"/>
    <s v=""/>
    <s v="-"/>
    <n v="0"/>
    <n v="0"/>
    <s v="Tidak ada"/>
    <s v="tidak ada"/>
    <s v="Nomer antrian tidak sesuai"/>
    <s v="meningkatkan kinerja pelayanan"/>
    <s v="Tidak ada"/>
    <s v="tidak ada"/>
    <s v="Tidak ada"/>
  </r>
  <r>
    <n v="89"/>
    <s v="Suci anggraeni"/>
    <x v="0"/>
    <x v="0"/>
    <s v="Tidak"/>
    <s v="Tidak"/>
    <s v="Tidak"/>
    <s v="Tidak"/>
    <x v="0"/>
    <x v="0"/>
    <n v="27"/>
    <x v="1"/>
    <x v="0"/>
    <x v="0"/>
    <n v="4"/>
    <n v="4"/>
    <n v="0"/>
    <n v="4"/>
    <n v="4"/>
    <x v="0"/>
    <n v="4"/>
    <n v="4"/>
    <n v="0"/>
    <n v="4"/>
    <n v="4"/>
    <n v="0"/>
    <n v="4"/>
    <n v="4"/>
    <n v="0"/>
    <n v="4"/>
    <n v="4"/>
    <n v="0"/>
    <n v="4"/>
    <n v="4"/>
    <n v="0"/>
    <n v="4"/>
    <n v="4"/>
    <n v="0"/>
    <n v="3"/>
    <n v="3"/>
    <n v="0"/>
    <n v="0"/>
    <s v="Tidak"/>
    <n v="0"/>
    <s v="Tidak"/>
    <n v="0"/>
    <s v="Tidak"/>
    <s v="Saudara"/>
    <s v="Keluarga"/>
    <n v="2"/>
    <n v="3"/>
    <s v="Tidak ada"/>
    <s v="tidak ada"/>
    <s v="Tidak ada"/>
    <s v="tidak ada"/>
    <s v="Tidak ada"/>
    <s v="tidak ada"/>
    <s v="Tidak ada"/>
  </r>
  <r>
    <n v="90"/>
    <s v="Ayu wulandam"/>
    <x v="0"/>
    <x v="9"/>
    <s v="Tidak"/>
    <s v="Tidak"/>
    <s v="Tidak"/>
    <s v="Tidak"/>
    <x v="0"/>
    <x v="0"/>
    <n v="33"/>
    <x v="2"/>
    <x v="0"/>
    <x v="7"/>
    <n v="3"/>
    <n v="3"/>
    <n v="0"/>
    <n v="3"/>
    <n v="3"/>
    <x v="0"/>
    <n v="3"/>
    <n v="3"/>
    <n v="0"/>
    <n v="3"/>
    <n v="3"/>
    <n v="0"/>
    <n v="3"/>
    <n v="3"/>
    <n v="0"/>
    <n v="3"/>
    <n v="3"/>
    <n v="0"/>
    <n v="4"/>
    <n v="4"/>
    <n v="0"/>
    <n v="3"/>
    <n v="3"/>
    <n v="0"/>
    <n v="3"/>
    <n v="3"/>
    <n v="0"/>
    <n v="0"/>
    <s v="Tidak"/>
    <n v="0"/>
    <s v="Tidak"/>
    <n v="3"/>
    <s v="Ya"/>
    <s v=""/>
    <s v="-"/>
    <n v="0"/>
    <n v="0"/>
    <s v="Baik"/>
    <s v="sudah baik/bagus"/>
    <s v="Baik"/>
    <s v="sudah baik/bagus"/>
    <s v="Kurang banyak kursi tunggunya untuk ibu hamil,disablitas"/>
    <s v="kursi ditambah atau diperbaiki yang rusak"/>
    <s v="Tidak ada"/>
  </r>
  <r>
    <n v="91"/>
    <s v="Yusuf Mafahur Ridho"/>
    <x v="0"/>
    <x v="20"/>
    <s v="Tidak"/>
    <s v="Tidak"/>
    <s v="Tidak"/>
    <s v="Tidak"/>
    <x v="1"/>
    <x v="3"/>
    <n v="18"/>
    <x v="3"/>
    <x v="0"/>
    <x v="1"/>
    <n v="3"/>
    <n v="3"/>
    <n v="0"/>
    <n v="3"/>
    <n v="3"/>
    <x v="0"/>
    <n v="3"/>
    <n v="3"/>
    <n v="0"/>
    <n v="3"/>
    <n v="3"/>
    <n v="0"/>
    <n v="3"/>
    <n v="3"/>
    <n v="0"/>
    <n v="3"/>
    <n v="4"/>
    <n v="1"/>
    <n v="3"/>
    <n v="3"/>
    <n v="0"/>
    <n v="3"/>
    <n v="3"/>
    <n v="0"/>
    <n v="4"/>
    <n v="3"/>
    <n v="-1"/>
    <n v="3"/>
    <s v="Ya"/>
    <n v="3"/>
    <s v="Ya"/>
    <n v="3"/>
    <s v="Ya"/>
    <s v=""/>
    <s v="-"/>
    <n v="2"/>
    <n v="3"/>
    <s v="Sudah bagus"/>
    <s v="sudah baik/bagus"/>
    <s v="Sudah cukup bagus"/>
    <s v="sudah baik/bagus"/>
    <s v="Sudah cukup bagus"/>
    <s v="sudah baik/bagus"/>
    <s v=""/>
  </r>
  <r>
    <n v="92"/>
    <s v="Vivi Putri Agustin"/>
    <x v="0"/>
    <x v="2"/>
    <s v="Tidak"/>
    <s v="Tidak"/>
    <s v="Tidak"/>
    <s v="Tidak"/>
    <x v="0"/>
    <x v="3"/>
    <n v="18"/>
    <x v="3"/>
    <x v="0"/>
    <x v="3"/>
    <n v="4"/>
    <n v="4"/>
    <n v="0"/>
    <n v="3"/>
    <n v="3"/>
    <x v="0"/>
    <n v="4"/>
    <n v="4"/>
    <n v="0"/>
    <n v="3"/>
    <n v="3"/>
    <n v="0"/>
    <n v="3"/>
    <n v="4"/>
    <n v="1"/>
    <n v="4"/>
    <n v="4"/>
    <n v="0"/>
    <n v="3"/>
    <n v="4"/>
    <n v="1"/>
    <n v="4"/>
    <n v="4"/>
    <n v="0"/>
    <n v="3"/>
    <n v="4"/>
    <n v="1"/>
    <n v="3"/>
    <s v="Ya"/>
    <n v="3"/>
    <s v="Ya"/>
    <n v="3"/>
    <s v="Ya"/>
    <s v="Orang Tua"/>
    <s v="Keluarga"/>
    <n v="2"/>
    <n v="3"/>
    <s v="Sudah bagus"/>
    <s v="sudah baik/bagus"/>
    <s v="Mungkin waktu pelayanan bisa dipercepat lagi"/>
    <s v="mempercepat waktu pelayanan"/>
    <s v="Sudah baik"/>
    <s v="sudah baik/bagus"/>
    <s v=""/>
  </r>
  <r>
    <n v="93"/>
    <s v="Wahyu Ardiansyah"/>
    <x v="0"/>
    <x v="21"/>
    <s v="Tidak"/>
    <s v="Tidak"/>
    <s v="Tidak"/>
    <s v="Tidak"/>
    <x v="1"/>
    <x v="3"/>
    <n v="19"/>
    <x v="3"/>
    <x v="0"/>
    <x v="1"/>
    <n v="3"/>
    <n v="3"/>
    <n v="0"/>
    <n v="3"/>
    <n v="4"/>
    <x v="2"/>
    <n v="2"/>
    <n v="3"/>
    <n v="1"/>
    <n v="3"/>
    <n v="3"/>
    <n v="0"/>
    <n v="3"/>
    <n v="3"/>
    <n v="0"/>
    <n v="3"/>
    <n v="3"/>
    <n v="0"/>
    <n v="3"/>
    <n v="3"/>
    <n v="0"/>
    <n v="3"/>
    <n v="3"/>
    <n v="0"/>
    <n v="3"/>
    <n v="3"/>
    <n v="0"/>
    <n v="3"/>
    <s v="Ya"/>
    <n v="3"/>
    <s v="Ya"/>
    <n v="3"/>
    <s v="Ya"/>
    <s v="keluarga"/>
    <s v="Keluarga"/>
    <n v="2"/>
    <n v="3"/>
    <s v="Petugas aktif menjelaskan di tempat, jangan sering ditingal"/>
    <s v="lebih responsif untuk pelayanannya"/>
    <s v="Saran waktu proses bisa dipercepat"/>
    <s v="mempercepat waktu pelayanan"/>
    <s v="Sudah bagus"/>
    <s v="sudah baik/bagus"/>
    <s v=""/>
  </r>
  <r>
    <n v="94"/>
    <s v="Indah"/>
    <x v="7"/>
    <x v="22"/>
    <s v="Tidak"/>
    <s v="Tidak"/>
    <s v="Tidak"/>
    <s v="Tidak"/>
    <x v="0"/>
    <x v="3"/>
    <n v="19"/>
    <x v="3"/>
    <x v="0"/>
    <x v="1"/>
    <n v="4"/>
    <n v="3"/>
    <n v="-1"/>
    <n v="3"/>
    <n v="3"/>
    <x v="0"/>
    <n v="4"/>
    <n v="4"/>
    <n v="0"/>
    <n v="3"/>
    <n v="3"/>
    <n v="0"/>
    <n v="3"/>
    <n v="4"/>
    <n v="1"/>
    <n v="4"/>
    <n v="4"/>
    <n v="0"/>
    <n v="4"/>
    <n v="3"/>
    <n v="-1"/>
    <n v="3"/>
    <n v="3"/>
    <n v="0"/>
    <n v="3"/>
    <n v="4"/>
    <n v="1"/>
    <n v="3"/>
    <s v="Ya"/>
    <n v="3"/>
    <s v="Ya"/>
    <n v="3"/>
    <s v="Ya"/>
    <s v="Sodara"/>
    <s v="Keluarga"/>
    <n v="2"/>
    <n v="3"/>
    <s v="Sudah bagus"/>
    <s v="sudah baik/bagus"/>
    <s v="Sudah bagus"/>
    <s v="sudah baik/bagus"/>
    <s v="Kursi perlu ditambah, banyak yang tidak kebagian kursi saat proses"/>
    <s v="kursi ditambah atau diperbaiki yang rusak"/>
    <s v=""/>
  </r>
  <r>
    <n v="95"/>
    <s v="M. Rafi Avriandanu"/>
    <x v="0"/>
    <x v="0"/>
    <s v="Tidak"/>
    <s v="Tidak"/>
    <s v="Tidak"/>
    <s v="Tidak"/>
    <x v="1"/>
    <x v="2"/>
    <n v="24"/>
    <x v="0"/>
    <x v="2"/>
    <x v="0"/>
    <n v="3"/>
    <n v="4"/>
    <n v="1"/>
    <n v="3"/>
    <n v="3"/>
    <x v="0"/>
    <n v="3"/>
    <n v="3"/>
    <n v="0"/>
    <n v="3"/>
    <n v="3"/>
    <n v="0"/>
    <n v="3"/>
    <n v="3"/>
    <n v="0"/>
    <n v="4"/>
    <n v="4"/>
    <n v="0"/>
    <n v="3"/>
    <n v="4"/>
    <n v="1"/>
    <n v="3"/>
    <n v="4"/>
    <n v="1"/>
    <n v="4"/>
    <n v="4"/>
    <n v="0"/>
    <n v="3"/>
    <s v="Ya"/>
    <n v="3"/>
    <s v="Ya"/>
    <n v="3"/>
    <s v="Ya"/>
    <s v="keluarga"/>
    <s v="Keluarga"/>
    <n v="2"/>
    <n v="3"/>
    <s v="Lebih aktif menjelaskan alur proses"/>
    <s v="memberi alur pelayanan"/>
    <s v="Sudah bagus"/>
    <s v="sudah baik/bagus"/>
    <s v="Sudah cukup bagus"/>
    <s v="sudah baik/bagus"/>
    <s v=""/>
  </r>
  <r>
    <n v="96"/>
    <s v="Puji Astutik"/>
    <x v="0"/>
    <x v="18"/>
    <s v="Tidak"/>
    <s v="Tidak"/>
    <s v="Tidak"/>
    <s v="Tidak"/>
    <x v="0"/>
    <x v="2"/>
    <n v="45"/>
    <x v="6"/>
    <x v="3"/>
    <x v="2"/>
    <n v="4"/>
    <n v="4"/>
    <n v="0"/>
    <n v="3"/>
    <n v="3"/>
    <x v="0"/>
    <n v="3"/>
    <n v="3"/>
    <n v="0"/>
    <n v="4"/>
    <n v="4"/>
    <n v="0"/>
    <n v="4"/>
    <n v="4"/>
    <n v="0"/>
    <n v="3"/>
    <n v="4"/>
    <n v="1"/>
    <n v="4"/>
    <n v="4"/>
    <n v="0"/>
    <n v="3"/>
    <n v="4"/>
    <n v="1"/>
    <n v="4"/>
    <n v="4"/>
    <n v="0"/>
    <n v="3"/>
    <s v="Ya"/>
    <n v="3"/>
    <s v="Ya"/>
    <n v="3"/>
    <s v="Ya"/>
    <s v="Tempat kursus mengemudi"/>
    <s v="Tempat kursus mengemudi"/>
    <n v="2"/>
    <n v="3"/>
    <s v="Ada ruangan yang kebetulan tidak ada petugas, mungkin kebetulan waktu makan / istirahat, seharusnya ada yang mengantikan supaya ada petugas yang bergantian"/>
    <s v="menambah petugas pelayanan"/>
    <s v="Sudah bagus"/>
    <s v="sudah baik/bagus"/>
    <s v="Sudah bagus"/>
    <s v="sudah baik/bagus"/>
    <s v=""/>
  </r>
  <r>
    <n v="97"/>
    <s v="Cikal Raya Taqwa"/>
    <x v="0"/>
    <x v="6"/>
    <s v="Tidak"/>
    <s v="Tidak"/>
    <s v="Tidak"/>
    <s v="Tidak"/>
    <x v="1"/>
    <x v="3"/>
    <n v="19"/>
    <x v="3"/>
    <x v="0"/>
    <x v="1"/>
    <n v="3"/>
    <n v="3"/>
    <n v="0"/>
    <n v="4"/>
    <n v="3"/>
    <x v="1"/>
    <n v="3"/>
    <n v="3"/>
    <n v="0"/>
    <n v="4"/>
    <n v="4"/>
    <n v="0"/>
    <n v="4"/>
    <n v="4"/>
    <n v="0"/>
    <n v="4"/>
    <n v="3"/>
    <n v="-1"/>
    <n v="4"/>
    <n v="4"/>
    <n v="0"/>
    <n v="4"/>
    <n v="4"/>
    <n v="0"/>
    <n v="4"/>
    <n v="3"/>
    <n v="-1"/>
    <n v="3"/>
    <s v="Ya"/>
    <n v="3"/>
    <s v="Ya"/>
    <n v="3"/>
    <s v="Ya"/>
    <s v="keluarga"/>
    <s v="Keluarga"/>
    <n v="1"/>
    <n v="4"/>
    <s v="Sudah bagus"/>
    <s v="sudah baik/bagus"/>
    <s v="Sudah bagus"/>
    <s v="sudah baik/bagus"/>
    <s v="Sudah bagus"/>
    <s v="sudah baik/bagus"/>
    <s v=""/>
  </r>
  <r>
    <n v="98"/>
    <s v="Nikolas"/>
    <x v="0"/>
    <x v="0"/>
    <s v="Tidak"/>
    <s v="Tidak"/>
    <s v="Tidak"/>
    <s v="Tidak"/>
    <x v="1"/>
    <x v="2"/>
    <n v="18"/>
    <x v="3"/>
    <x v="0"/>
    <x v="1"/>
    <n v="4"/>
    <n v="4"/>
    <n v="0"/>
    <n v="4"/>
    <n v="4"/>
    <x v="0"/>
    <n v="3"/>
    <n v="4"/>
    <n v="1"/>
    <n v="4"/>
    <n v="4"/>
    <n v="0"/>
    <n v="4"/>
    <n v="4"/>
    <n v="0"/>
    <n v="3"/>
    <n v="4"/>
    <n v="1"/>
    <n v="4"/>
    <n v="4"/>
    <n v="0"/>
    <n v="4"/>
    <n v="4"/>
    <n v="0"/>
    <n v="3"/>
    <n v="4"/>
    <n v="1"/>
    <n v="3"/>
    <s v="Ya"/>
    <n v="3"/>
    <s v="Ya"/>
    <n v="3"/>
    <s v="Ya"/>
    <s v="Orang tua (ayah)"/>
    <s v="Keluarga"/>
    <n v="1"/>
    <n v="4"/>
    <s v="Sudah bagus"/>
    <s v="sudah baik/bagus"/>
    <s v="Sudah bagus"/>
    <s v="sudah baik/bagus"/>
    <s v="Kurang banyak kursi"/>
    <s v="kursi ditambah atau diperbaiki yang rusak"/>
    <s v=""/>
  </r>
  <r>
    <n v="99"/>
    <s v="M. OCTAVIANUS FAJRIS SALAM"/>
    <x v="0"/>
    <x v="5"/>
    <s v="Tidak"/>
    <s v="Tidak"/>
    <s v="Tidak"/>
    <s v="Tidak"/>
    <x v="1"/>
    <x v="1"/>
    <n v="43"/>
    <x v="6"/>
    <x v="2"/>
    <x v="2"/>
    <n v="3"/>
    <n v="4"/>
    <n v="1"/>
    <n v="4"/>
    <n v="4"/>
    <x v="0"/>
    <n v="3"/>
    <n v="3"/>
    <n v="0"/>
    <n v="4"/>
    <n v="4"/>
    <n v="0"/>
    <n v="4"/>
    <n v="4"/>
    <n v="0"/>
    <n v="4"/>
    <n v="4"/>
    <n v="0"/>
    <n v="4"/>
    <n v="4"/>
    <n v="0"/>
    <n v="4"/>
    <n v="4"/>
    <n v="0"/>
    <n v="3"/>
    <n v="4"/>
    <n v="1"/>
    <n v="0"/>
    <s v="Tidak"/>
    <n v="0"/>
    <s v="Tidak"/>
    <n v="3"/>
    <s v="Tidak"/>
    <s v=""/>
    <s v="-"/>
    <n v="0"/>
    <n v="0"/>
    <s v="Baik, supel"/>
    <s v="sudah baik/bagus"/>
    <s v="Sudah baik"/>
    <s v="sudah baik/bagus"/>
    <s v="Cukup baik"/>
    <s v="sudah baik/bagus"/>
    <s v="Baik"/>
  </r>
  <r>
    <n v="100"/>
    <s v="Ika"/>
    <x v="0"/>
    <x v="0"/>
    <s v="Tidak"/>
    <s v="Tidak"/>
    <s v="Tidak"/>
    <s v="Tidak"/>
    <x v="0"/>
    <x v="1"/>
    <n v="36"/>
    <x v="4"/>
    <x v="1"/>
    <x v="0"/>
    <n v="3"/>
    <n v="3"/>
    <n v="0"/>
    <n v="3"/>
    <n v="3"/>
    <x v="0"/>
    <n v="3"/>
    <n v="3"/>
    <n v="0"/>
    <n v="0"/>
    <n v="0"/>
    <n v="0"/>
    <n v="3"/>
    <n v="3"/>
    <n v="0"/>
    <n v="2"/>
    <n v="4"/>
    <n v="2"/>
    <n v="3"/>
    <n v="3"/>
    <n v="0"/>
    <n v="1"/>
    <n v="3"/>
    <n v="2"/>
    <n v="2"/>
    <n v="3"/>
    <n v="1"/>
    <n v="0"/>
    <s v="Tidak"/>
    <n v="0"/>
    <s v="Tidak"/>
    <n v="2"/>
    <s v="Ya"/>
    <s v="Mengkomunikasikan tdk jelas alur pelayanan di mana saja"/>
    <s v="Mengetahui sendiri"/>
    <n v="0"/>
    <n v="0"/>
    <s v="Penambahan anggota atau personil untuk petugas pendaftaran"/>
    <s v="menambah petugas pelayanan"/>
    <s v="Sistem antrian harus berbasis online tdk manual tumpukan berkas"/>
    <s v="mengubah sistem antrian secara online"/>
    <s v="Alur pemberitahuan loket ke loket harus di kasih plang jadi tdk membingungkan masyarakat"/>
    <s v="diberikan petunjuk buka/tutup; ruangan atau arah untuk pengurusannya"/>
    <s v="Lebih memperjelas alur perizinan dan jam pelayanan lebih di perpanjang"/>
  </r>
  <r>
    <n v="101"/>
    <s v="Putri khairunisa larasati"/>
    <x v="0"/>
    <x v="15"/>
    <s v="Tidak"/>
    <s v="Tidak"/>
    <s v="Tidak"/>
    <s v="Tidak"/>
    <x v="0"/>
    <x v="2"/>
    <n v="22"/>
    <x v="0"/>
    <x v="1"/>
    <x v="3"/>
    <n v="3"/>
    <n v="4"/>
    <n v="1"/>
    <n v="3"/>
    <n v="4"/>
    <x v="2"/>
    <n v="4"/>
    <n v="4"/>
    <n v="0"/>
    <n v="4"/>
    <n v="0"/>
    <n v="-4"/>
    <n v="3"/>
    <n v="4"/>
    <n v="1"/>
    <n v="4"/>
    <n v="4"/>
    <n v="0"/>
    <n v="4"/>
    <n v="4"/>
    <n v="0"/>
    <n v="3"/>
    <n v="4"/>
    <n v="1"/>
    <n v="3"/>
    <n v="3"/>
    <n v="0"/>
    <n v="4"/>
    <s v="Tidak"/>
    <n v="0"/>
    <s v="Tidak"/>
    <n v="0"/>
    <s v="Tidak"/>
    <s v=""/>
    <s v="-"/>
    <n v="0"/>
    <n v="0"/>
    <s v="Diberi alur pelayanan yang memadai terkait pelayanan SIM"/>
    <s v="memberi alur pelayanan"/>
    <s v="Tidak ada"/>
    <s v="tidak ada"/>
    <s v="Ditambahkan fasilitas tempat duduk yang lebih banyak"/>
    <s v="kursi ditambah atau diperbaiki yang rusak"/>
    <s v="Tidak ada"/>
  </r>
  <r>
    <n v="102"/>
    <s v="Sukirman"/>
    <x v="0"/>
    <x v="5"/>
    <s v="Tidak"/>
    <s v="Tidak"/>
    <s v="Tidak"/>
    <s v="Tidak"/>
    <x v="1"/>
    <x v="2"/>
    <n v="44"/>
    <x v="6"/>
    <x v="3"/>
    <x v="0"/>
    <n v="3"/>
    <n v="3"/>
    <n v="0"/>
    <n v="3"/>
    <n v="3"/>
    <x v="0"/>
    <n v="3"/>
    <n v="3"/>
    <n v="0"/>
    <n v="3"/>
    <n v="3"/>
    <n v="0"/>
    <n v="3"/>
    <n v="3"/>
    <n v="0"/>
    <n v="3"/>
    <n v="3"/>
    <n v="0"/>
    <n v="3"/>
    <n v="3"/>
    <n v="0"/>
    <n v="3"/>
    <n v="3"/>
    <n v="0"/>
    <n v="3"/>
    <n v="3"/>
    <n v="0"/>
    <n v="0"/>
    <s v="Tidak"/>
    <n v="0"/>
    <s v="Tidak"/>
    <n v="3"/>
    <s v="Tidak"/>
    <s v=""/>
    <s v="-"/>
    <n v="0"/>
    <n v="0"/>
    <s v="Lebih ramah lagi"/>
    <s v="lebih ramah lagi"/>
    <s v="Tidak ada"/>
    <s v="tidak ada"/>
    <s v="Tidak ada"/>
    <s v="tidak ada"/>
    <s v="Tidak ada"/>
  </r>
  <r>
    <n v="103"/>
    <s v="ERWIN WINTORO"/>
    <x v="0"/>
    <x v="5"/>
    <s v="Tidak"/>
    <s v="Tidak"/>
    <s v="Tidak"/>
    <s v="Tidak"/>
    <x v="1"/>
    <x v="1"/>
    <n v="59"/>
    <x v="5"/>
    <x v="2"/>
    <x v="2"/>
    <n v="3"/>
    <n v="3"/>
    <n v="0"/>
    <n v="3"/>
    <n v="3"/>
    <x v="0"/>
    <n v="3"/>
    <n v="3"/>
    <n v="0"/>
    <n v="0"/>
    <n v="0"/>
    <n v="0"/>
    <n v="3"/>
    <n v="4"/>
    <n v="1"/>
    <n v="3"/>
    <n v="4"/>
    <n v="1"/>
    <n v="3"/>
    <n v="4"/>
    <n v="1"/>
    <n v="3"/>
    <n v="4"/>
    <n v="1"/>
    <n v="3"/>
    <n v="4"/>
    <n v="1"/>
    <n v="0"/>
    <s v="Ya"/>
    <n v="0"/>
    <s v="Tidak"/>
    <n v="0"/>
    <s v="Tidak"/>
    <s v="Warga lingkungan"/>
    <s v="Teman"/>
    <n v="2"/>
    <n v="3"/>
    <s v="Gunakan bahasa yang enak agar pemohon merasa nyaman"/>
    <s v="lebih ramah lagi"/>
    <s v="Baik"/>
    <s v="sudah baik/bagus"/>
    <s v="Cukup baik"/>
    <s v="sudah baik/bagus"/>
    <s v="Dampingi agar pemohon merasa nyaman"/>
  </r>
  <r>
    <n v="104"/>
    <s v="Rizky yulianto"/>
    <x v="0"/>
    <x v="5"/>
    <s v="Tidak"/>
    <s v="Tidak"/>
    <s v="Tidak"/>
    <s v="Tidak"/>
    <x v="1"/>
    <x v="2"/>
    <n v="19"/>
    <x v="3"/>
    <x v="0"/>
    <x v="3"/>
    <n v="4"/>
    <n v="4"/>
    <n v="0"/>
    <n v="4"/>
    <n v="4"/>
    <x v="0"/>
    <n v="3"/>
    <n v="4"/>
    <n v="1"/>
    <n v="4"/>
    <n v="4"/>
    <n v="0"/>
    <n v="4"/>
    <n v="4"/>
    <n v="0"/>
    <n v="3"/>
    <n v="4"/>
    <n v="1"/>
    <n v="4"/>
    <n v="4"/>
    <n v="0"/>
    <n v="4"/>
    <n v="4"/>
    <n v="0"/>
    <n v="4"/>
    <n v="4"/>
    <n v="0"/>
    <n v="0"/>
    <s v="Tidak"/>
    <n v="0"/>
    <s v="Tidak"/>
    <n v="0"/>
    <s v="Ya"/>
    <s v="Saudara atau kakak"/>
    <s v="Keluarga"/>
    <n v="1"/>
    <n v="4"/>
    <s v="Perlu di tingkatkan lagi dalam melayani"/>
    <s v="meningkatkan kinerja pelayanan"/>
    <s v="Tidak ada"/>
    <s v="tidak ada"/>
    <s v="Tidak ada"/>
    <s v="tidak ada"/>
    <s v="Tidak ada"/>
  </r>
  <r>
    <n v="105"/>
    <s v="Listia"/>
    <x v="0"/>
    <x v="6"/>
    <s v="Tidak"/>
    <s v="Tidak"/>
    <s v="Tidak"/>
    <s v="Tidak"/>
    <x v="0"/>
    <x v="1"/>
    <n v="27"/>
    <x v="1"/>
    <x v="0"/>
    <x v="2"/>
    <n v="3"/>
    <n v="4"/>
    <n v="1"/>
    <n v="3"/>
    <n v="4"/>
    <x v="2"/>
    <n v="4"/>
    <n v="4"/>
    <n v="0"/>
    <n v="0"/>
    <n v="0"/>
    <n v="0"/>
    <n v="4"/>
    <n v="4"/>
    <n v="0"/>
    <n v="4"/>
    <n v="4"/>
    <n v="0"/>
    <n v="3"/>
    <n v="4"/>
    <n v="1"/>
    <n v="2"/>
    <n v="2"/>
    <n v="0"/>
    <n v="3"/>
    <n v="3"/>
    <n v="0"/>
    <n v="0"/>
    <s v="Ya"/>
    <n v="0"/>
    <s v="Tidak"/>
    <n v="0"/>
    <s v="Tidak"/>
    <s v="Pengalaman pribadi"/>
    <s v="Mengetahui sendiri"/>
    <n v="2"/>
    <n v="3"/>
    <s v="Harus lebih responsif aja"/>
    <s v="lebih responsif untuk pelayanannya"/>
    <s v="Sudah bagus"/>
    <s v="sudah baik/bagus"/>
    <s v="Sudah bagus"/>
    <s v="sudah baik/bagus"/>
    <s v=""/>
  </r>
  <r>
    <n v="106"/>
    <s v="Muhammad Hanif"/>
    <x v="0"/>
    <x v="10"/>
    <s v="Tidak"/>
    <s v="Tidak"/>
    <s v="Tidak"/>
    <s v="Tidak"/>
    <x v="1"/>
    <x v="3"/>
    <n v="18"/>
    <x v="3"/>
    <x v="0"/>
    <x v="3"/>
    <n v="4"/>
    <n v="4"/>
    <n v="0"/>
    <n v="4"/>
    <n v="3"/>
    <x v="1"/>
    <n v="3"/>
    <n v="3"/>
    <n v="0"/>
    <n v="3"/>
    <n v="3"/>
    <n v="0"/>
    <n v="3"/>
    <n v="4"/>
    <n v="1"/>
    <n v="4"/>
    <n v="3"/>
    <n v="-1"/>
    <n v="4"/>
    <n v="4"/>
    <n v="0"/>
    <n v="3"/>
    <n v="3"/>
    <n v="0"/>
    <n v="3"/>
    <n v="3"/>
    <n v="0"/>
    <n v="0"/>
    <s v="Tidak"/>
    <n v="0"/>
    <s v="Tidak"/>
    <n v="4"/>
    <s v="Tidak"/>
    <s v=""/>
    <s v="-"/>
    <n v="0"/>
    <n v="0"/>
    <s v="Tidak ada"/>
    <s v="tidak ada"/>
    <s v="Tidak ada"/>
    <s v="tidak ada"/>
    <s v="Tidak ada"/>
    <s v="tidak ada"/>
    <s v="Tidak ada"/>
  </r>
  <r>
    <n v="107"/>
    <s v="Anugerah Agung"/>
    <x v="0"/>
    <x v="2"/>
    <s v="Tidak"/>
    <s v="Tidak"/>
    <s v="Tidak"/>
    <s v="Tidak"/>
    <x v="1"/>
    <x v="1"/>
    <n v="24"/>
    <x v="0"/>
    <x v="0"/>
    <x v="0"/>
    <n v="4"/>
    <n v="3"/>
    <n v="-1"/>
    <n v="3"/>
    <n v="3"/>
    <x v="0"/>
    <n v="4"/>
    <n v="4"/>
    <n v="0"/>
    <n v="0"/>
    <n v="0"/>
    <n v="0"/>
    <n v="4"/>
    <n v="4"/>
    <n v="0"/>
    <n v="4"/>
    <n v="4"/>
    <n v="0"/>
    <n v="4"/>
    <n v="4"/>
    <n v="0"/>
    <n v="4"/>
    <n v="4"/>
    <n v="0"/>
    <n v="4"/>
    <n v="4"/>
    <n v="0"/>
    <n v="0"/>
    <s v="Tidak"/>
    <n v="3"/>
    <s v="Tidak"/>
    <n v="0"/>
    <s v="Tidak"/>
    <s v=""/>
    <s v="-"/>
    <n v="0"/>
    <n v="0"/>
    <s v="Sudah bagus"/>
    <s v="sudah baik/bagus"/>
    <s v="Dipertahankan aja"/>
    <s v="meningkatkan kinerja pelayanan"/>
    <s v="Sudah puas"/>
    <s v="sudah baik/bagus"/>
    <s v=""/>
  </r>
  <r>
    <n v="108"/>
    <s v="Abdil abinaya"/>
    <x v="0"/>
    <x v="0"/>
    <s v="Tidak"/>
    <s v="Tidak"/>
    <s v="Tidak"/>
    <s v="Tidak"/>
    <x v="1"/>
    <x v="3"/>
    <n v="19"/>
    <x v="3"/>
    <x v="0"/>
    <x v="1"/>
    <n v="3"/>
    <n v="3"/>
    <n v="0"/>
    <n v="3"/>
    <n v="3"/>
    <x v="0"/>
    <n v="3"/>
    <n v="3"/>
    <n v="0"/>
    <n v="3"/>
    <n v="3"/>
    <n v="0"/>
    <n v="3"/>
    <n v="3"/>
    <n v="0"/>
    <n v="3"/>
    <n v="3"/>
    <n v="0"/>
    <n v="3"/>
    <n v="3"/>
    <n v="0"/>
    <n v="3"/>
    <n v="3"/>
    <n v="0"/>
    <n v="3"/>
    <n v="3"/>
    <n v="0"/>
    <n v="0"/>
    <s v="Tidak"/>
    <n v="0"/>
    <s v="Tidak"/>
    <n v="0"/>
    <s v="Tidak"/>
    <s v="Teman"/>
    <s v="Teman"/>
    <n v="2"/>
    <n v="3"/>
    <s v="Tidak ada"/>
    <s v="tidak ada"/>
    <s v="Tidak ada"/>
    <s v="tidak ada"/>
    <s v="Penambahan tempat duduk yang memadai"/>
    <s v="kursi ditambah atau diperbaiki yang rusak"/>
    <s v="Tidak ada"/>
  </r>
  <r>
    <n v="109"/>
    <s v="Eko Prasetyo"/>
    <x v="0"/>
    <x v="2"/>
    <s v="Tidak"/>
    <s v="Tidak"/>
    <s v="Tidak"/>
    <s v="Tidak"/>
    <x v="1"/>
    <x v="1"/>
    <n v="33"/>
    <x v="2"/>
    <x v="0"/>
    <x v="0"/>
    <n v="3"/>
    <n v="4"/>
    <n v="1"/>
    <n v="4"/>
    <n v="4"/>
    <x v="0"/>
    <n v="4"/>
    <n v="4"/>
    <n v="0"/>
    <n v="0"/>
    <n v="0"/>
    <n v="0"/>
    <n v="4"/>
    <n v="4"/>
    <n v="0"/>
    <n v="4"/>
    <n v="4"/>
    <n v="0"/>
    <n v="4"/>
    <n v="4"/>
    <n v="0"/>
    <n v="3"/>
    <n v="3"/>
    <n v="0"/>
    <n v="3"/>
    <n v="3"/>
    <n v="0"/>
    <n v="4"/>
    <s v="Tidak"/>
    <n v="0"/>
    <s v="Tidak"/>
    <n v="0"/>
    <s v="Ya"/>
    <s v=""/>
    <s v="-"/>
    <n v="0"/>
    <n v="0"/>
    <s v="Sudah baik"/>
    <s v="sudah baik/bagus"/>
    <s v="Sudah baik"/>
    <s v="sudah baik/bagus"/>
    <s v="Sudah cukup"/>
    <s v="sudah baik/bagus"/>
    <s v=""/>
  </r>
  <r>
    <n v="110"/>
    <s v="Gabriel"/>
    <x v="0"/>
    <x v="1"/>
    <s v="Tidak"/>
    <s v="Tidak"/>
    <s v="Tidak"/>
    <s v="Tidak"/>
    <x v="1"/>
    <x v="3"/>
    <n v="37"/>
    <x v="4"/>
    <x v="1"/>
    <x v="0"/>
    <n v="3"/>
    <n v="3"/>
    <n v="0"/>
    <n v="3"/>
    <n v="3"/>
    <x v="0"/>
    <n v="3"/>
    <n v="3"/>
    <n v="0"/>
    <n v="3"/>
    <n v="3"/>
    <n v="0"/>
    <n v="3"/>
    <n v="3"/>
    <n v="0"/>
    <n v="3"/>
    <n v="3"/>
    <n v="0"/>
    <n v="3"/>
    <n v="3"/>
    <n v="0"/>
    <n v="3"/>
    <n v="3"/>
    <n v="0"/>
    <n v="4"/>
    <n v="4"/>
    <n v="0"/>
    <n v="3"/>
    <s v="Ya"/>
    <n v="0"/>
    <s v="Tidak"/>
    <n v="0"/>
    <s v="Tidak"/>
    <s v=""/>
    <s v="-"/>
    <n v="0"/>
    <n v="0"/>
    <s v="Perlu ditingkatkan lagi dalam pelayanan contohnya digitalisasi pelayanan"/>
    <s v="meningkatkan kinerja pelayanan"/>
    <s v="Tidak ada"/>
    <s v="tidak ada"/>
    <s v="Tidak ada"/>
    <s v="tidak ada"/>
    <s v="Perlu di sediakan layanan spot jual minuman"/>
  </r>
  <r>
    <n v="111"/>
    <s v="Sulisriani"/>
    <x v="0"/>
    <x v="4"/>
    <s v="Tidak"/>
    <s v="Tidak"/>
    <s v="Tidak"/>
    <s v="Tidak"/>
    <x v="0"/>
    <x v="2"/>
    <n v="41"/>
    <x v="6"/>
    <x v="0"/>
    <x v="7"/>
    <n v="3"/>
    <n v="3"/>
    <n v="0"/>
    <n v="4"/>
    <n v="3"/>
    <x v="1"/>
    <n v="3"/>
    <n v="3"/>
    <n v="0"/>
    <n v="3"/>
    <n v="3"/>
    <n v="0"/>
    <n v="3"/>
    <n v="3"/>
    <n v="0"/>
    <n v="3"/>
    <n v="3"/>
    <n v="0"/>
    <n v="3"/>
    <n v="3"/>
    <n v="0"/>
    <n v="3"/>
    <n v="3"/>
    <n v="0"/>
    <n v="3"/>
    <n v="3"/>
    <n v="0"/>
    <n v="0"/>
    <s v="Tidak"/>
    <n v="0"/>
    <s v="Tidak"/>
    <n v="0"/>
    <s v="Tidak"/>
    <s v="Teman"/>
    <s v="Teman"/>
    <n v="1"/>
    <n v="4"/>
    <s v="Tidak ada"/>
    <s v="tidak ada"/>
    <s v="Tidak ada"/>
    <s v="tidak ada"/>
    <s v="Tidak ada"/>
    <s v="tidak ada"/>
    <s v="Tidak ada"/>
  </r>
  <r>
    <n v="112"/>
    <s v="Nurul"/>
    <x v="0"/>
    <x v="2"/>
    <s v="Tidak"/>
    <s v="Tidak"/>
    <s v="Tidak"/>
    <s v="Tidak"/>
    <x v="0"/>
    <x v="1"/>
    <n v="38"/>
    <x v="4"/>
    <x v="1"/>
    <x v="0"/>
    <n v="4"/>
    <n v="4"/>
    <n v="0"/>
    <n v="4"/>
    <n v="4"/>
    <x v="0"/>
    <n v="3"/>
    <n v="3"/>
    <n v="0"/>
    <n v="0"/>
    <n v="0"/>
    <n v="0"/>
    <n v="4"/>
    <n v="4"/>
    <n v="0"/>
    <n v="3"/>
    <n v="3"/>
    <n v="0"/>
    <n v="4"/>
    <n v="4"/>
    <n v="0"/>
    <n v="4"/>
    <n v="4"/>
    <n v="0"/>
    <n v="3"/>
    <n v="3"/>
    <n v="0"/>
    <n v="0"/>
    <s v="Tidak"/>
    <n v="0"/>
    <s v="Tidak"/>
    <n v="0"/>
    <s v="Tidak"/>
    <s v="Teman"/>
    <s v="Teman"/>
    <n v="2"/>
    <n v="3"/>
    <s v="Sudah cukup"/>
    <s v="sudah baik/bagus"/>
    <s v="Sudah cukup"/>
    <s v="sudah baik/bagus"/>
    <s v="Perlu ditambah tempat duduk"/>
    <s v="kursi ditambah atau diperbaiki yang rusak"/>
    <s v=""/>
  </r>
  <r>
    <n v="113"/>
    <s v="Wahyu indra"/>
    <x v="0"/>
    <x v="2"/>
    <s v="Tidak"/>
    <s v="Tidak"/>
    <s v="Tidak"/>
    <s v="Tidak"/>
    <x v="1"/>
    <x v="1"/>
    <n v="33"/>
    <x v="2"/>
    <x v="0"/>
    <x v="0"/>
    <n v="4"/>
    <n v="4"/>
    <n v="0"/>
    <n v="3"/>
    <n v="3"/>
    <x v="0"/>
    <n v="3"/>
    <n v="3"/>
    <n v="0"/>
    <n v="0"/>
    <n v="0"/>
    <n v="0"/>
    <n v="3"/>
    <n v="3"/>
    <n v="0"/>
    <n v="3"/>
    <n v="3"/>
    <n v="0"/>
    <n v="4"/>
    <n v="4"/>
    <n v="0"/>
    <n v="4"/>
    <n v="4"/>
    <n v="0"/>
    <n v="3"/>
    <n v="3"/>
    <n v="0"/>
    <n v="0"/>
    <s v="Tidak"/>
    <n v="0"/>
    <s v="Tidak"/>
    <n v="0"/>
    <s v="Tidak"/>
    <s v="Teman"/>
    <s v="Teman"/>
    <n v="2"/>
    <n v="3"/>
    <s v="Sudah cukup"/>
    <s v="sudah baik/bagus"/>
    <s v="Sudah cukup"/>
    <s v="sudah baik/bagus"/>
    <s v="Lebih ditingkatkan"/>
    <s v="ruangan lebih memadai dan nyaman"/>
    <s v=""/>
  </r>
  <r>
    <n v="114"/>
    <s v="ATIKA KHOIRONA"/>
    <x v="0"/>
    <x v="5"/>
    <s v="Tidak"/>
    <s v="Tidak"/>
    <s v="Tidak"/>
    <s v="Tidak"/>
    <x v="0"/>
    <x v="1"/>
    <n v="27"/>
    <x v="1"/>
    <x v="1"/>
    <x v="4"/>
    <n v="4"/>
    <n v="3"/>
    <n v="-1"/>
    <n v="4"/>
    <n v="3"/>
    <x v="1"/>
    <n v="4"/>
    <n v="4"/>
    <n v="0"/>
    <n v="0"/>
    <n v="0"/>
    <n v="0"/>
    <n v="4"/>
    <n v="4"/>
    <n v="0"/>
    <n v="4"/>
    <n v="4"/>
    <n v="0"/>
    <n v="4"/>
    <n v="4"/>
    <n v="0"/>
    <n v="4"/>
    <n v="4"/>
    <n v="0"/>
    <n v="3"/>
    <n v="4"/>
    <n v="1"/>
    <n v="0"/>
    <s v="Tidak"/>
    <n v="0"/>
    <s v="Tidak"/>
    <n v="0"/>
    <s v="Tidak"/>
    <s v="Teman"/>
    <s v="Teman"/>
    <n v="1"/>
    <n v="4"/>
    <s v="Sudah baik"/>
    <s v="sudah baik/bagus"/>
    <s v="Sudah baik"/>
    <s v="sudah baik/bagus"/>
    <s v="Ruangan diperluas"/>
    <s v="ruangan lebih memadai dan nyaman"/>
    <s v="Kalau bisa ada ruang khusus untuk pengaduan yang bersifat privasi"/>
  </r>
  <r>
    <n v="115"/>
    <s v="RATU AYU SEKARTAJI"/>
    <x v="0"/>
    <x v="5"/>
    <s v="Tidak"/>
    <s v="Tidak"/>
    <s v="Tidak"/>
    <s v="Tidak"/>
    <x v="0"/>
    <x v="1"/>
    <n v="22"/>
    <x v="0"/>
    <x v="0"/>
    <x v="0"/>
    <n v="2"/>
    <n v="3"/>
    <n v="1"/>
    <n v="3"/>
    <n v="3"/>
    <x v="0"/>
    <n v="3"/>
    <n v="3"/>
    <n v="0"/>
    <n v="0"/>
    <n v="0"/>
    <n v="0"/>
    <n v="2"/>
    <n v="4"/>
    <n v="2"/>
    <n v="3"/>
    <n v="4"/>
    <n v="1"/>
    <n v="3"/>
    <n v="4"/>
    <n v="1"/>
    <n v="4"/>
    <n v="4"/>
    <n v="0"/>
    <n v="4"/>
    <n v="4"/>
    <n v="0"/>
    <n v="3"/>
    <s v="Ya"/>
    <n v="0"/>
    <s v="Tidak"/>
    <n v="0"/>
    <s v="Tidak"/>
    <s v=""/>
    <s v="-"/>
    <n v="0"/>
    <n v="0"/>
    <s v="Cukup baik, lebih teliti saat penulisan data pemohon"/>
    <s v="sudah baik/bagus"/>
    <s v="Baik"/>
    <s v="sudah baik/bagus"/>
    <s v="Sudah baik"/>
    <s v="sudah baik/bagus"/>
    <s v="Sudah baik"/>
  </r>
  <r>
    <n v="116"/>
    <s v="Mochammad Giovano"/>
    <x v="8"/>
    <x v="23"/>
    <s v="Tidak"/>
    <s v="Tidak"/>
    <s v="Tidak"/>
    <s v="Tidak"/>
    <x v="1"/>
    <x v="1"/>
    <n v="31"/>
    <x v="2"/>
    <x v="0"/>
    <x v="2"/>
    <n v="4"/>
    <n v="4"/>
    <n v="0"/>
    <n v="4"/>
    <n v="4"/>
    <x v="0"/>
    <n v="4"/>
    <n v="4"/>
    <n v="0"/>
    <n v="0"/>
    <n v="0"/>
    <n v="0"/>
    <n v="4"/>
    <n v="4"/>
    <n v="0"/>
    <n v="4"/>
    <n v="4"/>
    <n v="0"/>
    <n v="4"/>
    <n v="4"/>
    <n v="0"/>
    <n v="4"/>
    <n v="4"/>
    <n v="0"/>
    <n v="4"/>
    <n v="4"/>
    <n v="0"/>
    <n v="0"/>
    <s v="Tidak"/>
    <n v="0"/>
    <s v="Tidak"/>
    <n v="0"/>
    <s v="Tidak"/>
    <s v="Teman"/>
    <s v="Teman"/>
    <n v="1"/>
    <n v="4"/>
    <s v="Sudah sangat baik"/>
    <s v="sudah baik/bagus"/>
    <s v="Sudah baik"/>
    <s v="sudah baik/bagus"/>
    <s v="Sudah nyaman"/>
    <s v="sudah baik/bagus"/>
    <s v=""/>
  </r>
  <r>
    <n v="117"/>
    <s v="ANISA FIKRIYYAH RAMADHANI"/>
    <x v="0"/>
    <x v="5"/>
    <s v="Tidak"/>
    <s v="Tidak"/>
    <s v="Tidak"/>
    <s v="Tidak"/>
    <x v="0"/>
    <x v="1"/>
    <n v="19"/>
    <x v="3"/>
    <x v="0"/>
    <x v="1"/>
    <n v="4"/>
    <n v="4"/>
    <n v="0"/>
    <n v="3"/>
    <n v="4"/>
    <x v="2"/>
    <n v="4"/>
    <n v="4"/>
    <n v="0"/>
    <n v="0"/>
    <n v="0"/>
    <n v="0"/>
    <n v="4"/>
    <n v="4"/>
    <n v="0"/>
    <n v="4"/>
    <n v="4"/>
    <n v="0"/>
    <n v="4"/>
    <n v="4"/>
    <n v="0"/>
    <n v="4"/>
    <n v="4"/>
    <n v="0"/>
    <n v="3"/>
    <n v="4"/>
    <n v="1"/>
    <n v="0"/>
    <s v="Tidak"/>
    <n v="0"/>
    <s v="Tidak"/>
    <n v="4"/>
    <s v="Ya"/>
    <s v=""/>
    <s v="-"/>
    <n v="0"/>
    <n v="0"/>
    <s v="Tidak banyak basa basi dengan pembicaraan di luar kepentingan pemohon"/>
    <s v="tidak ada"/>
    <s v="Sudah baik"/>
    <s v="sudah baik/bagus"/>
    <s v="Kursi tunggu perlu ditambah"/>
    <s v="kursi ditambah atau diperbaiki yang rusak"/>
    <s v="Baik"/>
  </r>
  <r>
    <n v="118"/>
    <s v="Eko Purnomo"/>
    <x v="0"/>
    <x v="2"/>
    <s v="Tidak"/>
    <s v="Tidak"/>
    <s v="Tidak"/>
    <s v="Tidak"/>
    <x v="1"/>
    <x v="1"/>
    <n v="37"/>
    <x v="4"/>
    <x v="3"/>
    <x v="0"/>
    <n v="4"/>
    <n v="3"/>
    <n v="-1"/>
    <n v="3"/>
    <n v="3"/>
    <x v="0"/>
    <n v="4"/>
    <n v="4"/>
    <n v="0"/>
    <n v="0"/>
    <n v="0"/>
    <n v="0"/>
    <n v="4"/>
    <n v="4"/>
    <n v="0"/>
    <n v="4"/>
    <n v="4"/>
    <n v="0"/>
    <n v="4"/>
    <n v="4"/>
    <n v="0"/>
    <n v="4"/>
    <n v="4"/>
    <n v="0"/>
    <n v="3"/>
    <n v="3"/>
    <n v="0"/>
    <n v="0"/>
    <s v="Tidak"/>
    <n v="0"/>
    <s v="Tidak"/>
    <n v="0"/>
    <s v="Tidak"/>
    <s v="Teman"/>
    <s v="Teman"/>
    <n v="2"/>
    <n v="3"/>
    <s v="Sudah cukup"/>
    <s v="sudah baik/bagus"/>
    <s v="Sudah cukup"/>
    <s v="sudah baik/bagus"/>
    <s v="Sudah cukup"/>
    <s v="sudah baik/bagus"/>
    <s v=""/>
  </r>
  <r>
    <n v="119"/>
    <s v="NABILA ZASKIA PUTRI"/>
    <x v="0"/>
    <x v="5"/>
    <s v="Tidak"/>
    <s v="Tidak"/>
    <s v="Tidak"/>
    <s v="Tidak"/>
    <x v="0"/>
    <x v="0"/>
    <n v="18"/>
    <x v="3"/>
    <x v="0"/>
    <x v="1"/>
    <n v="4"/>
    <n v="4"/>
    <n v="0"/>
    <n v="4"/>
    <n v="4"/>
    <x v="0"/>
    <n v="4"/>
    <n v="4"/>
    <n v="0"/>
    <n v="4"/>
    <n v="4"/>
    <n v="0"/>
    <n v="4"/>
    <n v="4"/>
    <n v="0"/>
    <n v="4"/>
    <n v="4"/>
    <n v="0"/>
    <n v="4"/>
    <n v="4"/>
    <n v="0"/>
    <n v="4"/>
    <n v="4"/>
    <n v="0"/>
    <n v="4"/>
    <n v="4"/>
    <n v="0"/>
    <n v="0"/>
    <s v="Tidak"/>
    <n v="4"/>
    <s v="Tidak"/>
    <n v="0"/>
    <s v="Tidak"/>
    <s v=""/>
    <s v="-"/>
    <n v="0"/>
    <n v="0"/>
    <s v="Sudah baik"/>
    <s v="sudah baik/bagus"/>
    <s v="Sudah baik"/>
    <s v="sudah baik/bagus"/>
    <s v="Sudah baik"/>
    <s v="sudah baik/bagus"/>
    <s v="Sudah baik"/>
  </r>
  <r>
    <n v="120"/>
    <s v="Sandy putra pratama"/>
    <x v="0"/>
    <x v="2"/>
    <s v="Tidak"/>
    <s v="Tidak"/>
    <s v="Tidak"/>
    <s v="Tidak"/>
    <x v="1"/>
    <x v="0"/>
    <n v="18"/>
    <x v="3"/>
    <x v="0"/>
    <x v="3"/>
    <n v="3"/>
    <n v="3"/>
    <n v="0"/>
    <n v="2"/>
    <n v="2"/>
    <x v="0"/>
    <n v="4"/>
    <n v="4"/>
    <n v="0"/>
    <n v="3"/>
    <n v="3"/>
    <n v="0"/>
    <n v="3"/>
    <n v="3"/>
    <n v="0"/>
    <n v="4"/>
    <n v="4"/>
    <n v="0"/>
    <n v="4"/>
    <n v="4"/>
    <n v="0"/>
    <n v="4"/>
    <n v="4"/>
    <n v="0"/>
    <n v="3"/>
    <n v="3"/>
    <n v="0"/>
    <n v="0"/>
    <s v="Tidak"/>
    <n v="3"/>
    <s v="Ya"/>
    <n v="0"/>
    <s v="Tidak"/>
    <s v=""/>
    <s v="-"/>
    <n v="0"/>
    <n v="0"/>
    <s v="Sudah cukup"/>
    <s v="sudah baik/bagus"/>
    <s v="Sudah cukup"/>
    <s v="sudah baik/bagus"/>
    <s v="Lebih ditingkatkan"/>
    <s v="ruangan lebih memadai dan nyaman"/>
    <s v=""/>
  </r>
  <r>
    <n v="121"/>
    <s v="ROFODA FEBRIANTI"/>
    <x v="0"/>
    <x v="5"/>
    <s v="Tidak"/>
    <s v="Tidak"/>
    <s v="Tidak"/>
    <s v="Tidak"/>
    <x v="0"/>
    <x v="0"/>
    <n v="24"/>
    <x v="0"/>
    <x v="1"/>
    <x v="0"/>
    <n v="4"/>
    <n v="4"/>
    <n v="0"/>
    <n v="3"/>
    <n v="4"/>
    <x v="2"/>
    <n v="4"/>
    <n v="4"/>
    <n v="0"/>
    <n v="4"/>
    <n v="4"/>
    <n v="0"/>
    <n v="4"/>
    <n v="4"/>
    <n v="0"/>
    <n v="4"/>
    <n v="4"/>
    <n v="0"/>
    <n v="4"/>
    <n v="4"/>
    <n v="0"/>
    <n v="4"/>
    <n v="4"/>
    <n v="0"/>
    <n v="4"/>
    <n v="3"/>
    <n v="-1"/>
    <n v="0"/>
    <s v="Tidak"/>
    <n v="3"/>
    <s v="Ya"/>
    <n v="0"/>
    <s v="Tidak"/>
    <s v=""/>
    <s v="-"/>
    <n v="0"/>
    <n v="0"/>
    <s v="Sudah baik"/>
    <s v="sudah baik/bagus"/>
    <s v="Baik"/>
    <s v="sudah baik/bagus"/>
    <s v="Baik"/>
    <s v="sudah baik/bagus"/>
    <s v="Info biaya di media online diupdate, disamakan dengan yang ada di kantor"/>
  </r>
  <r>
    <n v="122"/>
    <s v="ALDIANSYAH AKBAR"/>
    <x v="0"/>
    <x v="5"/>
    <s v="Tidak"/>
    <s v="Tidak"/>
    <s v="Tidak"/>
    <s v="Tidak"/>
    <x v="1"/>
    <x v="0"/>
    <n v="27"/>
    <x v="1"/>
    <x v="0"/>
    <x v="0"/>
    <n v="4"/>
    <n v="3"/>
    <n v="-1"/>
    <n v="3"/>
    <n v="4"/>
    <x v="2"/>
    <n v="4"/>
    <n v="4"/>
    <n v="0"/>
    <n v="4"/>
    <n v="4"/>
    <n v="0"/>
    <n v="4"/>
    <n v="4"/>
    <n v="0"/>
    <n v="4"/>
    <n v="4"/>
    <n v="0"/>
    <n v="4"/>
    <n v="4"/>
    <n v="0"/>
    <n v="4"/>
    <n v="4"/>
    <n v="0"/>
    <n v="4"/>
    <n v="4"/>
    <n v="0"/>
    <n v="0"/>
    <s v="Tidak"/>
    <n v="4"/>
    <s v="Ya"/>
    <n v="0"/>
    <s v="Tidak"/>
    <s v=""/>
    <s v="-"/>
    <n v="0"/>
    <n v="0"/>
    <s v="Baik"/>
    <s v="sudah baik/bagus"/>
    <s v="Baik"/>
    <s v="sudah baik/bagus"/>
    <s v="Diperluas ruangannya dan ditambah kursi tunggunya"/>
    <s v="ruangan lebih memadai dan nyaman"/>
    <s v="Baik"/>
  </r>
  <r>
    <n v="123"/>
    <s v="MARSELLA DWI WIJAYANTI"/>
    <x v="0"/>
    <x v="5"/>
    <s v="Tidak"/>
    <s v="Tidak"/>
    <s v="Tidak"/>
    <s v="Tidak"/>
    <x v="0"/>
    <x v="0"/>
    <n v="18"/>
    <x v="3"/>
    <x v="0"/>
    <x v="3"/>
    <n v="4"/>
    <n v="4"/>
    <n v="0"/>
    <n v="4"/>
    <n v="4"/>
    <x v="0"/>
    <n v="4"/>
    <n v="4"/>
    <n v="0"/>
    <n v="4"/>
    <n v="4"/>
    <n v="0"/>
    <n v="4"/>
    <n v="4"/>
    <n v="0"/>
    <n v="4"/>
    <n v="4"/>
    <n v="0"/>
    <n v="4"/>
    <n v="4"/>
    <n v="0"/>
    <n v="4"/>
    <n v="4"/>
    <n v="0"/>
    <n v="4"/>
    <n v="4"/>
    <n v="0"/>
    <n v="3"/>
    <s v="Ya"/>
    <n v="0"/>
    <s v="Tidak"/>
    <n v="0"/>
    <s v="Tidak"/>
    <s v=""/>
    <s v="-"/>
    <n v="0"/>
    <n v="0"/>
    <s v="Lebih ramah dan murah senyum"/>
    <s v="lebih ramah lagi"/>
    <s v="Sudah baik"/>
    <s v="sudah baik/bagus"/>
    <s v="Sudah baik"/>
    <s v="sudah baik/bagus"/>
    <s v="Baik"/>
  </r>
  <r>
    <n v="124"/>
    <s v="M. KHILMI SUAIFI"/>
    <x v="0"/>
    <x v="5"/>
    <s v="Tidak"/>
    <s v="Tidak"/>
    <s v="Tidak"/>
    <s v="Tidak"/>
    <x v="1"/>
    <x v="0"/>
    <n v="19"/>
    <x v="3"/>
    <x v="0"/>
    <x v="3"/>
    <n v="3"/>
    <n v="3"/>
    <n v="0"/>
    <n v="4"/>
    <n v="3"/>
    <x v="1"/>
    <n v="3"/>
    <n v="3"/>
    <n v="0"/>
    <n v="4"/>
    <n v="4"/>
    <n v="0"/>
    <n v="3"/>
    <n v="4"/>
    <n v="1"/>
    <n v="3"/>
    <n v="4"/>
    <n v="1"/>
    <n v="4"/>
    <n v="4"/>
    <n v="0"/>
    <n v="4"/>
    <n v="4"/>
    <n v="0"/>
    <n v="3"/>
    <n v="4"/>
    <n v="1"/>
    <n v="0"/>
    <s v="Tidak"/>
    <n v="0"/>
    <s v="Tidak"/>
    <n v="3"/>
    <s v="Ya"/>
    <s v=""/>
    <s v="-"/>
    <n v="0"/>
    <n v="0"/>
    <s v="Cukup baik"/>
    <s v="sudah baik/bagus"/>
    <s v="Sudah baik"/>
    <s v="sudah baik/bagus"/>
    <s v="Sudah baik"/>
    <s v="sudah baik/bagus"/>
    <s v="Cukup baik"/>
  </r>
  <r>
    <n v="125"/>
    <s v="Ida Maulia"/>
    <x v="0"/>
    <x v="2"/>
    <s v="Tidak"/>
    <s v="Tidak"/>
    <s v="Tidak"/>
    <s v="Tidak"/>
    <x v="0"/>
    <x v="1"/>
    <n v="35"/>
    <x v="2"/>
    <x v="0"/>
    <x v="2"/>
    <n v="4"/>
    <n v="4"/>
    <n v="0"/>
    <n v="4"/>
    <n v="4"/>
    <x v="0"/>
    <n v="4"/>
    <n v="4"/>
    <n v="0"/>
    <n v="0"/>
    <n v="0"/>
    <n v="0"/>
    <n v="4"/>
    <n v="4"/>
    <n v="0"/>
    <n v="4"/>
    <n v="4"/>
    <n v="0"/>
    <n v="4"/>
    <n v="4"/>
    <n v="0"/>
    <n v="3"/>
    <n v="4"/>
    <n v="1"/>
    <n v="3"/>
    <n v="4"/>
    <n v="1"/>
    <n v="0"/>
    <s v="Tidak"/>
    <n v="0"/>
    <s v="Tidak"/>
    <n v="0"/>
    <s v="Tidak"/>
    <s v="Orang Terdekat"/>
    <s v="Keluarga"/>
    <n v="1"/>
    <n v="4"/>
    <s v="Semoga kedepannya untuk masyarakat dalam melayani lebih dan di pertahankan"/>
    <s v="meningkatkan kinerja pelayanan"/>
    <s v="Sangat cepat dan mudah"/>
    <s v="proses pelayanan cepat dan mudah"/>
    <s v="Peru nambah AC tambah Playground kecil untuk anak agar tidak bosan"/>
    <s v="ac kurang dingin, harus diperbaiki"/>
    <s v=""/>
  </r>
  <r>
    <n v="126"/>
    <s v="Aris Zuu Prasetiawan"/>
    <x v="0"/>
    <x v="2"/>
    <s v="Tidak"/>
    <s v="Tidak"/>
    <s v="Tidak"/>
    <s v="Tidak"/>
    <x v="1"/>
    <x v="1"/>
    <n v="38"/>
    <x v="4"/>
    <x v="0"/>
    <x v="0"/>
    <n v="4"/>
    <n v="4"/>
    <n v="0"/>
    <n v="4"/>
    <n v="4"/>
    <x v="0"/>
    <n v="4"/>
    <n v="4"/>
    <n v="0"/>
    <n v="0"/>
    <n v="0"/>
    <n v="0"/>
    <n v="4"/>
    <n v="4"/>
    <n v="0"/>
    <n v="4"/>
    <n v="4"/>
    <n v="0"/>
    <n v="4"/>
    <n v="4"/>
    <n v="0"/>
    <n v="4"/>
    <n v="4"/>
    <n v="0"/>
    <n v="3"/>
    <n v="3"/>
    <n v="0"/>
    <n v="4"/>
    <s v="Ya"/>
    <n v="0"/>
    <s v="Tidak"/>
    <n v="0"/>
    <s v="Tidak"/>
    <s v=""/>
    <s v="-"/>
    <n v="0"/>
    <n v="0"/>
    <s v="Lebih di majukan lagi kedepannya agar lebih cepat dan tanggap serta tegas"/>
    <s v="meningkatkan kinerja pelayanan"/>
    <s v="Sudah sesuai"/>
    <s v="sudah baik/bagus"/>
    <s v="Kurang AC parkir kurang luas"/>
    <s v="ruangan lebih memadai dan nyaman"/>
    <s v="Untuk polres tulangan sudah sesuai dengan SOP"/>
  </r>
  <r>
    <n v="127"/>
    <s v="Laila Ayu Fitria"/>
    <x v="0"/>
    <x v="2"/>
    <s v="Tidak"/>
    <s v="Tidak"/>
    <s v="Tidak"/>
    <s v="Tidak"/>
    <x v="0"/>
    <x v="0"/>
    <n v="18"/>
    <x v="3"/>
    <x v="0"/>
    <x v="1"/>
    <n v="3"/>
    <n v="3"/>
    <n v="0"/>
    <n v="4"/>
    <n v="3"/>
    <x v="1"/>
    <n v="3"/>
    <n v="3"/>
    <n v="0"/>
    <n v="3"/>
    <n v="3"/>
    <n v="0"/>
    <n v="3"/>
    <n v="4"/>
    <n v="1"/>
    <n v="3"/>
    <n v="4"/>
    <n v="1"/>
    <n v="3"/>
    <n v="3"/>
    <n v="0"/>
    <n v="4"/>
    <n v="4"/>
    <n v="0"/>
    <n v="3"/>
    <n v="4"/>
    <n v="1"/>
    <n v="0"/>
    <s v="Tidak"/>
    <n v="4"/>
    <s v="Ya"/>
    <n v="0"/>
    <s v="Tidak"/>
    <s v=""/>
    <s v="-"/>
    <n v="0"/>
    <n v="0"/>
    <s v="Sudah cukup"/>
    <s v="sudah baik/bagus"/>
    <s v="Cukup"/>
    <s v="sudah baik/bagus"/>
    <s v="Sudah cukup"/>
    <s v="sudah baik/bagus"/>
    <s v=""/>
  </r>
  <r>
    <n v="128"/>
    <s v="Adinda Dwikaputri"/>
    <x v="0"/>
    <x v="2"/>
    <s v="Tidak"/>
    <s v="Tidak"/>
    <s v="Tidak"/>
    <s v="Tidak"/>
    <x v="0"/>
    <x v="0"/>
    <n v="24"/>
    <x v="0"/>
    <x v="0"/>
    <x v="0"/>
    <n v="4"/>
    <n v="4"/>
    <n v="0"/>
    <n v="4"/>
    <n v="4"/>
    <x v="0"/>
    <n v="4"/>
    <n v="4"/>
    <n v="0"/>
    <n v="4"/>
    <n v="4"/>
    <n v="0"/>
    <n v="4"/>
    <n v="4"/>
    <n v="0"/>
    <n v="4"/>
    <n v="4"/>
    <n v="0"/>
    <n v="4"/>
    <n v="4"/>
    <n v="0"/>
    <n v="4"/>
    <n v="4"/>
    <n v="0"/>
    <n v="4"/>
    <n v="4"/>
    <n v="0"/>
    <n v="4"/>
    <s v="Ya"/>
    <n v="0"/>
    <s v="Tidak"/>
    <n v="0"/>
    <s v="Tidak"/>
    <s v=""/>
    <s v="-"/>
    <n v="0"/>
    <n v="0"/>
    <s v="Sangat baik"/>
    <s v="sudah baik/bagus"/>
    <s v="Sudah cukup"/>
    <s v="sudah baik/bagus"/>
    <s v="Sudah cukup"/>
    <s v="sudah baik/bagus"/>
    <s v=""/>
  </r>
  <r>
    <n v="129"/>
    <s v="Diah Esti Rahmawati"/>
    <x v="0"/>
    <x v="1"/>
    <s v="Tidak"/>
    <s v="Tidak"/>
    <s v="Tidak"/>
    <s v="Tidak"/>
    <x v="0"/>
    <x v="0"/>
    <n v="20"/>
    <x v="3"/>
    <x v="0"/>
    <x v="0"/>
    <n v="3"/>
    <n v="3"/>
    <n v="0"/>
    <n v="3"/>
    <n v="3"/>
    <x v="0"/>
    <n v="3"/>
    <n v="3"/>
    <n v="0"/>
    <n v="3"/>
    <n v="3"/>
    <n v="0"/>
    <n v="3"/>
    <n v="3"/>
    <n v="0"/>
    <n v="3"/>
    <n v="3"/>
    <n v="0"/>
    <n v="3"/>
    <n v="3"/>
    <n v="0"/>
    <n v="3"/>
    <n v="3"/>
    <n v="0"/>
    <n v="3"/>
    <n v="3"/>
    <n v="0"/>
    <n v="4"/>
    <s v="Tidak"/>
    <n v="0"/>
    <s v="Tidak"/>
    <n v="0"/>
    <s v="Tidak"/>
    <s v=""/>
    <s v="-"/>
    <n v="0"/>
    <n v="0"/>
    <s v="Sudah cukup"/>
    <s v="sudah baik/bagus"/>
    <s v="Sudah cukup"/>
    <s v="sudah baik/bagus"/>
    <s v="Sudah cukup"/>
    <s v="sudah baik/bagus"/>
    <s v=""/>
  </r>
  <r>
    <n v="130"/>
    <s v="Andika salang"/>
    <x v="0"/>
    <x v="20"/>
    <s v="Tidak"/>
    <s v="Tidak"/>
    <s v="Tidak"/>
    <s v="Tidak"/>
    <x v="1"/>
    <x v="0"/>
    <n v="28"/>
    <x v="1"/>
    <x v="1"/>
    <x v="0"/>
    <n v="3"/>
    <n v="2"/>
    <n v="-1"/>
    <n v="4"/>
    <n v="3"/>
    <x v="1"/>
    <n v="4"/>
    <n v="4"/>
    <n v="0"/>
    <n v="3"/>
    <n v="3"/>
    <n v="0"/>
    <n v="3"/>
    <n v="4"/>
    <n v="1"/>
    <n v="4"/>
    <n v="4"/>
    <n v="0"/>
    <n v="4"/>
    <n v="4"/>
    <n v="0"/>
    <n v="4"/>
    <n v="4"/>
    <n v="0"/>
    <n v="4"/>
    <n v="4"/>
    <n v="0"/>
    <n v="4"/>
    <s v="Ya"/>
    <n v="0"/>
    <s v="Tidak"/>
    <n v="0"/>
    <s v="Tidak"/>
    <s v=""/>
    <s v="-"/>
    <n v="0"/>
    <n v="0"/>
    <s v="cukup"/>
    <s v="sudah baik/bagus"/>
    <s v="cukup"/>
    <s v="sudah baik/bagus"/>
    <s v="cukup"/>
    <s v="sudah baik/bagus"/>
    <s v=""/>
  </r>
  <r>
    <n v="131"/>
    <s v="Iksan asidiq al maarif"/>
    <x v="0"/>
    <x v="20"/>
    <s v="Tidak"/>
    <s v="Tidak"/>
    <s v="Tidak"/>
    <s v="Tidak"/>
    <x v="1"/>
    <x v="0"/>
    <n v="20"/>
    <x v="3"/>
    <x v="0"/>
    <x v="3"/>
    <n v="4"/>
    <n v="4"/>
    <n v="0"/>
    <n v="4"/>
    <n v="4"/>
    <x v="0"/>
    <n v="4"/>
    <n v="4"/>
    <n v="0"/>
    <n v="4"/>
    <n v="4"/>
    <n v="0"/>
    <n v="4"/>
    <n v="4"/>
    <n v="0"/>
    <n v="4"/>
    <n v="4"/>
    <n v="0"/>
    <n v="4"/>
    <n v="4"/>
    <n v="0"/>
    <n v="4"/>
    <n v="4"/>
    <n v="0"/>
    <n v="4"/>
    <n v="4"/>
    <n v="0"/>
    <n v="4"/>
    <s v="Ya"/>
    <n v="0"/>
    <s v="Tidak"/>
    <n v="0"/>
    <s v="Tidak"/>
    <s v=""/>
    <s v="-"/>
    <n v="0"/>
    <n v="0"/>
    <s v="di tingkatkan"/>
    <s v="meningkatkan kinerja pelayanan"/>
    <s v="cukup"/>
    <s v="sudah baik/bagus"/>
    <s v="cukup"/>
    <s v="sudah baik/bagus"/>
    <s v=""/>
  </r>
  <r>
    <n v="132"/>
    <s v="Ali kasan"/>
    <x v="0"/>
    <x v="3"/>
    <s v="Tidak"/>
    <s v="Tidak"/>
    <s v="Tidak"/>
    <s v="Tidak"/>
    <x v="1"/>
    <x v="0"/>
    <n v="47"/>
    <x v="7"/>
    <x v="0"/>
    <x v="5"/>
    <n v="4"/>
    <n v="4"/>
    <n v="0"/>
    <n v="4"/>
    <n v="4"/>
    <x v="0"/>
    <n v="4"/>
    <n v="4"/>
    <n v="0"/>
    <n v="4"/>
    <n v="4"/>
    <n v="0"/>
    <n v="4"/>
    <n v="4"/>
    <n v="0"/>
    <n v="4"/>
    <n v="4"/>
    <n v="0"/>
    <n v="4"/>
    <n v="4"/>
    <n v="0"/>
    <n v="4"/>
    <n v="4"/>
    <n v="0"/>
    <n v="4"/>
    <n v="4"/>
    <n v="0"/>
    <n v="4"/>
    <s v="Ya"/>
    <n v="0"/>
    <s v="Tidak"/>
    <n v="0"/>
    <s v="Tidak"/>
    <s v=""/>
    <s v="-"/>
    <n v="0"/>
    <n v="0"/>
    <s v="cukup"/>
    <s v="sudah baik/bagus"/>
    <s v="cukup"/>
    <s v="sudah baik/bagus"/>
    <s v="cukup"/>
    <s v="sudah baik/bagus"/>
    <s v=""/>
  </r>
  <r>
    <n v="133"/>
    <s v="Nur Latifah"/>
    <x v="0"/>
    <x v="0"/>
    <s v="Tidak"/>
    <s v="Tidak"/>
    <s v="Tidak"/>
    <s v="Tidak"/>
    <x v="0"/>
    <x v="0"/>
    <n v="27"/>
    <x v="1"/>
    <x v="0"/>
    <x v="3"/>
    <n v="4"/>
    <n v="4"/>
    <n v="0"/>
    <n v="4"/>
    <n v="4"/>
    <x v="0"/>
    <n v="4"/>
    <n v="3"/>
    <n v="-1"/>
    <n v="4"/>
    <n v="4"/>
    <n v="0"/>
    <n v="4"/>
    <n v="4"/>
    <n v="0"/>
    <n v="4"/>
    <n v="4"/>
    <n v="0"/>
    <n v="4"/>
    <n v="4"/>
    <n v="0"/>
    <n v="4"/>
    <n v="4"/>
    <n v="0"/>
    <n v="4"/>
    <n v="4"/>
    <n v="0"/>
    <n v="4"/>
    <s v="Ya"/>
    <n v="0"/>
    <s v="Tidak"/>
    <n v="0"/>
    <s v="Tidak"/>
    <s v=""/>
    <s v="-"/>
    <n v="0"/>
    <n v="0"/>
    <s v="cukup"/>
    <s v="sudah baik/bagus"/>
    <s v="cukup"/>
    <s v="sudah baik/bagus"/>
    <s v="cukup"/>
    <s v="sudah baik/bagus"/>
    <s v=""/>
  </r>
  <r>
    <n v="134"/>
    <s v="M daffa perdana"/>
    <x v="0"/>
    <x v="2"/>
    <s v="Tidak"/>
    <s v="Tidak"/>
    <s v="Tidak"/>
    <s v="Tidak"/>
    <x v="1"/>
    <x v="0"/>
    <n v="26"/>
    <x v="1"/>
    <x v="1"/>
    <x v="4"/>
    <n v="4"/>
    <n v="3"/>
    <n v="-1"/>
    <n v="4"/>
    <n v="3"/>
    <x v="1"/>
    <n v="4"/>
    <n v="4"/>
    <n v="0"/>
    <n v="4"/>
    <n v="4"/>
    <n v="0"/>
    <n v="4"/>
    <n v="4"/>
    <n v="0"/>
    <n v="4"/>
    <n v="4"/>
    <n v="0"/>
    <n v="4"/>
    <n v="4"/>
    <n v="0"/>
    <n v="4"/>
    <n v="4"/>
    <n v="0"/>
    <n v="4"/>
    <n v="4"/>
    <n v="0"/>
    <n v="4"/>
    <s v="Ya"/>
    <n v="0"/>
    <s v="Tidak"/>
    <n v="0"/>
    <s v="Tidak"/>
    <s v=""/>
    <s v="-"/>
    <n v="0"/>
    <n v="0"/>
    <s v="cukup"/>
    <s v="sudah baik/bagus"/>
    <s v="cukup"/>
    <s v="sudah baik/bagus"/>
    <s v="cukup"/>
    <s v="sudah baik/bagus"/>
    <s v=""/>
  </r>
  <r>
    <n v="135"/>
    <s v="Faisal Hanapi"/>
    <x v="0"/>
    <x v="24"/>
    <s v="Tidak"/>
    <s v="Tidak"/>
    <s v="Tidak"/>
    <s v="Tidak"/>
    <x v="1"/>
    <x v="3"/>
    <n v="19"/>
    <x v="3"/>
    <x v="0"/>
    <x v="1"/>
    <n v="3"/>
    <n v="3"/>
    <n v="0"/>
    <n v="4"/>
    <n v="3"/>
    <x v="1"/>
    <n v="3"/>
    <n v="4"/>
    <n v="1"/>
    <n v="4"/>
    <n v="4"/>
    <n v="0"/>
    <n v="3"/>
    <n v="3"/>
    <n v="0"/>
    <n v="4"/>
    <n v="4"/>
    <n v="0"/>
    <n v="4"/>
    <n v="4"/>
    <n v="0"/>
    <n v="4"/>
    <n v="4"/>
    <n v="0"/>
    <n v="4"/>
    <n v="4"/>
    <n v="0"/>
    <n v="0"/>
    <s v="Tidak"/>
    <n v="0"/>
    <s v="Tidak"/>
    <n v="0"/>
    <s v="Tidak"/>
    <s v="keluarga"/>
    <s v="Keluarga"/>
    <n v="4"/>
    <n v="0"/>
    <s v="cukup"/>
    <s v="sudah baik/bagus"/>
    <s v="kurang cepat"/>
    <s v="mempercepat waktu pelayanan"/>
    <s v="cukup"/>
    <s v="sudah baik/bagus"/>
    <s v=""/>
  </r>
  <r>
    <n v="136"/>
    <s v="Intan ellin"/>
    <x v="0"/>
    <x v="10"/>
    <s v="Tidak"/>
    <s v="Tidak"/>
    <s v="Tidak"/>
    <s v="Tidak"/>
    <x v="0"/>
    <x v="3"/>
    <n v="20"/>
    <x v="3"/>
    <x v="0"/>
    <x v="1"/>
    <n v="3"/>
    <n v="4"/>
    <n v="1"/>
    <n v="3"/>
    <n v="3"/>
    <x v="0"/>
    <n v="3"/>
    <n v="3"/>
    <n v="0"/>
    <n v="3"/>
    <n v="3"/>
    <n v="0"/>
    <n v="4"/>
    <n v="4"/>
    <n v="0"/>
    <n v="4"/>
    <n v="4"/>
    <n v="0"/>
    <n v="4"/>
    <n v="4"/>
    <n v="0"/>
    <n v="4"/>
    <n v="4"/>
    <n v="0"/>
    <n v="4"/>
    <n v="3"/>
    <n v="-1"/>
    <n v="0"/>
    <s v="Tidak"/>
    <n v="0"/>
    <s v="Tidak"/>
    <n v="4"/>
    <s v="Ya"/>
    <s v=""/>
    <s v="-"/>
    <n v="0"/>
    <n v="0"/>
    <s v="cukup"/>
    <s v="sudah baik/bagus"/>
    <s v="cukup"/>
    <s v="sudah baik/bagus"/>
    <s v="cukup"/>
    <s v="sudah baik/bagus"/>
    <s v=""/>
  </r>
  <r>
    <n v="137"/>
    <s v="Bello prakoso"/>
    <x v="0"/>
    <x v="6"/>
    <s v="Tidak"/>
    <s v="Tidak"/>
    <s v="Tidak"/>
    <s v="Tidak"/>
    <x v="1"/>
    <x v="3"/>
    <n v="20"/>
    <x v="3"/>
    <x v="0"/>
    <x v="0"/>
    <n v="3"/>
    <n v="3"/>
    <n v="0"/>
    <n v="4"/>
    <n v="3"/>
    <x v="1"/>
    <n v="3"/>
    <n v="4"/>
    <n v="1"/>
    <n v="4"/>
    <n v="3"/>
    <n v="-1"/>
    <n v="4"/>
    <n v="3"/>
    <n v="-1"/>
    <n v="3"/>
    <n v="3"/>
    <n v="0"/>
    <n v="3"/>
    <n v="3"/>
    <n v="0"/>
    <n v="4"/>
    <n v="3"/>
    <n v="-1"/>
    <n v="4"/>
    <n v="3"/>
    <n v="-1"/>
    <n v="0"/>
    <s v="Tidak"/>
    <n v="0"/>
    <s v="Tidak"/>
    <n v="0"/>
    <s v="Tidak"/>
    <s v="Saudara"/>
    <s v="Keluarga"/>
    <n v="1"/>
    <n v="4"/>
    <s v="cukup"/>
    <s v="sudah baik/bagus"/>
    <s v="cukup"/>
    <s v="sudah baik/bagus"/>
    <s v="cukup"/>
    <s v="sudah baik/bagus"/>
    <s v=""/>
  </r>
  <r>
    <n v="138"/>
    <s v="Mas hanu"/>
    <x v="0"/>
    <x v="6"/>
    <s v="Tidak"/>
    <s v="Tidak"/>
    <s v="Tidak"/>
    <s v="Tidak"/>
    <x v="1"/>
    <x v="3"/>
    <n v="23"/>
    <x v="0"/>
    <x v="0"/>
    <x v="0"/>
    <n v="4"/>
    <n v="4"/>
    <n v="0"/>
    <n v="4"/>
    <n v="4"/>
    <x v="0"/>
    <n v="4"/>
    <n v="4"/>
    <n v="0"/>
    <n v="4"/>
    <n v="4"/>
    <n v="0"/>
    <n v="4"/>
    <n v="4"/>
    <n v="0"/>
    <n v="4"/>
    <n v="4"/>
    <n v="0"/>
    <n v="4"/>
    <n v="4"/>
    <n v="0"/>
    <n v="4"/>
    <n v="4"/>
    <n v="0"/>
    <n v="4"/>
    <n v="4"/>
    <n v="0"/>
    <n v="0"/>
    <s v="Tidak"/>
    <n v="0"/>
    <s v="Tidak"/>
    <n v="0"/>
    <s v="Tidak"/>
    <s v="Teman"/>
    <s v="Teman"/>
    <n v="1"/>
    <n v="4"/>
    <s v="cukup"/>
    <s v="sudah baik/bagus"/>
    <s v="cukup"/>
    <s v="sudah baik/bagus"/>
    <s v="cukup"/>
    <s v="sudah baik/bagus"/>
    <s v=""/>
  </r>
  <r>
    <n v="139"/>
    <s v="Akhida zahra Fitri"/>
    <x v="0"/>
    <x v="17"/>
    <s v="Tidak"/>
    <s v="Tidak"/>
    <s v="Tidak"/>
    <s v="Tidak"/>
    <x v="0"/>
    <x v="3"/>
    <n v="19"/>
    <x v="3"/>
    <x v="0"/>
    <x v="1"/>
    <n v="4"/>
    <n v="4"/>
    <n v="0"/>
    <n v="4"/>
    <n v="4"/>
    <x v="0"/>
    <n v="4"/>
    <n v="3"/>
    <n v="-1"/>
    <n v="4"/>
    <n v="4"/>
    <n v="0"/>
    <n v="4"/>
    <n v="4"/>
    <n v="0"/>
    <n v="4"/>
    <n v="4"/>
    <n v="0"/>
    <n v="4"/>
    <n v="3"/>
    <n v="-1"/>
    <n v="4"/>
    <n v="3"/>
    <n v="-1"/>
    <n v="4"/>
    <n v="4"/>
    <n v="0"/>
    <n v="0"/>
    <s v="Ya"/>
    <n v="0"/>
    <s v="Tidak"/>
    <n v="0"/>
    <s v="Tidak"/>
    <s v="Keluarga"/>
    <s v="Keluarga"/>
    <n v="1"/>
    <n v="4"/>
    <s v="cukup"/>
    <s v="sudah baik/bagus"/>
    <s v="cukup"/>
    <s v="sudah baik/bagus"/>
    <s v="cukup"/>
    <s v="sudah baik/bagus"/>
    <s v=""/>
  </r>
  <r>
    <n v="140"/>
    <s v="Bagus Dewantoro"/>
    <x v="9"/>
    <x v="25"/>
    <s v="Tidak"/>
    <s v="Tidak"/>
    <s v="Tidak"/>
    <s v="Tidak"/>
    <x v="1"/>
    <x v="2"/>
    <n v="31"/>
    <x v="2"/>
    <x v="0"/>
    <x v="0"/>
    <n v="4"/>
    <n v="4"/>
    <n v="0"/>
    <n v="4"/>
    <n v="4"/>
    <x v="0"/>
    <n v="4"/>
    <n v="4"/>
    <n v="0"/>
    <n v="4"/>
    <n v="4"/>
    <n v="0"/>
    <n v="4"/>
    <n v="4"/>
    <n v="0"/>
    <n v="4"/>
    <n v="4"/>
    <n v="0"/>
    <n v="4"/>
    <n v="4"/>
    <n v="0"/>
    <n v="4"/>
    <n v="4"/>
    <n v="0"/>
    <n v="4"/>
    <n v="4"/>
    <n v="0"/>
    <n v="4"/>
    <s v="Ya"/>
    <n v="0"/>
    <s v="Tidak"/>
    <n v="0"/>
    <s v="Tidak"/>
    <s v=""/>
    <s v="-"/>
    <n v="0"/>
    <n v="0"/>
    <s v="cukup"/>
    <s v="sudah baik/bagus"/>
    <s v="cukup"/>
    <s v="sudah baik/bagus"/>
    <s v="cukup"/>
    <s v="sudah baik/bagus"/>
    <s v=""/>
  </r>
  <r>
    <n v="141"/>
    <s v="Dwi Sulistyowati,ss"/>
    <x v="0"/>
    <x v="2"/>
    <s v="Tidak"/>
    <s v="Tidak"/>
    <s v="Tidak"/>
    <s v="Tidak"/>
    <x v="0"/>
    <x v="2"/>
    <n v="51"/>
    <x v="8"/>
    <x v="1"/>
    <x v="5"/>
    <n v="4"/>
    <n v="4"/>
    <n v="0"/>
    <n v="4"/>
    <n v="4"/>
    <x v="0"/>
    <n v="3"/>
    <n v="4"/>
    <n v="1"/>
    <n v="4"/>
    <n v="4"/>
    <n v="0"/>
    <n v="4"/>
    <n v="4"/>
    <n v="0"/>
    <n v="4"/>
    <n v="4"/>
    <n v="0"/>
    <n v="4"/>
    <n v="4"/>
    <n v="0"/>
    <n v="4"/>
    <n v="4"/>
    <n v="0"/>
    <n v="4"/>
    <n v="4"/>
    <n v="0"/>
    <n v="0"/>
    <s v="Tidak"/>
    <n v="0"/>
    <s v="Tidak"/>
    <n v="0"/>
    <s v="Tidak"/>
    <s v="Teman"/>
    <s v="Teman"/>
    <n v="1"/>
    <n v="4"/>
    <s v="lebih detail"/>
    <s v="meningkatkan kinerja pelayanan"/>
    <s v="cukup"/>
    <s v="sudah baik/bagus"/>
    <s v="puas"/>
    <s v="sudah baik/bagus"/>
    <s v=""/>
  </r>
  <r>
    <n v="142"/>
    <s v="Agus Susanto"/>
    <x v="9"/>
    <x v="26"/>
    <s v="Tidak"/>
    <s v="Tidak"/>
    <s v="Tidak"/>
    <s v="Tidak"/>
    <x v="1"/>
    <x v="2"/>
    <n v="29"/>
    <x v="1"/>
    <x v="2"/>
    <x v="2"/>
    <n v="4"/>
    <n v="4"/>
    <n v="0"/>
    <n v="4"/>
    <n v="3"/>
    <x v="1"/>
    <n v="3"/>
    <n v="3"/>
    <n v="0"/>
    <n v="4"/>
    <n v="4"/>
    <n v="0"/>
    <n v="4"/>
    <n v="4"/>
    <n v="0"/>
    <n v="4"/>
    <n v="4"/>
    <n v="0"/>
    <n v="4"/>
    <n v="4"/>
    <n v="0"/>
    <n v="4"/>
    <n v="4"/>
    <n v="0"/>
    <n v="4"/>
    <n v="4"/>
    <n v="0"/>
    <n v="0"/>
    <s v="Tidak"/>
    <n v="0"/>
    <s v="Tidak"/>
    <n v="0"/>
    <s v="Tidak"/>
    <s v="orang tua"/>
    <s v="Keluarga"/>
    <n v="1"/>
    <n v="4"/>
    <s v="cukup"/>
    <s v="sudah baik/bagus"/>
    <s v="cukup"/>
    <s v="sudah baik/bagus"/>
    <s v="cukup"/>
    <s v="sudah baik/bagus"/>
    <s v=""/>
  </r>
  <r>
    <n v="143"/>
    <s v="Moch suud"/>
    <x v="0"/>
    <x v="17"/>
    <s v="Tidak"/>
    <s v="Tidak"/>
    <s v="Tidak"/>
    <s v="Tidak"/>
    <x v="1"/>
    <x v="2"/>
    <n v="32"/>
    <x v="2"/>
    <x v="3"/>
    <x v="2"/>
    <n v="4"/>
    <n v="4"/>
    <n v="0"/>
    <n v="4"/>
    <n v="4"/>
    <x v="0"/>
    <n v="4"/>
    <n v="4"/>
    <n v="0"/>
    <n v="4"/>
    <n v="4"/>
    <n v="0"/>
    <n v="4"/>
    <n v="4"/>
    <n v="0"/>
    <n v="4"/>
    <n v="4"/>
    <n v="0"/>
    <n v="4"/>
    <n v="4"/>
    <n v="0"/>
    <n v="4"/>
    <n v="4"/>
    <n v="0"/>
    <n v="4"/>
    <n v="4"/>
    <n v="0"/>
    <n v="0"/>
    <s v="Tidak"/>
    <n v="0"/>
    <s v="Tidak"/>
    <n v="0"/>
    <s v="Tidak"/>
    <s v="Teman"/>
    <s v="Teman"/>
    <n v="1"/>
    <n v="4"/>
    <s v="cukup"/>
    <s v="sudah baik/bagus"/>
    <s v="cukup"/>
    <s v="sudah baik/bagus"/>
    <s v="cukup"/>
    <s v="sudah baik/bagus"/>
    <s v=""/>
  </r>
  <r>
    <n v="144"/>
    <s v="Moch Yusuf Bachtiar"/>
    <x v="0"/>
    <x v="17"/>
    <s v="Tidak"/>
    <s v="Tidak"/>
    <s v="Tidak"/>
    <s v="Tidak"/>
    <x v="1"/>
    <x v="2"/>
    <n v="31"/>
    <x v="2"/>
    <x v="1"/>
    <x v="0"/>
    <n v="4"/>
    <n v="3"/>
    <n v="-1"/>
    <n v="4"/>
    <n v="3"/>
    <x v="1"/>
    <n v="3"/>
    <n v="3"/>
    <n v="0"/>
    <n v="3"/>
    <n v="3"/>
    <n v="0"/>
    <n v="4"/>
    <n v="3"/>
    <n v="-1"/>
    <n v="4"/>
    <n v="3"/>
    <n v="-1"/>
    <n v="4"/>
    <n v="3"/>
    <n v="-1"/>
    <n v="4"/>
    <n v="3"/>
    <n v="-1"/>
    <n v="4"/>
    <n v="3"/>
    <n v="-1"/>
    <n v="4"/>
    <s v="Ya"/>
    <n v="0"/>
    <s v="Tidak"/>
    <n v="0"/>
    <s v="Tidak"/>
    <s v=""/>
    <s v="-"/>
    <n v="0"/>
    <n v="0"/>
    <s v="lebih cepat"/>
    <s v="memberikan informasi yang lebih jelas dan mudah dipahami"/>
    <s v="cukup"/>
    <s v="sudah baik/bagus"/>
    <s v="cukup"/>
    <s v="sudah baik/bagus"/>
    <s v=""/>
  </r>
  <r>
    <n v="145"/>
    <s v="Lusi hari siswanti"/>
    <x v="0"/>
    <x v="5"/>
    <s v="Tidak"/>
    <s v="Tidak"/>
    <s v="Tidak"/>
    <s v="Tidak"/>
    <x v="0"/>
    <x v="0"/>
    <n v="41"/>
    <x v="6"/>
    <x v="1"/>
    <x v="0"/>
    <n v="3"/>
    <n v="3"/>
    <n v="0"/>
    <n v="3"/>
    <n v="3"/>
    <x v="0"/>
    <n v="3"/>
    <n v="3"/>
    <n v="0"/>
    <n v="3"/>
    <n v="3"/>
    <n v="0"/>
    <n v="3"/>
    <n v="3"/>
    <n v="0"/>
    <n v="4"/>
    <n v="4"/>
    <n v="0"/>
    <n v="4"/>
    <n v="4"/>
    <n v="0"/>
    <n v="3"/>
    <n v="3"/>
    <n v="0"/>
    <n v="3"/>
    <n v="3"/>
    <n v="0"/>
    <n v="4"/>
    <s v="Ya"/>
    <n v="0"/>
    <s v="Tidak"/>
    <n v="0"/>
    <s v="Tidak"/>
    <s v=""/>
    <s v="-"/>
    <n v="0"/>
    <n v="0"/>
    <s v="lebih familiar"/>
    <s v="meningkatkan kinerja pelayanan"/>
    <s v="cukup"/>
    <s v="sudah baik/bagus"/>
    <s v="cukup"/>
    <s v="sudah baik/bagus"/>
    <s v=""/>
  </r>
  <r>
    <n v="146"/>
    <s v="Angga dwi darmawan"/>
    <x v="0"/>
    <x v="5"/>
    <s v="Tidak"/>
    <s v="Tidak"/>
    <s v="Tidak"/>
    <s v="Tidak"/>
    <x v="1"/>
    <x v="0"/>
    <n v="25"/>
    <x v="0"/>
    <x v="1"/>
    <x v="0"/>
    <n v="3"/>
    <n v="3"/>
    <n v="0"/>
    <n v="3"/>
    <n v="3"/>
    <x v="0"/>
    <n v="4"/>
    <n v="4"/>
    <n v="0"/>
    <n v="3"/>
    <n v="3"/>
    <n v="0"/>
    <n v="3"/>
    <n v="3"/>
    <n v="0"/>
    <n v="4"/>
    <n v="3"/>
    <n v="-1"/>
    <n v="3"/>
    <n v="4"/>
    <n v="1"/>
    <n v="3"/>
    <n v="4"/>
    <n v="1"/>
    <n v="3"/>
    <n v="4"/>
    <n v="1"/>
    <n v="3"/>
    <s v="Ya"/>
    <n v="0"/>
    <s v="Tidak"/>
    <n v="0"/>
    <s v="Tidak"/>
    <s v=""/>
    <s v="-"/>
    <n v="0"/>
    <n v="0"/>
    <s v="Harus lebih optimal dan efisien waktu dalam pelayanan"/>
    <s v="meningkatkan kinerja pelayanan"/>
    <s v="Tidak ada"/>
    <s v="tidak ada"/>
    <s v="Tidak ada"/>
    <s v="tidak ada"/>
    <s v="Lebih memperbarui alur pelayanan di media sosial"/>
  </r>
  <r>
    <n v="147"/>
    <s v="Sulistiyono"/>
    <x v="0"/>
    <x v="5"/>
    <s v="Tidak"/>
    <s v="Tidak"/>
    <s v="Tidak"/>
    <s v="Tidak"/>
    <x v="1"/>
    <x v="1"/>
    <n v="38"/>
    <x v="4"/>
    <x v="0"/>
    <x v="0"/>
    <n v="3"/>
    <n v="4"/>
    <n v="1"/>
    <n v="3"/>
    <n v="4"/>
    <x v="2"/>
    <n v="3"/>
    <n v="4"/>
    <n v="1"/>
    <n v="0"/>
    <n v="0"/>
    <n v="0"/>
    <n v="3"/>
    <n v="4"/>
    <n v="1"/>
    <n v="4"/>
    <n v="4"/>
    <n v="0"/>
    <n v="3"/>
    <n v="3"/>
    <n v="0"/>
    <n v="4"/>
    <n v="4"/>
    <n v="0"/>
    <n v="4"/>
    <n v="4"/>
    <n v="0"/>
    <n v="0"/>
    <s v="Tidak"/>
    <n v="0"/>
    <s v="Tidak"/>
    <n v="0"/>
    <s v="Tidak"/>
    <s v="Teman"/>
    <s v="Teman"/>
    <n v="1"/>
    <n v="4"/>
    <s v="Tidak ada"/>
    <s v="tidak ada"/>
    <s v="Tidak ada"/>
    <s v="tidak ada"/>
    <s v="Tidak ada"/>
    <s v="tidak ada"/>
    <s v="Tidak ada"/>
  </r>
  <r>
    <n v="148"/>
    <s v="Muhammad Iqbal"/>
    <x v="0"/>
    <x v="5"/>
    <s v="Tidak"/>
    <s v="Tidak"/>
    <s v="Tidak"/>
    <s v="Tidak"/>
    <x v="1"/>
    <x v="0"/>
    <n v="24"/>
    <x v="0"/>
    <x v="0"/>
    <x v="3"/>
    <n v="3"/>
    <n v="3"/>
    <n v="0"/>
    <n v="4"/>
    <n v="3"/>
    <x v="1"/>
    <n v="4"/>
    <n v="4"/>
    <n v="0"/>
    <n v="3"/>
    <n v="3"/>
    <n v="0"/>
    <n v="4"/>
    <n v="4"/>
    <n v="0"/>
    <n v="3"/>
    <n v="3"/>
    <n v="0"/>
    <n v="4"/>
    <n v="4"/>
    <n v="0"/>
    <n v="3"/>
    <n v="3"/>
    <n v="0"/>
    <n v="4"/>
    <n v="3"/>
    <n v="-1"/>
    <n v="0"/>
    <s v="Tidak"/>
    <n v="4"/>
    <s v="Ya"/>
    <n v="0"/>
    <s v="Tidak"/>
    <s v=""/>
    <s v="-"/>
    <n v="0"/>
    <n v="0"/>
    <s v="Tidak ada"/>
    <s v="tidak ada"/>
    <s v="Tidak ada"/>
    <s v="tidak ada"/>
    <s v="Tidak ada"/>
    <s v="tidak ada"/>
    <s v="Tidak ada"/>
  </r>
  <r>
    <n v="149"/>
    <s v="Usman"/>
    <x v="0"/>
    <x v="5"/>
    <s v="Tidak"/>
    <s v="Tidak"/>
    <s v="Tidak"/>
    <s v="Tidak"/>
    <x v="1"/>
    <x v="1"/>
    <n v="44"/>
    <x v="6"/>
    <x v="3"/>
    <x v="2"/>
    <n v="4"/>
    <n v="4"/>
    <n v="0"/>
    <n v="4"/>
    <n v="4"/>
    <x v="0"/>
    <n v="4"/>
    <n v="4"/>
    <n v="0"/>
    <n v="0"/>
    <n v="0"/>
    <n v="0"/>
    <n v="4"/>
    <n v="4"/>
    <n v="0"/>
    <n v="4"/>
    <n v="4"/>
    <n v="0"/>
    <n v="4"/>
    <n v="4"/>
    <n v="0"/>
    <n v="4"/>
    <n v="4"/>
    <n v="0"/>
    <n v="4"/>
    <n v="4"/>
    <n v="0"/>
    <n v="0"/>
    <s v="Tidak"/>
    <n v="0"/>
    <s v="Tidak"/>
    <n v="0"/>
    <s v="Ya"/>
    <s v="Pak RT"/>
    <s v="Teman"/>
    <n v="3"/>
    <n v="2"/>
    <s v="Tidak ada"/>
    <s v="tidak ada"/>
    <s v="Tidak ada"/>
    <s v="tidak ada"/>
    <s v="Tidak ada"/>
    <s v="tidak ada"/>
    <s v=""/>
  </r>
  <r>
    <n v="150"/>
    <s v="Eko budi santoso"/>
    <x v="0"/>
    <x v="5"/>
    <s v="Tidak"/>
    <s v="Tidak"/>
    <s v="Tidak"/>
    <s v="Tidak"/>
    <x v="1"/>
    <x v="1"/>
    <n v="28"/>
    <x v="1"/>
    <x v="0"/>
    <x v="0"/>
    <n v="4"/>
    <n v="4"/>
    <n v="0"/>
    <n v="4"/>
    <n v="4"/>
    <x v="0"/>
    <n v="4"/>
    <n v="4"/>
    <n v="0"/>
    <n v="0"/>
    <n v="0"/>
    <n v="0"/>
    <n v="4"/>
    <n v="4"/>
    <n v="0"/>
    <n v="4"/>
    <n v="4"/>
    <n v="0"/>
    <n v="4"/>
    <n v="4"/>
    <n v="0"/>
    <n v="4"/>
    <n v="4"/>
    <n v="0"/>
    <n v="4"/>
    <n v="4"/>
    <n v="0"/>
    <n v="0"/>
    <s v="Tidak"/>
    <n v="0"/>
    <s v="Tidak"/>
    <n v="0"/>
    <s v="Tidak"/>
    <s v="Teman"/>
    <s v="Teman"/>
    <n v="1"/>
    <n v="4"/>
    <s v="Tidak ada"/>
    <s v="tidak ada"/>
    <s v="Tidak ada"/>
    <s v="tidak ada"/>
    <s v="Tidak ada"/>
    <s v="tidak ada"/>
    <s v="Tidak ada"/>
  </r>
  <r>
    <n v="151"/>
    <s v="Fani Amidah Rahmadani"/>
    <x v="0"/>
    <x v="5"/>
    <s v="Tidak"/>
    <s v="Tidak"/>
    <s v="Tidak"/>
    <s v="Tidak"/>
    <x v="0"/>
    <x v="0"/>
    <n v="21"/>
    <x v="0"/>
    <x v="0"/>
    <x v="3"/>
    <n v="3"/>
    <n v="3"/>
    <n v="0"/>
    <n v="4"/>
    <n v="3"/>
    <x v="1"/>
    <n v="3"/>
    <n v="3"/>
    <n v="0"/>
    <n v="3"/>
    <n v="3"/>
    <n v="0"/>
    <n v="4"/>
    <n v="3"/>
    <n v="-1"/>
    <n v="3"/>
    <n v="3"/>
    <n v="0"/>
    <n v="4"/>
    <n v="3"/>
    <n v="-1"/>
    <n v="3"/>
    <n v="3"/>
    <n v="0"/>
    <n v="3"/>
    <n v="3"/>
    <n v="0"/>
    <n v="0"/>
    <s v="Tidak"/>
    <n v="3"/>
    <s v="Ya"/>
    <n v="0"/>
    <s v="Tidak"/>
    <s v=""/>
    <s v="-"/>
    <n v="0"/>
    <n v="0"/>
    <s v="Tidak ada"/>
    <s v="tidak ada"/>
    <s v="Tidak ada"/>
    <s v="tidak ada"/>
    <s v="Tidak ada"/>
    <s v="tidak ada"/>
    <s v="Tidak ada"/>
  </r>
  <r>
    <n v="152"/>
    <s v="Iis sugiarti"/>
    <x v="0"/>
    <x v="5"/>
    <s v="Tidak"/>
    <s v="Tidak"/>
    <s v="Tidak"/>
    <s v="Tidak"/>
    <x v="0"/>
    <x v="1"/>
    <n v="34"/>
    <x v="2"/>
    <x v="0"/>
    <x v="2"/>
    <n v="4"/>
    <n v="4"/>
    <n v="0"/>
    <n v="3"/>
    <n v="4"/>
    <x v="2"/>
    <n v="4"/>
    <n v="4"/>
    <n v="0"/>
    <n v="0"/>
    <n v="0"/>
    <n v="0"/>
    <n v="3"/>
    <n v="4"/>
    <n v="1"/>
    <n v="4"/>
    <n v="4"/>
    <n v="0"/>
    <n v="4"/>
    <n v="4"/>
    <n v="0"/>
    <n v="3"/>
    <n v="4"/>
    <n v="1"/>
    <n v="4"/>
    <n v="4"/>
    <n v="0"/>
    <n v="3"/>
    <s v="Ya"/>
    <n v="0"/>
    <s v="Tidak"/>
    <n v="0"/>
    <s v="Tidak"/>
    <s v=""/>
    <s v="-"/>
    <n v="0"/>
    <n v="0"/>
    <s v="Kesopanannnya lebih di tingkatkan lagi"/>
    <s v="lebih ramah lagi"/>
    <s v="Tidak ada"/>
    <s v="tidak ada"/>
    <s v="Tidak ada"/>
    <s v="tidak ada"/>
    <s v="Tidak ada"/>
  </r>
  <r>
    <n v="153"/>
    <s v="Nanik Sholikah"/>
    <x v="0"/>
    <x v="6"/>
    <s v="Tidak"/>
    <s v="Tidak"/>
    <s v="Tidak"/>
    <s v="Tidak"/>
    <x v="0"/>
    <x v="3"/>
    <n v="44"/>
    <x v="6"/>
    <x v="2"/>
    <x v="7"/>
    <n v="3"/>
    <n v="3"/>
    <n v="0"/>
    <n v="3"/>
    <n v="3"/>
    <x v="0"/>
    <n v="3"/>
    <n v="3"/>
    <n v="0"/>
    <n v="3"/>
    <n v="3"/>
    <n v="0"/>
    <n v="3"/>
    <n v="3"/>
    <n v="0"/>
    <n v="3"/>
    <n v="3"/>
    <n v="0"/>
    <n v="3"/>
    <n v="3"/>
    <n v="0"/>
    <n v="3"/>
    <n v="4"/>
    <n v="1"/>
    <n v="3"/>
    <n v="3"/>
    <n v="0"/>
    <n v="0"/>
    <s v="Tidak"/>
    <n v="0"/>
    <s v="Tidak"/>
    <n v="0"/>
    <s v="Tidak"/>
    <s v="Tetangga"/>
    <s v="Teman"/>
    <n v="2"/>
    <n v="3"/>
    <s v="Tetap ramah dan utamakan pelayanan agar cepat di layani"/>
    <s v="sudah baik/bagus"/>
    <s v="Tidak ada"/>
    <s v="tidak ada"/>
    <s v="Tidak ada"/>
    <s v="tidak ada"/>
    <s v="Tidak ada"/>
  </r>
  <r>
    <n v="154"/>
    <s v="Tiara fasyanova"/>
    <x v="0"/>
    <x v="3"/>
    <s v="Tidak"/>
    <s v="Tidak"/>
    <s v="Tidak"/>
    <s v="Tidak"/>
    <x v="0"/>
    <x v="2"/>
    <n v="18"/>
    <x v="3"/>
    <x v="0"/>
    <x v="3"/>
    <n v="3"/>
    <n v="4"/>
    <n v="1"/>
    <n v="4"/>
    <n v="4"/>
    <x v="0"/>
    <n v="3"/>
    <n v="4"/>
    <n v="1"/>
    <n v="4"/>
    <n v="4"/>
    <n v="0"/>
    <n v="4"/>
    <n v="4"/>
    <n v="0"/>
    <n v="4"/>
    <n v="4"/>
    <n v="0"/>
    <n v="3"/>
    <n v="4"/>
    <n v="1"/>
    <n v="4"/>
    <n v="4"/>
    <n v="0"/>
    <n v="4"/>
    <n v="4"/>
    <n v="0"/>
    <n v="0"/>
    <s v="Tidak"/>
    <n v="0"/>
    <s v="Tidak"/>
    <n v="4"/>
    <s v="Ya"/>
    <s v=""/>
    <s v="-"/>
    <n v="0"/>
    <n v="0"/>
    <s v="Tidak ada"/>
    <s v="tidak ada"/>
    <s v="Tidak ada"/>
    <s v="tidak ada"/>
    <s v="Tidak ada"/>
    <s v="tidak ada"/>
    <s v="Tidak ada"/>
  </r>
  <r>
    <n v="155"/>
    <s v="Fani Firza Diono"/>
    <x v="0"/>
    <x v="10"/>
    <s v="Tidak"/>
    <s v="Tidak"/>
    <s v="Tidak"/>
    <s v="Tidak"/>
    <x v="1"/>
    <x v="3"/>
    <n v="26"/>
    <x v="1"/>
    <x v="0"/>
    <x v="0"/>
    <n v="3"/>
    <n v="4"/>
    <n v="1"/>
    <n v="3"/>
    <n v="3"/>
    <x v="0"/>
    <n v="3"/>
    <n v="4"/>
    <n v="1"/>
    <n v="4"/>
    <n v="3"/>
    <n v="-1"/>
    <n v="3"/>
    <n v="4"/>
    <n v="1"/>
    <n v="3"/>
    <n v="3"/>
    <n v="0"/>
    <n v="3"/>
    <n v="3"/>
    <n v="0"/>
    <n v="3"/>
    <n v="3"/>
    <n v="0"/>
    <n v="4"/>
    <n v="4"/>
    <n v="0"/>
    <n v="3"/>
    <s v="Ya"/>
    <n v="0"/>
    <s v="Tidak"/>
    <n v="0"/>
    <s v="Tidak"/>
    <s v=""/>
    <s v="-"/>
    <n v="0"/>
    <n v="0"/>
    <s v="Di petugas loket foto harusnya petugas memanggil sesuai nomor antrian atau sesuai urutan nomer, bila perlu di digitalisasi semua layanan"/>
    <s v="perbaiki sistem antrian"/>
    <s v="Tidak ada"/>
    <s v="tidak ada"/>
    <s v="Tidak ada"/>
    <s v="tidak ada"/>
    <s v="Tidak ada"/>
  </r>
  <r>
    <n v="156"/>
    <s v="Alvanda putri"/>
    <x v="0"/>
    <x v="0"/>
    <s v="Tidak"/>
    <s v="Tidak"/>
    <s v="Tidak"/>
    <s v="Tidak"/>
    <x v="0"/>
    <x v="0"/>
    <n v="22"/>
    <x v="0"/>
    <x v="0"/>
    <x v="0"/>
    <n v="4"/>
    <n v="4"/>
    <n v="0"/>
    <n v="4"/>
    <n v="3"/>
    <x v="1"/>
    <n v="4"/>
    <n v="4"/>
    <n v="0"/>
    <n v="4"/>
    <n v="4"/>
    <n v="0"/>
    <n v="4"/>
    <n v="4"/>
    <n v="0"/>
    <n v="4"/>
    <n v="4"/>
    <n v="0"/>
    <n v="4"/>
    <n v="4"/>
    <n v="0"/>
    <n v="4"/>
    <n v="4"/>
    <n v="0"/>
    <n v="3"/>
    <n v="3"/>
    <n v="0"/>
    <n v="0"/>
    <s v="Tidak"/>
    <n v="0"/>
    <s v="Tidak"/>
    <n v="0"/>
    <s v="Tidak"/>
    <s v="Teman"/>
    <s v="Teman"/>
    <n v="2"/>
    <n v="3"/>
    <s v="cukup"/>
    <s v="sudah baik/bagus"/>
    <s v="cukup"/>
    <s v="sudah baik/bagus"/>
    <s v="cukup"/>
    <s v="sudah baik/bagus"/>
    <s v=""/>
  </r>
  <r>
    <n v="157"/>
    <s v="Moch Khoirul musa"/>
    <x v="0"/>
    <x v="5"/>
    <s v="Tidak"/>
    <s v="Tidak"/>
    <s v="Tidak"/>
    <s v="Tidak"/>
    <x v="1"/>
    <x v="0"/>
    <n v="20"/>
    <x v="3"/>
    <x v="0"/>
    <x v="3"/>
    <n v="3"/>
    <n v="4"/>
    <n v="1"/>
    <n v="4"/>
    <n v="3"/>
    <x v="1"/>
    <n v="4"/>
    <n v="4"/>
    <n v="0"/>
    <n v="4"/>
    <n v="4"/>
    <n v="0"/>
    <n v="4"/>
    <n v="4"/>
    <n v="0"/>
    <n v="4"/>
    <n v="4"/>
    <n v="0"/>
    <n v="4"/>
    <n v="4"/>
    <n v="0"/>
    <n v="4"/>
    <n v="4"/>
    <n v="0"/>
    <n v="4"/>
    <n v="3"/>
    <n v="-1"/>
    <n v="4"/>
    <s v="Ya"/>
    <n v="0"/>
    <s v="Tidak"/>
    <n v="0"/>
    <s v="Tidak"/>
    <s v=""/>
    <s v="-"/>
    <n v="0"/>
    <n v="0"/>
    <s v="cukup"/>
    <s v="sudah baik/bagus"/>
    <s v="Bagus"/>
    <s v="sudah baik/bagus"/>
    <s v="cukup"/>
    <s v="sudah baik/bagus"/>
    <s v=""/>
  </r>
  <r>
    <n v="158"/>
    <s v="Rendi Nur Rohman"/>
    <x v="0"/>
    <x v="2"/>
    <s v="Tidak"/>
    <s v="Tidak"/>
    <s v="Tidak"/>
    <s v="Tidak"/>
    <x v="1"/>
    <x v="0"/>
    <n v="21"/>
    <x v="0"/>
    <x v="0"/>
    <x v="0"/>
    <n v="3"/>
    <n v="4"/>
    <n v="1"/>
    <n v="4"/>
    <n v="4"/>
    <x v="0"/>
    <n v="3"/>
    <n v="4"/>
    <n v="1"/>
    <n v="3"/>
    <n v="4"/>
    <n v="1"/>
    <n v="4"/>
    <n v="4"/>
    <n v="0"/>
    <n v="4"/>
    <n v="4"/>
    <n v="0"/>
    <n v="4"/>
    <n v="4"/>
    <n v="0"/>
    <n v="4"/>
    <n v="4"/>
    <n v="0"/>
    <n v="3"/>
    <n v="4"/>
    <n v="1"/>
    <n v="0"/>
    <s v="Tidak"/>
    <n v="3"/>
    <s v="Ya"/>
    <n v="0"/>
    <s v="Tidak"/>
    <s v=""/>
    <s v="-"/>
    <n v="0"/>
    <n v="0"/>
    <s v="Sangat Baik"/>
    <s v="sudah baik/bagus"/>
    <s v="Sangat Cepat tepat waktu"/>
    <s v="proses pelayanan cepat dan mudah"/>
    <s v="Cukup"/>
    <s v="sudah baik/bagus"/>
    <s v=""/>
  </r>
  <r>
    <n v="159"/>
    <s v="Affan arifian"/>
    <x v="0"/>
    <x v="5"/>
    <s v="Tidak"/>
    <s v="Tidak"/>
    <s v="Tidak"/>
    <s v="Tidak"/>
    <x v="1"/>
    <x v="0"/>
    <n v="48"/>
    <x v="7"/>
    <x v="0"/>
    <x v="9"/>
    <n v="3"/>
    <n v="3"/>
    <n v="0"/>
    <n v="3"/>
    <n v="4"/>
    <x v="2"/>
    <n v="3"/>
    <n v="3"/>
    <n v="0"/>
    <n v="3"/>
    <n v="3"/>
    <n v="0"/>
    <n v="4"/>
    <n v="3"/>
    <n v="-1"/>
    <n v="4"/>
    <n v="4"/>
    <n v="0"/>
    <n v="4"/>
    <n v="4"/>
    <n v="0"/>
    <n v="3"/>
    <n v="4"/>
    <n v="1"/>
    <n v="3"/>
    <n v="4"/>
    <n v="1"/>
    <n v="0"/>
    <s v="Ya"/>
    <n v="0"/>
    <s v="Tidak"/>
    <n v="4"/>
    <s v="Tidak"/>
    <s v=""/>
    <s v="-"/>
    <n v="0"/>
    <n v="0"/>
    <s v="cukup"/>
    <s v="sudah baik/bagus"/>
    <s v="cukup"/>
    <s v="sudah baik/bagus"/>
    <s v="kursi di tambah"/>
    <s v="kursi ditambah atau diperbaiki yang rusak"/>
    <s v=""/>
  </r>
  <r>
    <n v="160"/>
    <s v="Ayu Ananda Kurnia Putri"/>
    <x v="0"/>
    <x v="1"/>
    <s v="Tidak"/>
    <s v="Tidak"/>
    <s v="Tidak"/>
    <s v="Tidak"/>
    <x v="0"/>
    <x v="0"/>
    <n v="31"/>
    <x v="2"/>
    <x v="0"/>
    <x v="7"/>
    <n v="3"/>
    <n v="3"/>
    <n v="0"/>
    <n v="3"/>
    <n v="4"/>
    <x v="2"/>
    <n v="4"/>
    <n v="4"/>
    <n v="0"/>
    <n v="4"/>
    <n v="4"/>
    <n v="0"/>
    <n v="4"/>
    <n v="4"/>
    <n v="0"/>
    <n v="4"/>
    <n v="4"/>
    <n v="0"/>
    <n v="4"/>
    <n v="4"/>
    <n v="0"/>
    <n v="4"/>
    <n v="4"/>
    <n v="0"/>
    <n v="4"/>
    <n v="4"/>
    <n v="0"/>
    <n v="0"/>
    <s v="Tidak"/>
    <n v="0"/>
    <s v="Tidak"/>
    <n v="0"/>
    <s v="Tidak"/>
    <s v="Teman"/>
    <s v="Teman"/>
    <n v="2"/>
    <n v="3"/>
    <s v="Cukup"/>
    <s v="sudah baik/bagus"/>
    <s v="Cukup"/>
    <s v="sudah baik/bagus"/>
    <s v="Cukup"/>
    <s v="sudah baik/bagus"/>
    <s v=""/>
  </r>
  <r>
    <n v="161"/>
    <s v="Hardiono,ir"/>
    <x v="0"/>
    <x v="0"/>
    <s v="Tidak"/>
    <s v="Tidak"/>
    <s v="Tidak"/>
    <s v="Tidak"/>
    <x v="1"/>
    <x v="1"/>
    <n v="60"/>
    <x v="5"/>
    <x v="1"/>
    <x v="0"/>
    <n v="4"/>
    <n v="4"/>
    <n v="0"/>
    <n v="4"/>
    <n v="4"/>
    <x v="0"/>
    <n v="4"/>
    <n v="4"/>
    <n v="0"/>
    <n v="0"/>
    <n v="0"/>
    <n v="0"/>
    <n v="4"/>
    <n v="4"/>
    <n v="0"/>
    <n v="4"/>
    <n v="4"/>
    <n v="0"/>
    <n v="4"/>
    <n v="4"/>
    <n v="0"/>
    <n v="4"/>
    <n v="4"/>
    <n v="0"/>
    <n v="4"/>
    <n v="4"/>
    <n v="0"/>
    <n v="0"/>
    <s v="Tidak"/>
    <n v="0"/>
    <s v="Tidak"/>
    <n v="0"/>
    <s v="Tidak"/>
    <s v="saudara"/>
    <s v="Keluarga"/>
    <n v="1"/>
    <n v="4"/>
    <s v="cukup"/>
    <s v="sudah baik/bagus"/>
    <s v="cukup"/>
    <s v="sudah baik/bagus"/>
    <s v="ruang tunggu harus jelas"/>
    <s v="ruangan lebih memadai dan nyaman"/>
    <s v=""/>
  </r>
  <r>
    <n v="162"/>
    <s v="Abdul rokim"/>
    <x v="0"/>
    <x v="0"/>
    <s v="Tidak"/>
    <s v="Tidak"/>
    <s v="Tidak"/>
    <s v="Tidak"/>
    <x v="1"/>
    <x v="1"/>
    <n v="45"/>
    <x v="6"/>
    <x v="0"/>
    <x v="0"/>
    <n v="4"/>
    <n v="4"/>
    <n v="0"/>
    <n v="4"/>
    <n v="4"/>
    <x v="0"/>
    <n v="4"/>
    <n v="4"/>
    <n v="0"/>
    <n v="0"/>
    <n v="0"/>
    <n v="0"/>
    <n v="4"/>
    <n v="4"/>
    <n v="0"/>
    <n v="4"/>
    <n v="4"/>
    <n v="0"/>
    <n v="4"/>
    <n v="4"/>
    <n v="0"/>
    <n v="4"/>
    <n v="4"/>
    <n v="0"/>
    <n v="4"/>
    <n v="4"/>
    <n v="0"/>
    <n v="0"/>
    <s v="Tidak"/>
    <n v="4"/>
    <s v="Ya"/>
    <n v="0"/>
    <s v="Tidak"/>
    <s v=""/>
    <s v="-"/>
    <n v="0"/>
    <n v="0"/>
    <s v="di tingkatkan"/>
    <s v="meningkatkan kinerja pelayanan"/>
    <s v="cukup"/>
    <s v="sudah baik/bagus"/>
    <s v="cukup"/>
    <s v="sudah baik/bagus"/>
    <s v=""/>
  </r>
  <r>
    <n v="163"/>
    <s v="Yuli Riska Dwinanda"/>
    <x v="0"/>
    <x v="13"/>
    <s v="Tidak"/>
    <s v="Tidak"/>
    <s v="Tidak"/>
    <s v="Tidak"/>
    <x v="0"/>
    <x v="0"/>
    <n v="29"/>
    <x v="1"/>
    <x v="0"/>
    <x v="7"/>
    <n v="3"/>
    <n v="4"/>
    <n v="1"/>
    <n v="4"/>
    <n v="4"/>
    <x v="0"/>
    <n v="4"/>
    <n v="4"/>
    <n v="0"/>
    <n v="4"/>
    <n v="4"/>
    <n v="0"/>
    <n v="4"/>
    <n v="4"/>
    <n v="0"/>
    <n v="4"/>
    <n v="4"/>
    <n v="0"/>
    <n v="4"/>
    <n v="4"/>
    <n v="0"/>
    <n v="3"/>
    <n v="4"/>
    <n v="1"/>
    <n v="3"/>
    <n v="3"/>
    <n v="0"/>
    <n v="0"/>
    <s v="Tidak"/>
    <n v="0"/>
    <s v="Tidak"/>
    <n v="3"/>
    <s v="Ya"/>
    <s v=""/>
    <s v="-"/>
    <n v="0"/>
    <n v="0"/>
    <s v="Cukup"/>
    <s v="sudah baik/bagus"/>
    <s v="Cukup"/>
    <s v="sudah baik/bagus"/>
    <s v="Cukup dan butuh konsumsi"/>
    <s v="sudah baik/bagus"/>
    <s v=""/>
  </r>
  <r>
    <n v="164"/>
    <s v="Yusni Kartika"/>
    <x v="0"/>
    <x v="5"/>
    <s v="Tidak"/>
    <s v="Tidak"/>
    <s v="Tidak"/>
    <s v="Tidak"/>
    <x v="1"/>
    <x v="1"/>
    <n v="39"/>
    <x v="4"/>
    <x v="0"/>
    <x v="0"/>
    <n v="3"/>
    <n v="3"/>
    <n v="0"/>
    <n v="3"/>
    <n v="3"/>
    <x v="0"/>
    <n v="3"/>
    <n v="3"/>
    <n v="0"/>
    <n v="0"/>
    <n v="0"/>
    <n v="0"/>
    <n v="3"/>
    <n v="4"/>
    <n v="1"/>
    <n v="3"/>
    <n v="4"/>
    <n v="1"/>
    <n v="3"/>
    <n v="4"/>
    <n v="1"/>
    <n v="3"/>
    <n v="4"/>
    <n v="1"/>
    <n v="3"/>
    <n v="4"/>
    <n v="1"/>
    <n v="4"/>
    <s v="Ya"/>
    <n v="0"/>
    <s v="Tidak"/>
    <n v="0"/>
    <s v="Tidak"/>
    <s v=""/>
    <s v="-"/>
    <n v="0"/>
    <n v="0"/>
    <s v="lebih ramah"/>
    <s v="lebih ramah lagi"/>
    <s v="cukup"/>
    <s v="sudah baik/bagus"/>
    <s v="ac kurang dingin"/>
    <s v="ac kurang dingin, harus diperbaiki"/>
    <s v=""/>
  </r>
  <r>
    <n v="165"/>
    <s v="Eko Hendra"/>
    <x v="0"/>
    <x v="2"/>
    <s v="Tidak"/>
    <s v="Tidak"/>
    <s v="Tidak"/>
    <s v="Tidak"/>
    <x v="1"/>
    <x v="1"/>
    <n v="39"/>
    <x v="4"/>
    <x v="1"/>
    <x v="0"/>
    <n v="4"/>
    <n v="4"/>
    <n v="0"/>
    <n v="4"/>
    <n v="4"/>
    <x v="0"/>
    <n v="4"/>
    <n v="4"/>
    <n v="0"/>
    <n v="0"/>
    <n v="0"/>
    <n v="0"/>
    <n v="4"/>
    <n v="4"/>
    <n v="0"/>
    <n v="4"/>
    <n v="4"/>
    <n v="0"/>
    <n v="4"/>
    <n v="4"/>
    <n v="0"/>
    <n v="4"/>
    <n v="4"/>
    <n v="0"/>
    <n v="4"/>
    <n v="4"/>
    <n v="0"/>
    <n v="0"/>
    <s v="Tidak"/>
    <n v="0"/>
    <s v="Tidak"/>
    <n v="0"/>
    <s v="Tidak"/>
    <s v="Orang lain"/>
    <s v="Teman"/>
    <n v="2"/>
    <n v="3"/>
    <s v="Sesuai semua susah cukup"/>
    <s v="sudah baik/bagus"/>
    <s v="Cepat sudah tidak ada"/>
    <s v="proses pelayanan cepat dan mudah"/>
    <s v="Sudah nyaman"/>
    <s v="sudah baik/bagus"/>
    <s v=""/>
  </r>
  <r>
    <n v="166"/>
    <s v="Alim sudarmanto"/>
    <x v="0"/>
    <x v="5"/>
    <s v="Tidak"/>
    <s v="Tidak"/>
    <s v="Tidak"/>
    <s v="Tidak"/>
    <x v="1"/>
    <x v="1"/>
    <n v="56"/>
    <x v="5"/>
    <x v="0"/>
    <x v="2"/>
    <n v="4"/>
    <n v="4"/>
    <n v="0"/>
    <n v="4"/>
    <n v="4"/>
    <x v="0"/>
    <n v="4"/>
    <n v="3"/>
    <n v="-1"/>
    <n v="0"/>
    <n v="0"/>
    <n v="0"/>
    <n v="4"/>
    <n v="4"/>
    <n v="0"/>
    <n v="4"/>
    <n v="4"/>
    <n v="0"/>
    <n v="4"/>
    <n v="4"/>
    <n v="0"/>
    <n v="4"/>
    <n v="4"/>
    <n v="0"/>
    <n v="4"/>
    <n v="4"/>
    <n v="0"/>
    <n v="0"/>
    <s v="Tidak"/>
    <n v="0"/>
    <s v="Tidak"/>
    <n v="0"/>
    <s v="Tidak"/>
    <s v="pegawai Telkomsel"/>
    <s v="Pegawai/Karyawan Swasta"/>
    <n v="4"/>
    <n v="0"/>
    <s v="cukup bagus"/>
    <s v="sudah baik/bagus"/>
    <s v="cukup"/>
    <s v="sudah baik/bagus"/>
    <s v="cukup"/>
    <s v="sudah baik/bagus"/>
    <s v=""/>
  </r>
  <r>
    <n v="167"/>
    <s v="Setyami"/>
    <x v="0"/>
    <x v="20"/>
    <s v="Tidak"/>
    <s v="Tidak"/>
    <s v="Tidak"/>
    <s v="Tidak"/>
    <x v="0"/>
    <x v="4"/>
    <n v="40"/>
    <x v="4"/>
    <x v="2"/>
    <x v="5"/>
    <n v="3"/>
    <n v="4"/>
    <n v="1"/>
    <n v="3"/>
    <n v="3"/>
    <x v="0"/>
    <n v="3"/>
    <n v="4"/>
    <n v="1"/>
    <n v="0"/>
    <n v="0"/>
    <n v="0"/>
    <n v="3"/>
    <n v="4"/>
    <n v="1"/>
    <n v="3"/>
    <n v="4"/>
    <n v="1"/>
    <n v="4"/>
    <n v="4"/>
    <n v="0"/>
    <n v="3"/>
    <n v="4"/>
    <n v="1"/>
    <n v="4"/>
    <n v="4"/>
    <n v="0"/>
    <n v="0"/>
    <s v="Tidak"/>
    <n v="0"/>
    <s v="Tidak"/>
    <n v="0"/>
    <s v="Tidak"/>
    <s v="Dari dinas tempat kerja"/>
    <s v="Teman"/>
    <n v="1"/>
    <n v="4"/>
    <s v="Lebi komunikatif saat pemeriksaan kasus"/>
    <s v="memberikan informasi yang lebih jelas dan mudah dipahami"/>
    <s v="Puas lebih di tingkatkan lagi aja"/>
    <s v="meningkatkan kinerja pelayanan"/>
    <s v="Sudah cukup, namun di bagian PPA LT2 kalau bisa tempat bermainnya anak2 di manfaatkan atau di bersihkan"/>
    <s v="menyediakan air mineral"/>
    <s v="Saran untuk polresta sidoarja sesuai slogannya melayani dan mengayomi masyarakat"/>
  </r>
  <r>
    <n v="168"/>
    <s v="Nganti Wahyuningsih"/>
    <x v="8"/>
    <x v="27"/>
    <s v="Tidak"/>
    <s v="Tidak"/>
    <s v="Tidak"/>
    <s v="Tidak"/>
    <x v="0"/>
    <x v="5"/>
    <n v="44"/>
    <x v="6"/>
    <x v="1"/>
    <x v="0"/>
    <n v="3"/>
    <n v="3"/>
    <n v="0"/>
    <n v="3"/>
    <n v="4"/>
    <x v="2"/>
    <n v="3"/>
    <n v="4"/>
    <n v="1"/>
    <n v="0"/>
    <n v="0"/>
    <n v="0"/>
    <n v="3"/>
    <n v="3"/>
    <n v="0"/>
    <n v="3"/>
    <n v="3"/>
    <n v="0"/>
    <n v="3"/>
    <n v="3"/>
    <n v="0"/>
    <n v="3"/>
    <n v="3"/>
    <n v="0"/>
    <n v="4"/>
    <n v="3"/>
    <n v="-1"/>
    <n v="0"/>
    <s v="Tidak"/>
    <n v="0"/>
    <s v="Tidak"/>
    <n v="4"/>
    <s v="Ya"/>
    <s v=""/>
    <s v="-"/>
    <n v="0"/>
    <n v="0"/>
    <s v="Baik dan cepat, cukup tanggap"/>
    <s v="sudah baik/bagus"/>
    <s v="Cukup"/>
    <s v="sudah baik/bagus"/>
    <s v="Kalau bisa di larang merokok di dalam ruangan"/>
    <s v="diberi larangan merokok"/>
    <s v="Saran untuk polrseta sidoarjo kalau bisa perizinan di onlinekan"/>
  </r>
  <r>
    <n v="169"/>
    <s v="SUPARNO"/>
    <x v="0"/>
    <x v="5"/>
    <s v="Tidak"/>
    <s v="Tidak"/>
    <s v="Tidak"/>
    <s v="Tidak"/>
    <x v="1"/>
    <x v="0"/>
    <n v="49"/>
    <x v="7"/>
    <x v="0"/>
    <x v="0"/>
    <n v="4"/>
    <n v="4"/>
    <n v="0"/>
    <n v="4"/>
    <n v="4"/>
    <x v="0"/>
    <n v="4"/>
    <n v="4"/>
    <n v="0"/>
    <n v="4"/>
    <n v="4"/>
    <n v="0"/>
    <n v="4"/>
    <n v="4"/>
    <n v="0"/>
    <n v="4"/>
    <n v="4"/>
    <n v="0"/>
    <n v="4"/>
    <n v="4"/>
    <n v="0"/>
    <n v="4"/>
    <n v="4"/>
    <n v="0"/>
    <n v="4"/>
    <n v="4"/>
    <n v="0"/>
    <n v="0"/>
    <s v="Tidak"/>
    <n v="4"/>
    <s v="Tidak"/>
    <n v="0"/>
    <s v="Tidak"/>
    <s v=""/>
    <s v="-"/>
    <n v="0"/>
    <n v="0"/>
    <s v="Baik. Pertahankan"/>
    <s v="sudah baik/bagus"/>
    <s v="Sudah baik"/>
    <s v="sudah baik/bagus"/>
    <s v="Sudah baik"/>
    <s v="sudah baik/bagus"/>
    <s v="Baik"/>
  </r>
  <r>
    <n v="170"/>
    <s v="ZHULIS ANGGRAENI RAMADHANI"/>
    <x v="0"/>
    <x v="0"/>
    <s v="Tidak"/>
    <s v="Tidak"/>
    <s v="Tidak"/>
    <s v="Tidak"/>
    <x v="0"/>
    <x v="0"/>
    <n v="23"/>
    <x v="0"/>
    <x v="1"/>
    <x v="0"/>
    <n v="4"/>
    <n v="4"/>
    <n v="0"/>
    <n v="4"/>
    <n v="4"/>
    <x v="0"/>
    <n v="4"/>
    <n v="4"/>
    <n v="0"/>
    <n v="4"/>
    <n v="4"/>
    <n v="0"/>
    <n v="4"/>
    <n v="4"/>
    <n v="0"/>
    <n v="4"/>
    <n v="4"/>
    <n v="0"/>
    <n v="4"/>
    <n v="4"/>
    <n v="0"/>
    <n v="4"/>
    <n v="4"/>
    <n v="0"/>
    <n v="4"/>
    <n v="4"/>
    <n v="0"/>
    <n v="0"/>
    <s v="Tidak"/>
    <n v="4"/>
    <s v="Ya"/>
    <n v="0"/>
    <s v="Tidak"/>
    <s v=""/>
    <s v="-"/>
    <n v="0"/>
    <n v="0"/>
    <s v="Baik"/>
    <s v="sudah baik/bagus"/>
    <s v="Baik"/>
    <s v="sudah baik/bagus"/>
    <s v="Baik"/>
    <s v="sudah baik/bagus"/>
    <s v="Mohon diberikan info jam pelayanan"/>
  </r>
  <r>
    <n v="171"/>
    <s v="AMELIA MUKTI PRATIWI"/>
    <x v="0"/>
    <x v="13"/>
    <s v="Tidak"/>
    <s v="Tidak"/>
    <s v="Tidak"/>
    <s v="Tidak"/>
    <x v="0"/>
    <x v="0"/>
    <n v="25"/>
    <x v="0"/>
    <x v="1"/>
    <x v="0"/>
    <n v="4"/>
    <n v="3"/>
    <n v="-1"/>
    <n v="4"/>
    <n v="4"/>
    <x v="0"/>
    <n v="4"/>
    <n v="4"/>
    <n v="0"/>
    <n v="4"/>
    <n v="4"/>
    <n v="0"/>
    <n v="4"/>
    <n v="4"/>
    <n v="0"/>
    <n v="4"/>
    <n v="4"/>
    <n v="0"/>
    <n v="4"/>
    <n v="4"/>
    <n v="0"/>
    <n v="4"/>
    <n v="4"/>
    <n v="0"/>
    <n v="4"/>
    <n v="4"/>
    <n v="0"/>
    <n v="0"/>
    <s v="Tidak"/>
    <n v="4"/>
    <s v="Ya"/>
    <n v="0"/>
    <s v="Tidak"/>
    <s v=""/>
    <s v="-"/>
    <n v="0"/>
    <n v="0"/>
    <s v="Cukup baik"/>
    <s v="sudah baik/bagus"/>
    <s v="Baik"/>
    <s v="sudah baik/bagus"/>
    <s v="Baik"/>
    <s v="sudah baik/bagus"/>
    <s v="-"/>
  </r>
  <r>
    <n v="172"/>
    <s v="HABBY NUR CAHYO"/>
    <x v="0"/>
    <x v="4"/>
    <s v="Tidak"/>
    <s v="Tidak"/>
    <s v="Tidak"/>
    <s v="Tidak"/>
    <x v="1"/>
    <x v="0"/>
    <n v="29"/>
    <x v="1"/>
    <x v="1"/>
    <x v="0"/>
    <n v="4"/>
    <n v="4"/>
    <n v="0"/>
    <n v="4"/>
    <n v="4"/>
    <x v="0"/>
    <n v="4"/>
    <n v="4"/>
    <n v="0"/>
    <n v="4"/>
    <n v="4"/>
    <n v="0"/>
    <n v="4"/>
    <n v="4"/>
    <n v="0"/>
    <n v="4"/>
    <n v="4"/>
    <n v="0"/>
    <n v="4"/>
    <n v="4"/>
    <n v="0"/>
    <n v="4"/>
    <n v="4"/>
    <n v="0"/>
    <n v="4"/>
    <n v="4"/>
    <n v="0"/>
    <n v="0"/>
    <s v="Tidak"/>
    <n v="2"/>
    <s v="Ya"/>
    <n v="0"/>
    <s v="Tidak"/>
    <s v=""/>
    <s v="-"/>
    <n v="0"/>
    <n v="0"/>
    <s v="Sudah baik"/>
    <s v="sudah baik/bagus"/>
    <s v="Sudah baik"/>
    <s v="sudah baik/bagus"/>
    <s v="Sudah baik"/>
    <s v="sudah baik/bagus"/>
    <s v="--"/>
  </r>
  <r>
    <n v="173"/>
    <s v="RUCY MARITA IRAWATI"/>
    <x v="0"/>
    <x v="0"/>
    <s v="Tidak"/>
    <s v="Tidak"/>
    <s v="Tidak"/>
    <s v="Tidak"/>
    <x v="1"/>
    <x v="1"/>
    <n v="55"/>
    <x v="8"/>
    <x v="0"/>
    <x v="7"/>
    <n v="4"/>
    <n v="4"/>
    <n v="0"/>
    <n v="4"/>
    <n v="4"/>
    <x v="0"/>
    <n v="4"/>
    <n v="4"/>
    <n v="0"/>
    <n v="4"/>
    <n v="4"/>
    <n v="0"/>
    <n v="4"/>
    <n v="4"/>
    <n v="0"/>
    <n v="4"/>
    <n v="4"/>
    <n v="0"/>
    <n v="4"/>
    <n v="4"/>
    <n v="0"/>
    <n v="4"/>
    <n v="4"/>
    <n v="0"/>
    <n v="4"/>
    <n v="4"/>
    <n v="0"/>
    <n v="0"/>
    <s v="Tidak"/>
    <n v="0"/>
    <s v="Tidak"/>
    <n v="4"/>
    <s v="Ya"/>
    <s v=""/>
    <s v="-"/>
    <n v="0"/>
    <n v="0"/>
    <s v="Sudah baik"/>
    <s v="sudah baik/bagus"/>
    <s v="Sudah baik"/>
    <s v="sudah baik/bagus"/>
    <s v="Sudah baik"/>
    <s v="sudah baik/bagus"/>
    <s v="-"/>
  </r>
  <r>
    <n v="174"/>
    <s v="Diana Wahyuni"/>
    <x v="0"/>
    <x v="5"/>
    <s v="Tidak"/>
    <s v="Tidak"/>
    <s v="Tidak"/>
    <s v="Tidak"/>
    <x v="0"/>
    <x v="1"/>
    <n v="42"/>
    <x v="6"/>
    <x v="0"/>
    <x v="7"/>
    <n v="4"/>
    <n v="4"/>
    <n v="0"/>
    <n v="4"/>
    <n v="4"/>
    <x v="0"/>
    <n v="4"/>
    <n v="4"/>
    <n v="0"/>
    <n v="0"/>
    <n v="0"/>
    <n v="0"/>
    <n v="4"/>
    <n v="4"/>
    <n v="0"/>
    <n v="4"/>
    <n v="4"/>
    <n v="0"/>
    <n v="4"/>
    <n v="4"/>
    <n v="0"/>
    <n v="4"/>
    <n v="4"/>
    <n v="0"/>
    <n v="4"/>
    <n v="4"/>
    <n v="0"/>
    <n v="3"/>
    <s v="Ya"/>
    <n v="3"/>
    <s v="Ya"/>
    <n v="3"/>
    <s v="Ya"/>
    <s v=""/>
    <s v="-"/>
    <n v="0"/>
    <n v="0"/>
    <s v="Sudah baik"/>
    <s v="sudah baik/bagus"/>
    <s v="Sudah baik"/>
    <s v="sudah baik/bagus"/>
    <s v="Sudah baik"/>
    <s v="sudah baik/bagus"/>
    <s v=""/>
  </r>
  <r>
    <n v="175"/>
    <s v="Nofi Maula Hidayatullah"/>
    <x v="0"/>
    <x v="5"/>
    <s v="Tidak"/>
    <s v="Tidak"/>
    <s v="Tidak"/>
    <s v="Tidak"/>
    <x v="1"/>
    <x v="0"/>
    <n v="23"/>
    <x v="0"/>
    <x v="0"/>
    <x v="3"/>
    <n v="3"/>
    <n v="4"/>
    <n v="1"/>
    <n v="3"/>
    <n v="3"/>
    <x v="0"/>
    <n v="4"/>
    <n v="4"/>
    <n v="0"/>
    <n v="3"/>
    <n v="3"/>
    <n v="0"/>
    <n v="3"/>
    <n v="3"/>
    <n v="0"/>
    <n v="4"/>
    <n v="4"/>
    <n v="0"/>
    <n v="4"/>
    <n v="4"/>
    <n v="0"/>
    <n v="4"/>
    <n v="4"/>
    <n v="0"/>
    <n v="3"/>
    <n v="4"/>
    <n v="1"/>
    <n v="0"/>
    <s v="Tidak"/>
    <n v="3"/>
    <s v="Ya"/>
    <n v="0"/>
    <s v="Tidak"/>
    <s v=""/>
    <s v="-"/>
    <n v="0"/>
    <n v="0"/>
    <s v="Sudah baik"/>
    <s v="sudah baik/bagus"/>
    <s v="Sudah baik"/>
    <s v="sudah baik/bagus"/>
    <s v="Sudah baik"/>
    <s v="sudah baik/bagus"/>
    <s v=""/>
  </r>
  <r>
    <n v="176"/>
    <s v="M. Fahmi Rizal"/>
    <x v="0"/>
    <x v="3"/>
    <s v="Tidak"/>
    <s v="Tidak"/>
    <s v="Tidak"/>
    <s v="Tidak"/>
    <x v="0"/>
    <x v="1"/>
    <n v="36"/>
    <x v="4"/>
    <x v="2"/>
    <x v="0"/>
    <n v="4"/>
    <n v="4"/>
    <n v="0"/>
    <n v="4"/>
    <n v="4"/>
    <x v="0"/>
    <n v="4"/>
    <n v="4"/>
    <n v="0"/>
    <n v="0"/>
    <n v="0"/>
    <n v="0"/>
    <n v="4"/>
    <n v="4"/>
    <n v="0"/>
    <n v="4"/>
    <n v="4"/>
    <n v="0"/>
    <n v="4"/>
    <n v="4"/>
    <n v="0"/>
    <n v="4"/>
    <n v="4"/>
    <n v="0"/>
    <n v="4"/>
    <n v="4"/>
    <n v="0"/>
    <n v="0"/>
    <s v="Tidak"/>
    <n v="0"/>
    <s v="Tidak"/>
    <n v="0"/>
    <s v="Tidak"/>
    <s v="Inisiatif sendiri"/>
    <s v="Mengetahui sendiri"/>
    <n v="1"/>
    <n v="4"/>
    <s v="Sudah baik"/>
    <s v="sudah baik/bagus"/>
    <s v="Sudah baik"/>
    <s v="sudah baik/bagus"/>
    <s v="Sudah baik"/>
    <s v="sudah baik/bagus"/>
    <s v=""/>
  </r>
  <r>
    <n v="177"/>
    <s v="Nining"/>
    <x v="0"/>
    <x v="5"/>
    <s v="Tidak"/>
    <s v="Tidak"/>
    <s v="Tidak"/>
    <s v="Tidak"/>
    <x v="0"/>
    <x v="0"/>
    <n v="34"/>
    <x v="2"/>
    <x v="1"/>
    <x v="0"/>
    <n v="4"/>
    <n v="4"/>
    <n v="0"/>
    <n v="4"/>
    <n v="4"/>
    <x v="0"/>
    <n v="4"/>
    <n v="4"/>
    <n v="0"/>
    <n v="4"/>
    <n v="4"/>
    <n v="0"/>
    <n v="4"/>
    <n v="4"/>
    <n v="0"/>
    <n v="4"/>
    <n v="4"/>
    <n v="0"/>
    <n v="4"/>
    <n v="4"/>
    <n v="0"/>
    <n v="4"/>
    <n v="4"/>
    <n v="0"/>
    <n v="4"/>
    <n v="4"/>
    <n v="0"/>
    <n v="4"/>
    <s v="Ya"/>
    <n v="4"/>
    <s v="Ya"/>
    <n v="0"/>
    <s v="Tidak"/>
    <s v=""/>
    <s v="-"/>
    <n v="0"/>
    <n v="0"/>
    <s v="Sudah sangat bagus"/>
    <s v="sudah baik/bagus"/>
    <s v="Sudah bagus"/>
    <s v="sudah baik/bagus"/>
    <s v="Agak diperluas ruanganya, banyak orangnya di dalam ruangan"/>
    <s v="ruangan lebih memadai dan nyaman"/>
    <s v=""/>
  </r>
  <r>
    <n v="178"/>
    <s v="Hariono"/>
    <x v="0"/>
    <x v="9"/>
    <s v="Tidak"/>
    <s v="Tidak"/>
    <s v="Tidak"/>
    <s v="Tidak"/>
    <x v="1"/>
    <x v="1"/>
    <n v="44"/>
    <x v="6"/>
    <x v="0"/>
    <x v="0"/>
    <n v="4"/>
    <n v="4"/>
    <n v="0"/>
    <n v="4"/>
    <n v="4"/>
    <x v="0"/>
    <n v="4"/>
    <n v="4"/>
    <n v="0"/>
    <n v="0"/>
    <n v="0"/>
    <n v="0"/>
    <n v="4"/>
    <n v="4"/>
    <n v="0"/>
    <n v="4"/>
    <n v="4"/>
    <n v="0"/>
    <n v="4"/>
    <n v="4"/>
    <n v="0"/>
    <n v="4"/>
    <n v="4"/>
    <n v="0"/>
    <n v="4"/>
    <n v="4"/>
    <n v="0"/>
    <n v="0"/>
    <s v="Tidak"/>
    <n v="0"/>
    <s v="Tidak"/>
    <n v="0"/>
    <s v="Tidak"/>
    <s v="Bank Mandiri, saat kehilangan buku rekening"/>
    <s v="Mengetahui sendiri"/>
    <n v="2"/>
    <n v="3"/>
    <s v="Sudah baik"/>
    <s v="sudah baik/bagus"/>
    <s v="Sudah baik"/>
    <s v="sudah baik/bagus"/>
    <s v="Sudah baik"/>
    <s v="sudah baik/bagus"/>
    <s v=""/>
  </r>
  <r>
    <n v="179"/>
    <s v="Galang"/>
    <x v="0"/>
    <x v="3"/>
    <s v="Tidak"/>
    <s v="Tidak"/>
    <s v="Tidak"/>
    <s v="Tidak"/>
    <x v="1"/>
    <x v="0"/>
    <n v="18"/>
    <x v="3"/>
    <x v="0"/>
    <x v="3"/>
    <n v="4"/>
    <n v="4"/>
    <n v="0"/>
    <n v="4"/>
    <n v="4"/>
    <x v="0"/>
    <n v="3"/>
    <n v="4"/>
    <n v="1"/>
    <n v="4"/>
    <n v="3"/>
    <n v="-1"/>
    <n v="4"/>
    <n v="4"/>
    <n v="0"/>
    <n v="4"/>
    <n v="4"/>
    <n v="0"/>
    <n v="3"/>
    <n v="3"/>
    <n v="0"/>
    <n v="4"/>
    <n v="4"/>
    <n v="0"/>
    <n v="4"/>
    <n v="4"/>
    <n v="0"/>
    <n v="0"/>
    <s v="Tidak"/>
    <n v="0"/>
    <s v="Tidak"/>
    <n v="0"/>
    <s v="Tidak"/>
    <s v="Teman"/>
    <s v="Teman"/>
    <n v="2"/>
    <n v="3"/>
    <s v="Lebih baik lagi dalam menangani masyarakat"/>
    <s v="meningkatkan kinerja pelayanan"/>
    <s v="Sudah bak"/>
    <s v="sudah baik/bagus"/>
    <s v="Sudah baik"/>
    <s v="sudah baik/bagus"/>
    <s v=""/>
  </r>
  <r>
    <n v="180"/>
    <s v="Dewi"/>
    <x v="0"/>
    <x v="5"/>
    <s v="Tidak"/>
    <s v="Tidak"/>
    <s v="Tidak"/>
    <s v="Tidak"/>
    <x v="0"/>
    <x v="1"/>
    <n v="48"/>
    <x v="7"/>
    <x v="3"/>
    <x v="2"/>
    <n v="4"/>
    <n v="4"/>
    <n v="0"/>
    <n v="4"/>
    <n v="4"/>
    <x v="0"/>
    <n v="4"/>
    <n v="4"/>
    <n v="0"/>
    <n v="0"/>
    <n v="0"/>
    <n v="0"/>
    <n v="4"/>
    <n v="4"/>
    <n v="0"/>
    <n v="4"/>
    <n v="4"/>
    <n v="0"/>
    <n v="4"/>
    <n v="4"/>
    <n v="0"/>
    <n v="3"/>
    <n v="3"/>
    <n v="0"/>
    <n v="4"/>
    <n v="4"/>
    <n v="0"/>
    <n v="0"/>
    <s v="Tidak"/>
    <n v="0"/>
    <s v="Tidak"/>
    <n v="0"/>
    <s v="Tidak"/>
    <s v="Tetanga"/>
    <s v="Teman"/>
    <n v="2"/>
    <n v="3"/>
    <s v="Sudah baik"/>
    <s v="sudah baik/bagus"/>
    <s v="Pelayanan bisa dipercepat lagi"/>
    <s v="mempercepat waktu pelayanan"/>
    <s v="Sudah baik"/>
    <s v="sudah baik/bagus"/>
    <s v=""/>
  </r>
  <r>
    <n v="181"/>
    <s v="M. Rafael"/>
    <x v="0"/>
    <x v="28"/>
    <s v="Tidak"/>
    <s v="Tidak"/>
    <s v="Tidak"/>
    <s v="Tidak"/>
    <x v="1"/>
    <x v="2"/>
    <n v="18"/>
    <x v="3"/>
    <x v="0"/>
    <x v="1"/>
    <n v="3"/>
    <n v="3"/>
    <n v="0"/>
    <n v="3"/>
    <n v="4"/>
    <x v="2"/>
    <n v="2"/>
    <n v="4"/>
    <n v="2"/>
    <n v="3"/>
    <n v="3"/>
    <n v="0"/>
    <n v="3"/>
    <n v="4"/>
    <n v="1"/>
    <n v="3"/>
    <n v="3"/>
    <n v="0"/>
    <n v="3"/>
    <n v="3"/>
    <n v="0"/>
    <n v="4"/>
    <n v="4"/>
    <n v="0"/>
    <n v="4"/>
    <n v="4"/>
    <n v="0"/>
    <n v="4"/>
    <s v="Ya"/>
    <n v="0"/>
    <s v="Tidak"/>
    <n v="0"/>
    <s v="Tidak"/>
    <s v=""/>
    <s v="-"/>
    <n v="0"/>
    <n v="0"/>
    <s v="Sudah baik"/>
    <s v="sudah baik/bagus"/>
    <s v="Komputer untuk ujian teori ditambah supaya waktunya lebih cepat"/>
    <s v="meningkatkan kinerja pelayanan"/>
    <s v="Sudah baik"/>
    <s v="sudah baik/bagus"/>
    <s v=""/>
  </r>
  <r>
    <n v="182"/>
    <s v="Keisya"/>
    <x v="0"/>
    <x v="0"/>
    <s v="Tidak"/>
    <s v="Tidak"/>
    <s v="Tidak"/>
    <s v="Tidak"/>
    <x v="0"/>
    <x v="2"/>
    <n v="18"/>
    <x v="3"/>
    <x v="0"/>
    <x v="3"/>
    <n v="3"/>
    <n v="3"/>
    <n v="0"/>
    <n v="3"/>
    <n v="3"/>
    <x v="0"/>
    <n v="3"/>
    <n v="3"/>
    <n v="0"/>
    <n v="3"/>
    <n v="3"/>
    <n v="0"/>
    <n v="3"/>
    <n v="3"/>
    <n v="0"/>
    <n v="3"/>
    <n v="3"/>
    <n v="0"/>
    <n v="3"/>
    <n v="4"/>
    <n v="1"/>
    <n v="3"/>
    <n v="4"/>
    <n v="1"/>
    <n v="3"/>
    <n v="4"/>
    <n v="1"/>
    <n v="0"/>
    <s v="Tidak"/>
    <n v="0"/>
    <s v="Tidak"/>
    <n v="0"/>
    <s v="Tidak"/>
    <s v="Sodara"/>
    <s v="Keluarga"/>
    <n v="1"/>
    <n v="4"/>
    <s v="Lebih ramah dalam pelayanan"/>
    <s v="lebih ramah lagi"/>
    <s v="Sudah cukup baik"/>
    <s v="sudah baik/bagus"/>
    <s v="Sudah cukup baik"/>
    <s v="sudah baik/bagus"/>
    <s v=""/>
  </r>
  <r>
    <n v="183"/>
    <s v="Herman"/>
    <x v="0"/>
    <x v="0"/>
    <s v="Tidak"/>
    <s v="Tidak"/>
    <s v="Tidak"/>
    <s v="Tidak"/>
    <x v="1"/>
    <x v="1"/>
    <n v="43"/>
    <x v="6"/>
    <x v="0"/>
    <x v="0"/>
    <n v="3"/>
    <n v="4"/>
    <n v="1"/>
    <n v="4"/>
    <n v="4"/>
    <x v="0"/>
    <n v="4"/>
    <n v="4"/>
    <n v="0"/>
    <n v="0"/>
    <n v="0"/>
    <n v="0"/>
    <n v="3"/>
    <n v="3"/>
    <n v="0"/>
    <n v="4"/>
    <n v="4"/>
    <n v="0"/>
    <n v="4"/>
    <n v="3"/>
    <n v="-1"/>
    <n v="4"/>
    <n v="4"/>
    <n v="0"/>
    <n v="4"/>
    <n v="4"/>
    <n v="0"/>
    <n v="0"/>
    <s v="Tidak"/>
    <n v="0"/>
    <s v="Tidak"/>
    <n v="0"/>
    <s v="Tidak"/>
    <s v="Inisiatif sendiri"/>
    <s v="Mengetahui sendiri"/>
    <n v="1"/>
    <n v="4"/>
    <s v="Semakin memperbaiki pelayanan"/>
    <s v="meningkatkan kinerja pelayanan"/>
    <s v="Sudah puas"/>
    <s v="sudah baik/bagus"/>
    <s v="Sudah nyaman"/>
    <s v="sudah baik/bagus"/>
    <s v=""/>
  </r>
  <r>
    <n v="184"/>
    <s v="Rifan Adi Nugroho"/>
    <x v="0"/>
    <x v="13"/>
    <s v="Tidak"/>
    <s v="Tidak"/>
    <s v="Tidak"/>
    <s v="Tidak"/>
    <x v="1"/>
    <x v="3"/>
    <n v="18"/>
    <x v="3"/>
    <x v="3"/>
    <x v="3"/>
    <n v="4"/>
    <n v="4"/>
    <n v="0"/>
    <n v="3"/>
    <n v="3"/>
    <x v="0"/>
    <n v="4"/>
    <n v="4"/>
    <n v="0"/>
    <n v="4"/>
    <n v="4"/>
    <n v="0"/>
    <n v="4"/>
    <n v="4"/>
    <n v="0"/>
    <n v="4"/>
    <n v="4"/>
    <n v="0"/>
    <n v="4"/>
    <n v="4"/>
    <n v="0"/>
    <n v="4"/>
    <n v="4"/>
    <n v="0"/>
    <n v="4"/>
    <n v="4"/>
    <n v="0"/>
    <n v="4"/>
    <s v="Ya"/>
    <n v="0"/>
    <s v="Tidak"/>
    <n v="0"/>
    <s v="Tidak"/>
    <s v=""/>
    <s v="-"/>
    <n v="0"/>
    <n v="0"/>
    <s v="Sudah cukup"/>
    <s v="sudah baik/bagus"/>
    <s v="Sudah cukup"/>
    <s v="sudah baik/bagus"/>
    <s v="Sudah cukup"/>
    <s v="sudah baik/bagus"/>
    <s v=""/>
  </r>
  <r>
    <n v="185"/>
    <s v="Mohammad Harits Rozan M"/>
    <x v="0"/>
    <x v="5"/>
    <s v="Tidak"/>
    <s v="Tidak"/>
    <s v="Tidak"/>
    <s v="Tidak"/>
    <x v="1"/>
    <x v="3"/>
    <n v="18"/>
    <x v="3"/>
    <x v="0"/>
    <x v="1"/>
    <n v="3"/>
    <n v="3"/>
    <n v="0"/>
    <n v="3"/>
    <n v="3"/>
    <x v="0"/>
    <n v="3"/>
    <n v="3"/>
    <n v="0"/>
    <n v="3"/>
    <n v="3"/>
    <n v="0"/>
    <n v="3"/>
    <n v="3"/>
    <n v="0"/>
    <n v="4"/>
    <n v="4"/>
    <n v="0"/>
    <n v="3"/>
    <n v="3"/>
    <n v="0"/>
    <n v="3"/>
    <n v="3"/>
    <n v="0"/>
    <n v="4"/>
    <n v="4"/>
    <n v="0"/>
    <n v="0"/>
    <s v="Tidak"/>
    <n v="3"/>
    <s v="Ya"/>
    <n v="0"/>
    <s v="Tidak"/>
    <s v=""/>
    <s v="-"/>
    <n v="0"/>
    <n v="0"/>
    <s v="Sudah bagus"/>
    <s v="sudah baik/bagus"/>
    <s v="Sudah bagus"/>
    <s v="sudah baik/bagus"/>
    <s v="Sudah bagus"/>
    <s v="sudah baik/bagus"/>
    <s v=""/>
  </r>
  <r>
    <n v="186"/>
    <s v="Guzali"/>
    <x v="0"/>
    <x v="6"/>
    <s v="Tidak"/>
    <s v="Tidak"/>
    <s v="Tidak"/>
    <s v="Tidak"/>
    <x v="1"/>
    <x v="3"/>
    <n v="32"/>
    <x v="2"/>
    <x v="0"/>
    <x v="0"/>
    <n v="3"/>
    <n v="3"/>
    <n v="0"/>
    <n v="2"/>
    <n v="2"/>
    <x v="0"/>
    <n v="2"/>
    <n v="2"/>
    <n v="0"/>
    <n v="2"/>
    <n v="2"/>
    <n v="0"/>
    <n v="3"/>
    <n v="3"/>
    <n v="0"/>
    <n v="2"/>
    <n v="2"/>
    <n v="0"/>
    <n v="3"/>
    <n v="3"/>
    <n v="0"/>
    <n v="3"/>
    <n v="3"/>
    <n v="0"/>
    <n v="3"/>
    <n v="3"/>
    <n v="0"/>
    <n v="3"/>
    <s v="Ya"/>
    <n v="0"/>
    <s v="Tidak"/>
    <n v="0"/>
    <s v="Tidak"/>
    <s v=""/>
    <s v="-"/>
    <n v="0"/>
    <n v="0"/>
    <s v="Harus lebih ramah lagi"/>
    <s v="lebih ramah lagi"/>
    <s v="Harus lebih ditingkatkan dlm hal waktu"/>
    <s v="mempercepat waktu pelayanan"/>
    <s v="Sudah cukup"/>
    <s v="sudah baik/bagus"/>
    <s v=""/>
  </r>
  <r>
    <n v="187"/>
    <s v="Hana"/>
    <x v="0"/>
    <x v="29"/>
    <s v="Tidak"/>
    <s v="Tidak"/>
    <s v="Tidak"/>
    <s v="Tidak"/>
    <x v="0"/>
    <x v="2"/>
    <n v="27"/>
    <x v="1"/>
    <x v="2"/>
    <x v="0"/>
    <n v="3"/>
    <n v="3"/>
    <n v="0"/>
    <n v="3"/>
    <n v="3"/>
    <x v="0"/>
    <n v="3"/>
    <n v="3"/>
    <n v="0"/>
    <n v="3"/>
    <n v="3"/>
    <n v="0"/>
    <n v="3"/>
    <n v="3"/>
    <n v="0"/>
    <n v="3"/>
    <n v="3"/>
    <n v="0"/>
    <n v="3"/>
    <n v="3"/>
    <n v="0"/>
    <n v="3"/>
    <n v="3"/>
    <n v="0"/>
    <n v="3"/>
    <n v="3"/>
    <n v="0"/>
    <n v="0"/>
    <s v="Tidak"/>
    <n v="0"/>
    <s v="Tidak"/>
    <n v="0"/>
    <s v="Tidak"/>
    <s v="Dekat rumah"/>
    <s v="Mengetahui sendiri"/>
    <n v="2"/>
    <n v="3"/>
    <s v="Sudah cukup"/>
    <s v="sudah baik/bagus"/>
    <s v="Sudah cukup"/>
    <s v="sudah baik/bagus"/>
    <s v="Kursi perlu ditambah"/>
    <s v="kursi ditambah atau diperbaiki yang rusak"/>
    <s v=""/>
  </r>
  <r>
    <n v="188"/>
    <s v="Ari Purnomo"/>
    <x v="0"/>
    <x v="13"/>
    <s v="Tidak"/>
    <s v="Tidak"/>
    <s v="Tidak"/>
    <s v="Tidak"/>
    <x v="1"/>
    <x v="2"/>
    <n v="33"/>
    <x v="2"/>
    <x v="0"/>
    <x v="0"/>
    <n v="4"/>
    <n v="4"/>
    <n v="0"/>
    <n v="4"/>
    <n v="4"/>
    <x v="0"/>
    <n v="3"/>
    <n v="3"/>
    <n v="0"/>
    <n v="4"/>
    <n v="4"/>
    <n v="0"/>
    <n v="4"/>
    <n v="4"/>
    <n v="0"/>
    <n v="4"/>
    <n v="4"/>
    <n v="0"/>
    <n v="4"/>
    <n v="4"/>
    <n v="0"/>
    <n v="3"/>
    <n v="3"/>
    <n v="0"/>
    <n v="4"/>
    <n v="4"/>
    <n v="0"/>
    <n v="3"/>
    <s v="Ya"/>
    <n v="0"/>
    <s v="Tidak"/>
    <n v="0"/>
    <s v="Tidak"/>
    <s v=""/>
    <s v="-"/>
    <n v="0"/>
    <n v="0"/>
    <s v="Sudah cukup"/>
    <s v="sudah baik/bagus"/>
    <s v="Sudah cukup"/>
    <s v="sudah baik/bagus"/>
    <s v="Sudah cukup"/>
    <s v="sudah baik/bagus"/>
    <s v=""/>
  </r>
  <r>
    <n v="189"/>
    <s v="Sania"/>
    <x v="0"/>
    <x v="0"/>
    <s v="Tidak"/>
    <s v="Tidak"/>
    <s v="Tidak"/>
    <s v="Tidak"/>
    <x v="0"/>
    <x v="2"/>
    <n v="18"/>
    <x v="3"/>
    <x v="0"/>
    <x v="1"/>
    <n v="3"/>
    <n v="3"/>
    <n v="0"/>
    <n v="4"/>
    <n v="4"/>
    <x v="0"/>
    <n v="3"/>
    <n v="3"/>
    <n v="0"/>
    <n v="4"/>
    <n v="4"/>
    <n v="0"/>
    <n v="4"/>
    <n v="4"/>
    <n v="0"/>
    <n v="4"/>
    <n v="4"/>
    <n v="0"/>
    <n v="4"/>
    <n v="4"/>
    <n v="0"/>
    <n v="4"/>
    <n v="4"/>
    <n v="0"/>
    <n v="4"/>
    <n v="4"/>
    <n v="0"/>
    <n v="0"/>
    <s v="Tidak"/>
    <n v="0"/>
    <s v="Tidak"/>
    <n v="3"/>
    <s v="Tidak"/>
    <s v=""/>
    <s v="-"/>
    <n v="0"/>
    <n v="0"/>
    <s v="Sudah cukup"/>
    <s v="sudah baik/bagus"/>
    <s v="Sudah cukup"/>
    <s v="sudah baik/bagus"/>
    <s v="Sudah cukup"/>
    <s v="sudah baik/bagus"/>
    <s v=""/>
  </r>
  <r>
    <n v="190"/>
    <s v="Adi Yuli Ponco Susilo"/>
    <x v="0"/>
    <x v="4"/>
    <s v="Tidak"/>
    <s v="Tidak"/>
    <s v="Tidak"/>
    <s v="Tidak"/>
    <x v="1"/>
    <x v="2"/>
    <n v="31"/>
    <x v="2"/>
    <x v="0"/>
    <x v="2"/>
    <n v="4"/>
    <n v="3"/>
    <n v="-1"/>
    <n v="3"/>
    <n v="3"/>
    <x v="0"/>
    <n v="4"/>
    <n v="4"/>
    <n v="0"/>
    <n v="3"/>
    <n v="3"/>
    <n v="0"/>
    <n v="3"/>
    <n v="3"/>
    <n v="0"/>
    <n v="4"/>
    <n v="4"/>
    <n v="0"/>
    <n v="4"/>
    <n v="4"/>
    <n v="0"/>
    <n v="3"/>
    <n v="3"/>
    <n v="0"/>
    <n v="4"/>
    <n v="4"/>
    <n v="0"/>
    <n v="4"/>
    <s v="Ya"/>
    <n v="0"/>
    <s v="Tidak"/>
    <n v="0"/>
    <s v="Tidak"/>
    <s v=""/>
    <s v="-"/>
    <n v="0"/>
    <n v="0"/>
    <s v="Sudah cukup"/>
    <s v="sudah baik/bagus"/>
    <s v="Sudah cukup"/>
    <s v="sudah baik/bagus"/>
    <s v="Sudah cukup"/>
    <s v="sudah baik/bagus"/>
    <s v=""/>
  </r>
  <r>
    <n v="191"/>
    <s v="Febriana"/>
    <x v="0"/>
    <x v="1"/>
    <s v="Tidak"/>
    <s v="Tidak"/>
    <s v="Tidak"/>
    <s v="Tidak"/>
    <x v="0"/>
    <x v="3"/>
    <n v="18"/>
    <x v="3"/>
    <x v="0"/>
    <x v="1"/>
    <n v="4"/>
    <n v="3"/>
    <n v="-1"/>
    <n v="3"/>
    <n v="3"/>
    <x v="0"/>
    <n v="3"/>
    <n v="3"/>
    <n v="0"/>
    <n v="3"/>
    <n v="3"/>
    <n v="0"/>
    <n v="3"/>
    <n v="3"/>
    <n v="0"/>
    <n v="3"/>
    <n v="3"/>
    <n v="0"/>
    <n v="4"/>
    <n v="4"/>
    <n v="0"/>
    <n v="3"/>
    <n v="3"/>
    <n v="0"/>
    <n v="4"/>
    <n v="4"/>
    <n v="0"/>
    <n v="0"/>
    <s v="Tidak"/>
    <n v="0"/>
    <s v="Tidak"/>
    <n v="0"/>
    <s v="Tidak"/>
    <s v="Orang tua"/>
    <s v="Keluarga"/>
    <n v="2"/>
    <n v="3"/>
    <s v="Sudah cukup"/>
    <s v="sudah baik/bagus"/>
    <s v="Lebih cepat lagi"/>
    <s v="mempercepat waktu pelayanan"/>
    <s v="Sudah bagus"/>
    <s v="sudah baik/bagus"/>
    <s v=""/>
  </r>
  <r>
    <n v="192"/>
    <s v="Edvan Rizkyanto"/>
    <x v="0"/>
    <x v="16"/>
    <s v="Tidak"/>
    <s v="Tidak"/>
    <s v="Tidak"/>
    <s v="Tidak"/>
    <x v="1"/>
    <x v="2"/>
    <n v="18"/>
    <x v="3"/>
    <x v="0"/>
    <x v="1"/>
    <n v="3"/>
    <n v="3"/>
    <n v="0"/>
    <n v="3"/>
    <n v="3"/>
    <x v="0"/>
    <n v="3"/>
    <n v="3"/>
    <n v="0"/>
    <n v="3"/>
    <n v="3"/>
    <n v="0"/>
    <n v="3"/>
    <n v="3"/>
    <n v="0"/>
    <n v="3"/>
    <n v="3"/>
    <n v="0"/>
    <n v="4"/>
    <n v="4"/>
    <n v="0"/>
    <n v="3"/>
    <n v="3"/>
    <n v="0"/>
    <n v="4"/>
    <n v="4"/>
    <n v="0"/>
    <n v="0"/>
    <s v="Tidak"/>
    <n v="3"/>
    <s v="Ya"/>
    <n v="0"/>
    <s v="Tidak"/>
    <s v=""/>
    <s v="-"/>
    <n v="0"/>
    <n v="0"/>
    <s v="Sudah cukup"/>
    <s v="sudah baik/bagus"/>
    <s v="Cukup cepat"/>
    <s v="proses pelayanan cepat dan mudah"/>
    <s v="Sudah cukup"/>
    <s v="sudah baik/bagus"/>
    <s v=""/>
  </r>
  <r>
    <n v="193"/>
    <s v="Maulana Andana"/>
    <x v="0"/>
    <x v="4"/>
    <s v="Tidak"/>
    <s v="Tidak"/>
    <s v="Tidak"/>
    <s v="Tidak"/>
    <x v="1"/>
    <x v="3"/>
    <n v="19"/>
    <x v="3"/>
    <x v="0"/>
    <x v="1"/>
    <n v="3"/>
    <n v="3"/>
    <n v="0"/>
    <n v="4"/>
    <n v="4"/>
    <x v="0"/>
    <n v="4"/>
    <n v="4"/>
    <n v="0"/>
    <n v="3"/>
    <n v="3"/>
    <n v="0"/>
    <n v="4"/>
    <n v="4"/>
    <n v="0"/>
    <n v="3"/>
    <n v="3"/>
    <n v="0"/>
    <n v="4"/>
    <n v="4"/>
    <n v="0"/>
    <n v="3"/>
    <n v="3"/>
    <n v="0"/>
    <n v="3"/>
    <n v="3"/>
    <n v="0"/>
    <n v="4"/>
    <s v="Ya"/>
    <n v="0"/>
    <s v="Tidak"/>
    <n v="0"/>
    <s v="Tidak"/>
    <s v=""/>
    <s v="-"/>
    <n v="0"/>
    <n v="0"/>
    <s v="Sudah bagus"/>
    <s v="sudah baik/bagus"/>
    <s v="Sudah cepat"/>
    <s v="proses pelayanan cepat dan mudah"/>
    <s v="Sudah nyaman"/>
    <s v="sudah baik/bagus"/>
    <s v=""/>
  </r>
  <r>
    <n v="194"/>
    <s v="Arya Yoga Pratama"/>
    <x v="0"/>
    <x v="0"/>
    <s v="Tidak"/>
    <s v="Tidak"/>
    <s v="Tidak"/>
    <s v="Tidak"/>
    <x v="1"/>
    <x v="2"/>
    <n v="26"/>
    <x v="1"/>
    <x v="0"/>
    <x v="0"/>
    <n v="3"/>
    <n v="3"/>
    <n v="0"/>
    <n v="3"/>
    <n v="3"/>
    <x v="0"/>
    <n v="4"/>
    <n v="4"/>
    <n v="0"/>
    <n v="3"/>
    <n v="3"/>
    <n v="0"/>
    <n v="3"/>
    <n v="3"/>
    <n v="0"/>
    <n v="4"/>
    <n v="4"/>
    <n v="0"/>
    <n v="4"/>
    <n v="4"/>
    <n v="0"/>
    <n v="3"/>
    <n v="3"/>
    <n v="0"/>
    <n v="4"/>
    <n v="4"/>
    <n v="0"/>
    <n v="3"/>
    <s v="Ya"/>
    <n v="0"/>
    <s v="Tidak"/>
    <n v="0"/>
    <s v="Tidak"/>
    <s v=""/>
    <s v="-"/>
    <n v="0"/>
    <n v="0"/>
    <s v="Sudah cukup"/>
    <s v="sudah baik/bagus"/>
    <s v="Sudah cukup"/>
    <s v="sudah baik/bagus"/>
    <s v="Sudah cukup"/>
    <s v="sudah baik/bagus"/>
    <s v=""/>
  </r>
  <r>
    <n v="195"/>
    <s v="Saifudin"/>
    <x v="0"/>
    <x v="30"/>
    <s v="Tidak"/>
    <s v="Tidak"/>
    <s v="Tidak"/>
    <s v="Tidak"/>
    <x v="1"/>
    <x v="3"/>
    <n v="23"/>
    <x v="0"/>
    <x v="1"/>
    <x v="0"/>
    <n v="4"/>
    <n v="4"/>
    <n v="0"/>
    <n v="4"/>
    <n v="4"/>
    <x v="0"/>
    <n v="4"/>
    <n v="4"/>
    <n v="0"/>
    <n v="4"/>
    <n v="4"/>
    <n v="0"/>
    <n v="4"/>
    <n v="4"/>
    <n v="0"/>
    <n v="4"/>
    <n v="4"/>
    <n v="0"/>
    <n v="4"/>
    <n v="4"/>
    <n v="0"/>
    <n v="4"/>
    <n v="4"/>
    <n v="0"/>
    <n v="4"/>
    <n v="4"/>
    <n v="0"/>
    <n v="0"/>
    <s v="Tidak"/>
    <n v="0"/>
    <s v="Tidak"/>
    <n v="4"/>
    <s v="Ya"/>
    <s v=""/>
    <s v="-"/>
    <n v="0"/>
    <n v="0"/>
    <s v="Sudah cukup"/>
    <s v="sudah baik/bagus"/>
    <s v="Sudah cukup"/>
    <s v="sudah baik/bagus"/>
    <s v="Sudah cukup"/>
    <s v="sudah baik/bagus"/>
    <s v=""/>
  </r>
  <r>
    <n v="196"/>
    <s v="Nabila Marsyanda"/>
    <x v="0"/>
    <x v="21"/>
    <s v="Tidak"/>
    <s v="Tidak"/>
    <s v="Tidak"/>
    <s v="Tidak"/>
    <x v="0"/>
    <x v="1"/>
    <n v="19"/>
    <x v="3"/>
    <x v="0"/>
    <x v="1"/>
    <n v="4"/>
    <n v="4"/>
    <n v="0"/>
    <n v="4"/>
    <n v="4"/>
    <x v="0"/>
    <n v="4"/>
    <n v="4"/>
    <n v="0"/>
    <n v="0"/>
    <n v="0"/>
    <n v="0"/>
    <n v="4"/>
    <n v="4"/>
    <n v="0"/>
    <n v="4"/>
    <n v="4"/>
    <n v="0"/>
    <n v="4"/>
    <n v="4"/>
    <n v="0"/>
    <n v="4"/>
    <n v="4"/>
    <n v="0"/>
    <n v="4"/>
    <n v="4"/>
    <n v="0"/>
    <n v="4"/>
    <s v="Ya"/>
    <n v="0"/>
    <s v="Tidak"/>
    <n v="0"/>
    <s v="Tidak"/>
    <s v=""/>
    <s v="-"/>
    <n v="0"/>
    <n v="0"/>
    <s v="Tidak ada sudah baik"/>
    <s v="tidak ada"/>
    <s v="Sudah cukub"/>
    <s v="sudah baik/bagus"/>
    <s v="Sudah bagus"/>
    <s v="sudah baik/bagus"/>
    <s v=""/>
  </r>
  <r>
    <n v="197"/>
    <s v="Sutiyowati"/>
    <x v="0"/>
    <x v="0"/>
    <s v="Tidak"/>
    <s v="Tidak"/>
    <s v="Tidak"/>
    <s v="Tidak"/>
    <x v="0"/>
    <x v="1"/>
    <n v="50"/>
    <x v="7"/>
    <x v="0"/>
    <x v="0"/>
    <n v="3"/>
    <n v="3"/>
    <n v="0"/>
    <n v="3"/>
    <n v="3"/>
    <x v="0"/>
    <n v="3"/>
    <n v="3"/>
    <n v="0"/>
    <n v="0"/>
    <n v="0"/>
    <n v="0"/>
    <n v="4"/>
    <n v="4"/>
    <n v="0"/>
    <n v="3"/>
    <n v="3"/>
    <n v="0"/>
    <n v="3"/>
    <n v="3"/>
    <n v="0"/>
    <n v="3"/>
    <n v="3"/>
    <n v="0"/>
    <n v="4"/>
    <n v="4"/>
    <n v="0"/>
    <n v="0"/>
    <s v="Tidak"/>
    <n v="0"/>
    <s v="Tidak"/>
    <n v="0"/>
    <s v="Tidak"/>
    <s v="Teman"/>
    <s v="Teman"/>
    <n v="1"/>
    <n v="4"/>
    <s v="Kalau bisa semua petugas harus ramah karena kita sebagai orang awam butuh pengarahan"/>
    <s v="lebih ramah lagi"/>
    <s v="Sudah cukup"/>
    <s v="sudah baik/bagus"/>
    <s v="Sudah bagus"/>
    <s v="sudah baik/bagus"/>
    <s v=""/>
  </r>
  <r>
    <n v="198"/>
    <s v="Slamet Wardoyo"/>
    <x v="0"/>
    <x v="10"/>
    <s v="Tidak"/>
    <s v="Tidak"/>
    <s v="Tidak"/>
    <s v="Tidak"/>
    <x v="1"/>
    <x v="1"/>
    <n v="60"/>
    <x v="5"/>
    <x v="1"/>
    <x v="8"/>
    <n v="4"/>
    <n v="4"/>
    <n v="0"/>
    <n v="4"/>
    <n v="4"/>
    <x v="0"/>
    <n v="4"/>
    <n v="4"/>
    <n v="0"/>
    <n v="0"/>
    <n v="0"/>
    <n v="0"/>
    <n v="4"/>
    <n v="4"/>
    <n v="0"/>
    <n v="4"/>
    <n v="4"/>
    <n v="0"/>
    <n v="4"/>
    <n v="4"/>
    <n v="0"/>
    <n v="4"/>
    <n v="4"/>
    <n v="0"/>
    <n v="4"/>
    <n v="4"/>
    <n v="0"/>
    <n v="0"/>
    <s v="Tidak"/>
    <n v="4"/>
    <s v="Ya"/>
    <n v="0"/>
    <s v="Tidak"/>
    <s v=""/>
    <s v="-"/>
    <n v="0"/>
    <n v="0"/>
    <s v="Sudah cukup"/>
    <s v="sudah baik/bagus"/>
    <s v="Tidak ada saran karena sudah baik"/>
    <s v="sudah baik/bagus"/>
    <s v="Sudah baik"/>
    <s v="sudah baik/bagus"/>
    <s v=""/>
  </r>
  <r>
    <n v="199"/>
    <s v="Rafa Naura A"/>
    <x v="0"/>
    <x v="0"/>
    <s v="Tidak"/>
    <s v="Tidak"/>
    <s v="Tidak"/>
    <s v="Tidak"/>
    <x v="0"/>
    <x v="1"/>
    <n v="19"/>
    <x v="3"/>
    <x v="0"/>
    <x v="2"/>
    <n v="3"/>
    <n v="3"/>
    <n v="0"/>
    <n v="4"/>
    <n v="4"/>
    <x v="0"/>
    <n v="4"/>
    <n v="4"/>
    <n v="0"/>
    <n v="0"/>
    <n v="0"/>
    <n v="0"/>
    <n v="4"/>
    <n v="4"/>
    <n v="0"/>
    <n v="3"/>
    <n v="3"/>
    <n v="0"/>
    <n v="3"/>
    <n v="3"/>
    <n v="0"/>
    <n v="3"/>
    <n v="3"/>
    <n v="0"/>
    <n v="3"/>
    <n v="3"/>
    <n v="0"/>
    <n v="0"/>
    <s v="Ya"/>
    <n v="4"/>
    <s v="Ya"/>
    <n v="0"/>
    <s v="Ya"/>
    <s v=""/>
    <s v="-"/>
    <n v="0"/>
    <n v="0"/>
    <s v="Sudah cukup"/>
    <s v="sudah baik/bagus"/>
    <s v="Sudah cukup"/>
    <s v="sudah baik/bagus"/>
    <s v="Sudah cukup"/>
    <s v="sudah baik/bagus"/>
    <s v=""/>
  </r>
  <r>
    <n v="200"/>
    <s v="Ima"/>
    <x v="0"/>
    <x v="1"/>
    <s v="Tidak"/>
    <s v="Tidak"/>
    <s v="Tidak"/>
    <s v="Tidak"/>
    <x v="0"/>
    <x v="3"/>
    <n v="30"/>
    <x v="1"/>
    <x v="4"/>
    <x v="4"/>
    <n v="3"/>
    <n v="3"/>
    <n v="0"/>
    <n v="3"/>
    <n v="3"/>
    <x v="0"/>
    <n v="3"/>
    <n v="3"/>
    <n v="0"/>
    <n v="3"/>
    <n v="3"/>
    <n v="0"/>
    <n v="3"/>
    <n v="3"/>
    <n v="0"/>
    <n v="3"/>
    <n v="3"/>
    <n v="0"/>
    <n v="4"/>
    <n v="4"/>
    <n v="0"/>
    <n v="2"/>
    <n v="3"/>
    <n v="1"/>
    <n v="4"/>
    <n v="4"/>
    <n v="0"/>
    <n v="4"/>
    <s v="Tidak"/>
    <n v="0"/>
    <s v="Tidak"/>
    <n v="0"/>
    <s v="Tidak"/>
    <s v=""/>
    <s v="-"/>
    <n v="0"/>
    <n v="0"/>
    <s v="Lebih ditingkatkan dan lebih jujur lagi"/>
    <s v="meningkatkan kinerja pelayanan"/>
    <s v="Lebih dipermudah dan cepat lagi"/>
    <s v="mempercepat waktu pelayanan"/>
    <s v="Cukup"/>
    <s v="sudah baik/bagus"/>
    <s v=""/>
  </r>
  <r>
    <n v="201"/>
    <s v="Muhammad Yugik"/>
    <x v="0"/>
    <x v="20"/>
    <s v="Tidak"/>
    <s v="Tidak"/>
    <s v="Tidak"/>
    <s v="Tidak"/>
    <x v="1"/>
    <x v="2"/>
    <n v="33"/>
    <x v="2"/>
    <x v="0"/>
    <x v="0"/>
    <n v="4"/>
    <n v="4"/>
    <n v="0"/>
    <n v="3"/>
    <n v="3"/>
    <x v="0"/>
    <n v="4"/>
    <n v="4"/>
    <n v="0"/>
    <n v="3"/>
    <n v="3"/>
    <n v="0"/>
    <n v="4"/>
    <n v="4"/>
    <n v="0"/>
    <n v="4"/>
    <n v="4"/>
    <n v="0"/>
    <n v="4"/>
    <n v="4"/>
    <n v="0"/>
    <n v="4"/>
    <n v="4"/>
    <n v="0"/>
    <n v="4"/>
    <n v="4"/>
    <n v="0"/>
    <n v="0"/>
    <s v="Tidak"/>
    <n v="0"/>
    <s v="Tidak"/>
    <n v="0"/>
    <s v="Tidak"/>
    <s v="Istri"/>
    <s v="Keluarga"/>
    <n v="1"/>
    <n v="4"/>
    <s v="Lebih dipersiapkan lagi di tes kesehatan bagian no antrian agar urut nomernya"/>
    <s v="perbaiki sistem antrian"/>
    <s v="Perhatikan sesuai noner antrian agar lebih tertib"/>
    <s v="meningkatkan kinerja pelayanan"/>
    <s v="Sudah cukup"/>
    <s v="sudah baik/bagus"/>
    <s v=""/>
  </r>
  <r>
    <n v="202"/>
    <s v="Alfafa Firdaus E.P"/>
    <x v="0"/>
    <x v="13"/>
    <s v="Tidak"/>
    <s v="Tidak"/>
    <s v="Tidak"/>
    <s v="Tidak"/>
    <x v="1"/>
    <x v="3"/>
    <n v="19"/>
    <x v="3"/>
    <x v="0"/>
    <x v="1"/>
    <n v="3"/>
    <n v="3"/>
    <n v="0"/>
    <n v="4"/>
    <n v="4"/>
    <x v="0"/>
    <n v="3"/>
    <n v="3"/>
    <n v="0"/>
    <n v="4"/>
    <n v="4"/>
    <n v="0"/>
    <n v="4"/>
    <n v="4"/>
    <n v="0"/>
    <n v="3"/>
    <n v="4"/>
    <n v="1"/>
    <n v="4"/>
    <n v="4"/>
    <n v="0"/>
    <n v="3"/>
    <n v="3"/>
    <n v="0"/>
    <n v="4"/>
    <n v="4"/>
    <n v="0"/>
    <n v="0"/>
    <s v="Tidak"/>
    <n v="0"/>
    <s v="Tidak"/>
    <n v="0"/>
    <s v="Tidak"/>
    <s v="Orang tua"/>
    <s v="Keluarga"/>
    <n v="1"/>
    <n v="4"/>
    <s v="Kurang petunjuk atau pengarahan setelah proses satu ke selanjutnya"/>
    <s v="memberi alur pelayanan"/>
    <s v="Sudah cukup"/>
    <s v="sudah baik/bagus"/>
    <s v="Kurangnya ruang tunggu dan perlu di tambah kursinya"/>
    <s v="kursi ditambah atau diperbaiki yang rusak"/>
    <s v=""/>
  </r>
  <r>
    <n v="203"/>
    <s v="Agung Dwi"/>
    <x v="0"/>
    <x v="2"/>
    <s v="Tidak"/>
    <s v="Tidak"/>
    <s v="Tidak"/>
    <s v="Tidak"/>
    <x v="1"/>
    <x v="2"/>
    <n v="26"/>
    <x v="1"/>
    <x v="0"/>
    <x v="0"/>
    <n v="4"/>
    <n v="4"/>
    <n v="0"/>
    <n v="4"/>
    <n v="4"/>
    <x v="0"/>
    <n v="3"/>
    <n v="3"/>
    <n v="0"/>
    <n v="4"/>
    <n v="4"/>
    <n v="0"/>
    <n v="4"/>
    <n v="4"/>
    <n v="0"/>
    <n v="4"/>
    <n v="4"/>
    <n v="0"/>
    <n v="4"/>
    <n v="4"/>
    <n v="0"/>
    <n v="3"/>
    <n v="3"/>
    <n v="0"/>
    <n v="4"/>
    <n v="4"/>
    <n v="0"/>
    <n v="0"/>
    <s v="Tidak"/>
    <n v="0"/>
    <s v="Tidak"/>
    <n v="0"/>
    <s v="Tidak"/>
    <s v="Suadara"/>
    <s v="Keluarga"/>
    <n v="2"/>
    <n v="3"/>
    <s v="Sudah Cukup"/>
    <s v="sudah baik/bagus"/>
    <s v="Sudah Cukup"/>
    <s v="sudah baik/bagus"/>
    <s v="Sudah Cukup"/>
    <s v="sudah baik/bagus"/>
    <s v=""/>
  </r>
  <r>
    <n v="204"/>
    <s v="Nur Roidotul s."/>
    <x v="0"/>
    <x v="5"/>
    <s v="Tidak"/>
    <s v="Tidak"/>
    <s v="Tidak"/>
    <s v="Tidak"/>
    <x v="1"/>
    <x v="3"/>
    <n v="19"/>
    <x v="3"/>
    <x v="0"/>
    <x v="1"/>
    <n v="4"/>
    <n v="4"/>
    <n v="0"/>
    <n v="4"/>
    <n v="4"/>
    <x v="0"/>
    <n v="3"/>
    <n v="3"/>
    <n v="0"/>
    <n v="4"/>
    <n v="4"/>
    <n v="0"/>
    <n v="4"/>
    <n v="4"/>
    <n v="0"/>
    <n v="4"/>
    <n v="4"/>
    <n v="0"/>
    <n v="4"/>
    <n v="4"/>
    <n v="0"/>
    <n v="4"/>
    <n v="4"/>
    <n v="0"/>
    <n v="3"/>
    <n v="3"/>
    <n v="0"/>
    <n v="0"/>
    <s v="Ya"/>
    <n v="0"/>
    <s v="Tidak"/>
    <n v="0"/>
    <s v="Tidak"/>
    <s v="Orang Tua"/>
    <s v="Keluarga"/>
    <n v="2"/>
    <n v="3"/>
    <s v="Sudah Cukup"/>
    <s v="sudah baik/bagus"/>
    <s v="Seharusnya ada estimasi waktu dan kalau bisa lebih sat set"/>
    <s v="meningkatkan kinerja pelayanan"/>
    <s v="Sudah baik"/>
    <s v="sudah baik/bagus"/>
    <s v=""/>
  </r>
  <r>
    <n v="205"/>
    <s v="Nadien Aulia R"/>
    <x v="0"/>
    <x v="31"/>
    <s v="Tidak"/>
    <s v="Tidak"/>
    <s v="Tidak"/>
    <s v="Tidak"/>
    <x v="0"/>
    <x v="3"/>
    <n v="18"/>
    <x v="3"/>
    <x v="0"/>
    <x v="1"/>
    <n v="3"/>
    <n v="4"/>
    <n v="1"/>
    <n v="4"/>
    <n v="3"/>
    <x v="1"/>
    <n v="4"/>
    <n v="3"/>
    <n v="-1"/>
    <n v="3"/>
    <n v="3"/>
    <n v="0"/>
    <n v="4"/>
    <n v="4"/>
    <n v="0"/>
    <n v="4"/>
    <n v="4"/>
    <n v="0"/>
    <n v="4"/>
    <n v="4"/>
    <n v="0"/>
    <n v="4"/>
    <n v="4"/>
    <n v="0"/>
    <n v="3"/>
    <n v="3"/>
    <n v="0"/>
    <n v="0"/>
    <s v="Tidak"/>
    <n v="0"/>
    <s v="Tidak"/>
    <n v="0"/>
    <s v="Tidak"/>
    <s v="Orang Tua"/>
    <s v="Keluarga"/>
    <n v="2"/>
    <n v="3"/>
    <s v="Cukup"/>
    <s v="sudah baik/bagus"/>
    <s v="Cukup"/>
    <s v="sudah baik/bagus"/>
    <s v="Cukup"/>
    <s v="sudah baik/bagus"/>
    <s v=""/>
  </r>
  <r>
    <n v="206"/>
    <s v="M. Syaikul F"/>
    <x v="0"/>
    <x v="2"/>
    <s v="Tidak"/>
    <s v="Tidak"/>
    <s v="Tidak"/>
    <s v="Tidak"/>
    <x v="1"/>
    <x v="3"/>
    <n v="22"/>
    <x v="0"/>
    <x v="0"/>
    <x v="0"/>
    <n v="3"/>
    <n v="4"/>
    <n v="1"/>
    <n v="4"/>
    <n v="4"/>
    <x v="0"/>
    <n v="3"/>
    <n v="3"/>
    <n v="0"/>
    <n v="3"/>
    <n v="3"/>
    <n v="0"/>
    <n v="4"/>
    <n v="4"/>
    <n v="0"/>
    <n v="4"/>
    <n v="4"/>
    <n v="0"/>
    <n v="4"/>
    <n v="4"/>
    <n v="0"/>
    <n v="4"/>
    <n v="4"/>
    <n v="0"/>
    <n v="4"/>
    <n v="4"/>
    <n v="0"/>
    <n v="4"/>
    <s v="Tidak"/>
    <n v="3"/>
    <s v="Tidak"/>
    <n v="0"/>
    <s v="Tidak"/>
    <s v=""/>
    <s v="-"/>
    <n v="0"/>
    <n v="0"/>
    <s v="Cukup"/>
    <s v="sudah baik/bagus"/>
    <s v="Kalau bisa di percepat lagi"/>
    <s v="mempercepat waktu pelayanan"/>
    <s v="Sudah baik"/>
    <s v="sudah baik/bagus"/>
    <s v=""/>
  </r>
  <r>
    <n v="207"/>
    <s v="Maynanda Syafa S."/>
    <x v="10"/>
    <x v="0"/>
    <s v="Tidak"/>
    <s v="Tidak"/>
    <s v="Tidak"/>
    <s v="Tidak"/>
    <x v="0"/>
    <x v="2"/>
    <n v="23"/>
    <x v="0"/>
    <x v="1"/>
    <x v="3"/>
    <n v="3"/>
    <n v="3"/>
    <n v="0"/>
    <n v="3"/>
    <n v="4"/>
    <x v="2"/>
    <n v="3"/>
    <n v="3"/>
    <n v="0"/>
    <n v="3"/>
    <n v="3"/>
    <n v="0"/>
    <n v="3"/>
    <n v="3"/>
    <n v="0"/>
    <n v="4"/>
    <n v="3"/>
    <n v="-1"/>
    <n v="4"/>
    <n v="4"/>
    <n v="0"/>
    <n v="3"/>
    <n v="3"/>
    <n v="0"/>
    <n v="4"/>
    <n v="4"/>
    <n v="0"/>
    <n v="3"/>
    <s v="Tidak"/>
    <n v="0"/>
    <s v="Tidak"/>
    <n v="0"/>
    <s v="Tidak"/>
    <s v=""/>
    <s v="-"/>
    <n v="0"/>
    <n v="0"/>
    <s v="Sudah baik"/>
    <s v="sudah baik/bagus"/>
    <s v="Sudah Cepat"/>
    <s v="proses pelayanan cepat dan mudah"/>
    <s v="Sudah baik"/>
    <s v="sudah baik/bagus"/>
    <s v=""/>
  </r>
  <r>
    <n v="208"/>
    <s v="Fitri murfatin"/>
    <x v="0"/>
    <x v="1"/>
    <s v="Tidak"/>
    <s v="Tidak"/>
    <s v="Tidak"/>
    <s v="Tidak"/>
    <x v="0"/>
    <x v="1"/>
    <n v="33"/>
    <x v="2"/>
    <x v="4"/>
    <x v="4"/>
    <n v="4"/>
    <n v="4"/>
    <n v="0"/>
    <n v="4"/>
    <n v="4"/>
    <x v="0"/>
    <n v="4"/>
    <n v="4"/>
    <n v="0"/>
    <n v="0"/>
    <n v="0"/>
    <n v="0"/>
    <n v="4"/>
    <n v="4"/>
    <n v="0"/>
    <n v="4"/>
    <n v="4"/>
    <n v="0"/>
    <n v="4"/>
    <n v="4"/>
    <n v="0"/>
    <n v="4"/>
    <n v="4"/>
    <n v="0"/>
    <n v="4"/>
    <n v="4"/>
    <n v="0"/>
    <n v="0"/>
    <s v="Tidak"/>
    <n v="0"/>
    <s v="Ya"/>
    <n v="0"/>
    <s v="Tidak"/>
    <s v="petugas Bank"/>
    <s v="Pegawai/Karyawan Swasta"/>
    <n v="1"/>
    <n v="4"/>
    <s v="Baik"/>
    <s v="sudah baik/bagus"/>
    <s v="cukup"/>
    <s v="sudah baik/bagus"/>
    <s v="cukup"/>
    <s v="sudah baik/bagus"/>
    <s v=""/>
  </r>
  <r>
    <n v="209"/>
    <s v="Maulana"/>
    <x v="0"/>
    <x v="2"/>
    <s v="Tidak"/>
    <s v="Tidak"/>
    <s v="Tidak"/>
    <s v="Tidak"/>
    <x v="1"/>
    <x v="2"/>
    <n v="23"/>
    <x v="0"/>
    <x v="0"/>
    <x v="0"/>
    <n v="3"/>
    <n v="3"/>
    <n v="0"/>
    <n v="3"/>
    <n v="3"/>
    <x v="0"/>
    <n v="3"/>
    <n v="3"/>
    <n v="0"/>
    <n v="3"/>
    <n v="3"/>
    <n v="0"/>
    <n v="3"/>
    <n v="3"/>
    <n v="0"/>
    <n v="3"/>
    <n v="3"/>
    <n v="0"/>
    <n v="3"/>
    <n v="3"/>
    <n v="0"/>
    <n v="3"/>
    <n v="3"/>
    <n v="0"/>
    <n v="3"/>
    <n v="3"/>
    <n v="0"/>
    <n v="4"/>
    <s v="Tidak"/>
    <n v="0"/>
    <s v="Tidak"/>
    <n v="0"/>
    <s v="Tidak"/>
    <s v=""/>
    <s v="-"/>
    <n v="0"/>
    <n v="0"/>
    <s v="Sudah cukup"/>
    <s v="sudah baik/bagus"/>
    <s v="Sudah cepat"/>
    <s v="proses pelayanan cepat dan mudah"/>
    <s v="Sudah baik"/>
    <s v="sudah baik/bagus"/>
    <s v=""/>
  </r>
  <r>
    <n v="210"/>
    <s v="Saruli"/>
    <x v="0"/>
    <x v="0"/>
    <s v="Tidak"/>
    <s v="Tidak"/>
    <s v="Tidak"/>
    <s v="Tidak"/>
    <x v="0"/>
    <x v="1"/>
    <n v="45"/>
    <x v="6"/>
    <x v="3"/>
    <x v="7"/>
    <n v="4"/>
    <n v="4"/>
    <n v="0"/>
    <n v="4"/>
    <n v="4"/>
    <x v="0"/>
    <n v="4"/>
    <n v="4"/>
    <n v="0"/>
    <n v="0"/>
    <n v="0"/>
    <n v="0"/>
    <n v="4"/>
    <n v="4"/>
    <n v="0"/>
    <n v="4"/>
    <n v="4"/>
    <n v="0"/>
    <n v="4"/>
    <n v="4"/>
    <n v="0"/>
    <n v="4"/>
    <n v="4"/>
    <n v="0"/>
    <n v="4"/>
    <n v="4"/>
    <n v="0"/>
    <n v="0"/>
    <s v="Tidak"/>
    <n v="0"/>
    <s v="Tidak"/>
    <n v="0"/>
    <s v="Tidak"/>
    <s v="Teman"/>
    <s v="Teman"/>
    <n v="1"/>
    <n v="4"/>
    <s v="cukup"/>
    <s v="sudah baik/bagus"/>
    <s v="cukup"/>
    <s v="sudah baik/bagus"/>
    <s v="cukup"/>
    <s v="sudah baik/bagus"/>
    <s v=""/>
  </r>
  <r>
    <n v="211"/>
    <s v="Ahmad ali sani"/>
    <x v="0"/>
    <x v="1"/>
    <s v="Tidak"/>
    <s v="Tidak"/>
    <s v="Tidak"/>
    <s v="Tidak"/>
    <x v="1"/>
    <x v="1"/>
    <n v="29"/>
    <x v="1"/>
    <x v="1"/>
    <x v="2"/>
    <n v="4"/>
    <n v="4"/>
    <n v="0"/>
    <n v="4"/>
    <n v="4"/>
    <x v="0"/>
    <n v="4"/>
    <n v="4"/>
    <n v="0"/>
    <n v="0"/>
    <n v="0"/>
    <n v="0"/>
    <n v="4"/>
    <n v="4"/>
    <n v="0"/>
    <n v="4"/>
    <n v="4"/>
    <n v="0"/>
    <n v="4"/>
    <n v="4"/>
    <n v="0"/>
    <n v="4"/>
    <n v="4"/>
    <n v="0"/>
    <n v="4"/>
    <n v="4"/>
    <n v="0"/>
    <n v="0"/>
    <s v="Tidak"/>
    <n v="0"/>
    <s v="Tidak"/>
    <n v="0"/>
    <s v="Tidak"/>
    <s v="Pegawai bank"/>
    <s v="Pegawai/Karyawan Swasta"/>
    <n v="1"/>
    <n v="4"/>
    <s v="cukup"/>
    <s v="sudah baik/bagus"/>
    <s v="cukup"/>
    <s v="sudah baik/bagus"/>
    <s v="bagus"/>
    <s v="sudah baik/bagus"/>
    <s v=""/>
  </r>
  <r>
    <n v="212"/>
    <s v="Maya"/>
    <x v="2"/>
    <x v="32"/>
    <s v="Tidak"/>
    <s v="Tidak"/>
    <s v="Tidak"/>
    <s v="Tidak"/>
    <x v="0"/>
    <x v="2"/>
    <n v="20"/>
    <x v="3"/>
    <x v="0"/>
    <x v="1"/>
    <n v="4"/>
    <n v="4"/>
    <n v="0"/>
    <n v="3"/>
    <n v="4"/>
    <x v="2"/>
    <n v="3"/>
    <n v="4"/>
    <n v="1"/>
    <n v="4"/>
    <n v="4"/>
    <n v="0"/>
    <n v="4"/>
    <n v="4"/>
    <n v="0"/>
    <n v="4"/>
    <n v="4"/>
    <n v="0"/>
    <n v="4"/>
    <n v="4"/>
    <n v="0"/>
    <n v="4"/>
    <n v="4"/>
    <n v="0"/>
    <n v="4"/>
    <n v="4"/>
    <n v="0"/>
    <n v="0"/>
    <s v="Tidak"/>
    <n v="0"/>
    <s v="Tidak"/>
    <n v="0"/>
    <s v="Tidak"/>
    <s v="Orang tua"/>
    <s v="Keluarga"/>
    <n v="1"/>
    <n v="4"/>
    <s v="Lebih ramah lagi"/>
    <s v="lebih ramah lagi"/>
    <s v="-"/>
    <s v="tidak ada"/>
    <s v="-"/>
    <s v="tidak ada"/>
    <s v=""/>
  </r>
  <r>
    <n v="213"/>
    <s v="Fara tanwirotul Amalia"/>
    <x v="0"/>
    <x v="0"/>
    <s v="Tidak"/>
    <s v="Tidak"/>
    <s v="Tidak"/>
    <s v="Tidak"/>
    <x v="0"/>
    <x v="1"/>
    <n v="30"/>
    <x v="1"/>
    <x v="0"/>
    <x v="2"/>
    <n v="4"/>
    <n v="4"/>
    <n v="0"/>
    <n v="4"/>
    <n v="4"/>
    <x v="0"/>
    <n v="4"/>
    <n v="4"/>
    <n v="0"/>
    <n v="0"/>
    <n v="0"/>
    <n v="0"/>
    <n v="4"/>
    <n v="4"/>
    <n v="0"/>
    <n v="4"/>
    <n v="4"/>
    <n v="0"/>
    <n v="4"/>
    <n v="4"/>
    <n v="0"/>
    <n v="4"/>
    <n v="4"/>
    <n v="0"/>
    <n v="3"/>
    <n v="4"/>
    <n v="1"/>
    <n v="0"/>
    <s v="Tidak"/>
    <n v="0"/>
    <s v="Tidak"/>
    <n v="4"/>
    <s v="Ya"/>
    <s v=""/>
    <s v="-"/>
    <n v="0"/>
    <n v="0"/>
    <s v="cukup"/>
    <s v="sudah baik/bagus"/>
    <s v="cukup"/>
    <s v="sudah baik/bagus"/>
    <s v="ruangan di perbesar"/>
    <s v="ruangan lebih memadai dan nyaman"/>
    <s v=""/>
  </r>
  <r>
    <n v="214"/>
    <s v="Kadianto harun"/>
    <x v="0"/>
    <x v="0"/>
    <s v="Tidak"/>
    <s v="Tidak"/>
    <s v="Tidak"/>
    <s v="Tidak"/>
    <x v="1"/>
    <x v="1"/>
    <n v="30"/>
    <x v="1"/>
    <x v="0"/>
    <x v="0"/>
    <n v="4"/>
    <n v="4"/>
    <n v="0"/>
    <n v="3"/>
    <n v="4"/>
    <x v="2"/>
    <n v="3"/>
    <n v="4"/>
    <n v="1"/>
    <n v="0"/>
    <n v="0"/>
    <n v="0"/>
    <n v="4"/>
    <n v="4"/>
    <n v="0"/>
    <n v="4"/>
    <n v="4"/>
    <n v="0"/>
    <n v="4"/>
    <n v="4"/>
    <n v="0"/>
    <n v="4"/>
    <n v="4"/>
    <n v="0"/>
    <n v="3"/>
    <n v="3"/>
    <n v="0"/>
    <n v="0"/>
    <s v="Tidak"/>
    <n v="0"/>
    <s v="Tidak"/>
    <n v="0"/>
    <s v="Tidak"/>
    <s v="Pegawai bank"/>
    <s v="Pegawai/Karyawan Swasta"/>
    <n v="1"/>
    <n v="4"/>
    <s v="cukup"/>
    <s v="sudah baik/bagus"/>
    <s v="cukup"/>
    <s v="sudah baik/bagus"/>
    <s v="Ruangan di perluas"/>
    <s v="ruangan lebih memadai dan nyaman"/>
    <s v=""/>
  </r>
  <r>
    <n v="215"/>
    <s v="M nur rokim"/>
    <x v="0"/>
    <x v="17"/>
    <s v="Tidak"/>
    <s v="Tidak"/>
    <s v="Tidak"/>
    <s v="Tidak"/>
    <x v="1"/>
    <x v="1"/>
    <n v="30"/>
    <x v="1"/>
    <x v="1"/>
    <x v="0"/>
    <n v="4"/>
    <n v="4"/>
    <n v="0"/>
    <n v="4"/>
    <n v="4"/>
    <x v="0"/>
    <n v="4"/>
    <n v="4"/>
    <n v="0"/>
    <n v="0"/>
    <n v="0"/>
    <n v="0"/>
    <n v="4"/>
    <n v="4"/>
    <n v="0"/>
    <n v="4"/>
    <n v="4"/>
    <n v="0"/>
    <n v="4"/>
    <n v="4"/>
    <n v="0"/>
    <n v="4"/>
    <n v="4"/>
    <n v="0"/>
    <n v="4"/>
    <n v="4"/>
    <n v="0"/>
    <n v="0"/>
    <s v="Tidak"/>
    <n v="0"/>
    <s v="Tidak"/>
    <n v="0"/>
    <s v="Tidak"/>
    <s v="Pegawai bank"/>
    <s v="Pegawai/Karyawan Swasta"/>
    <n v="1"/>
    <n v="4"/>
    <s v="cukup"/>
    <s v="sudah baik/bagus"/>
    <s v="cukup"/>
    <s v="sudah baik/bagus"/>
    <s v="nyaman"/>
    <s v="sudah baik/bagus"/>
    <s v=""/>
  </r>
  <r>
    <n v="216"/>
    <s v="Kuswanto"/>
    <x v="0"/>
    <x v="0"/>
    <s v="Tidak"/>
    <s v="Tidak"/>
    <s v="Tidak"/>
    <s v="Tidak"/>
    <x v="1"/>
    <x v="1"/>
    <n v="41"/>
    <x v="6"/>
    <x v="3"/>
    <x v="0"/>
    <n v="4"/>
    <n v="4"/>
    <n v="0"/>
    <n v="4"/>
    <n v="4"/>
    <x v="0"/>
    <n v="4"/>
    <n v="4"/>
    <n v="0"/>
    <n v="0"/>
    <n v="0"/>
    <n v="0"/>
    <n v="4"/>
    <n v="4"/>
    <n v="0"/>
    <n v="4"/>
    <n v="4"/>
    <n v="0"/>
    <n v="4"/>
    <n v="4"/>
    <n v="0"/>
    <n v="4"/>
    <n v="4"/>
    <n v="0"/>
    <n v="4"/>
    <n v="4"/>
    <n v="0"/>
    <n v="0"/>
    <s v="Tidak"/>
    <n v="0"/>
    <s v="Tidak"/>
    <n v="0"/>
    <s v="Tidak"/>
    <s v="Pegawai bank"/>
    <s v="Pegawai/Karyawan Swasta"/>
    <n v="1"/>
    <n v="4"/>
    <s v="cukup"/>
    <s v="sudah baik/bagus"/>
    <s v="cukup"/>
    <s v="sudah baik/bagus"/>
    <s v="cukup"/>
    <s v="sudah baik/bagus"/>
    <s v=""/>
  </r>
  <r>
    <n v="217"/>
    <s v="Belinda"/>
    <x v="0"/>
    <x v="0"/>
    <s v="Tidak"/>
    <s v="Tidak"/>
    <s v="Tidak"/>
    <s v="Tidak"/>
    <x v="0"/>
    <x v="2"/>
    <n v="24"/>
    <x v="0"/>
    <x v="1"/>
    <x v="2"/>
    <n v="4"/>
    <n v="4"/>
    <n v="0"/>
    <n v="3"/>
    <n v="3"/>
    <x v="0"/>
    <n v="4"/>
    <n v="4"/>
    <n v="0"/>
    <n v="4"/>
    <n v="4"/>
    <n v="0"/>
    <n v="4"/>
    <n v="4"/>
    <n v="0"/>
    <n v="4"/>
    <n v="4"/>
    <n v="0"/>
    <n v="4"/>
    <n v="4"/>
    <n v="0"/>
    <n v="4"/>
    <n v="4"/>
    <n v="0"/>
    <n v="3"/>
    <n v="3"/>
    <n v="0"/>
    <n v="0"/>
    <s v="Tidak"/>
    <n v="0"/>
    <s v="Tidak"/>
    <n v="0"/>
    <s v="Tidak"/>
    <s v="Orang Tua"/>
    <s v="Keluarga"/>
    <n v="2"/>
    <n v="3"/>
    <s v="Tidak ada"/>
    <s v="tidak ada"/>
    <s v="Tidak ada"/>
    <s v="tidak ada"/>
    <s v="Ujian praktek sim a tenda keci, kalau bisa tempat tenda agak besar agar tidak kehujanan"/>
    <s v="ruangan lebih memadai dan nyaman"/>
    <s v=""/>
  </r>
  <r>
    <n v="218"/>
    <s v="M Ramadhani Pratama"/>
    <x v="0"/>
    <x v="1"/>
    <s v="Tidak"/>
    <s v="Tidak"/>
    <s v="Tidak"/>
    <s v="Tidak"/>
    <x v="1"/>
    <x v="2"/>
    <n v="18"/>
    <x v="3"/>
    <x v="0"/>
    <x v="1"/>
    <n v="3"/>
    <n v="3"/>
    <n v="0"/>
    <n v="3"/>
    <n v="3"/>
    <x v="0"/>
    <n v="3"/>
    <n v="3"/>
    <n v="0"/>
    <n v="3"/>
    <n v="3"/>
    <n v="0"/>
    <n v="3"/>
    <n v="3"/>
    <n v="0"/>
    <n v="3"/>
    <n v="3"/>
    <n v="0"/>
    <n v="3"/>
    <n v="3"/>
    <n v="0"/>
    <n v="3"/>
    <n v="3"/>
    <n v="0"/>
    <n v="3"/>
    <n v="3"/>
    <n v="0"/>
    <n v="0"/>
    <s v="Tidak"/>
    <n v="0"/>
    <s v="Tidak"/>
    <n v="0"/>
    <s v="Tidak"/>
    <s v="Orang Tua"/>
    <s v="Keluarga"/>
    <n v="2"/>
    <n v="3"/>
    <s v="Lebih Responship"/>
    <s v="lebih responsif untuk pelayanannya"/>
    <s v="Cukup ramah perlu ditingkatkan"/>
    <s v="meningkatkan kinerja pelayanan"/>
    <s v="Lebih banyak di kasih kursi"/>
    <s v="kursi ditambah atau diperbaiki yang rusak"/>
    <s v="Untuk polresta sidoarjo semoga lebih maju"/>
  </r>
  <r>
    <n v="219"/>
    <s v="Zakia"/>
    <x v="0"/>
    <x v="3"/>
    <s v="Tidak"/>
    <s v="Tidak"/>
    <s v="Tidak"/>
    <s v="Tidak"/>
    <x v="0"/>
    <x v="2"/>
    <n v="18"/>
    <x v="3"/>
    <x v="0"/>
    <x v="1"/>
    <n v="3"/>
    <n v="3"/>
    <n v="0"/>
    <n v="3"/>
    <n v="3"/>
    <x v="0"/>
    <n v="3"/>
    <n v="3"/>
    <n v="0"/>
    <n v="3"/>
    <n v="3"/>
    <n v="0"/>
    <n v="4"/>
    <n v="4"/>
    <n v="0"/>
    <n v="4"/>
    <n v="4"/>
    <n v="0"/>
    <n v="4"/>
    <n v="4"/>
    <n v="0"/>
    <n v="3"/>
    <n v="3"/>
    <n v="0"/>
    <n v="3"/>
    <n v="3"/>
    <n v="0"/>
    <n v="0"/>
    <s v="Tidak"/>
    <n v="0"/>
    <s v="Tidak"/>
    <n v="0"/>
    <s v="Tidak"/>
    <s v="Sodara"/>
    <s v="Keluarga"/>
    <n v="2"/>
    <n v="3"/>
    <s v="Cukup sudah bagus"/>
    <s v="sudah baik/bagus"/>
    <s v="Pegawainya kurang untuk menangani masyarakat di saat full"/>
    <s v="menambah staff pelayanan"/>
    <s v="Sudah bagus"/>
    <s v="sudah baik/bagus"/>
    <s v=""/>
  </r>
  <r>
    <n v="220"/>
    <s v="Salsabilla aliapasa"/>
    <x v="0"/>
    <x v="3"/>
    <s v="Tidak"/>
    <s v="Tidak"/>
    <s v="Tidak"/>
    <s v="Tidak"/>
    <x v="0"/>
    <x v="1"/>
    <n v="22"/>
    <x v="0"/>
    <x v="0"/>
    <x v="1"/>
    <n v="3"/>
    <n v="3"/>
    <n v="0"/>
    <n v="3"/>
    <n v="3"/>
    <x v="0"/>
    <n v="4"/>
    <n v="3"/>
    <n v="-1"/>
    <n v="4"/>
    <n v="4"/>
    <n v="0"/>
    <n v="3"/>
    <n v="3"/>
    <n v="0"/>
    <n v="3"/>
    <n v="3"/>
    <n v="0"/>
    <n v="3"/>
    <n v="3"/>
    <n v="0"/>
    <n v="3"/>
    <n v="3"/>
    <n v="0"/>
    <n v="3"/>
    <n v="3"/>
    <n v="0"/>
    <n v="4"/>
    <s v="Ya"/>
    <n v="0"/>
    <s v="Tidak"/>
    <n v="0"/>
    <s v="Tidak"/>
    <s v=""/>
    <s v="-"/>
    <n v="0"/>
    <n v="0"/>
    <s v="Tidak ada"/>
    <s v="tidak ada"/>
    <s v="Tidak ada"/>
    <s v="tidak ada"/>
    <s v="Tidak ada"/>
    <s v="tidak ada"/>
    <s v="Layanan SPKT semoga dipercepat kasusnya"/>
  </r>
  <r>
    <n v="221"/>
    <s v="M Yusuf sifaudin"/>
    <x v="0"/>
    <x v="0"/>
    <s v="Tidak"/>
    <s v="Tidak"/>
    <s v="Tidak"/>
    <s v="Tidak"/>
    <x v="1"/>
    <x v="2"/>
    <n v="18"/>
    <x v="3"/>
    <x v="0"/>
    <x v="1"/>
    <n v="3"/>
    <n v="3"/>
    <n v="0"/>
    <n v="3"/>
    <n v="3"/>
    <x v="0"/>
    <n v="4"/>
    <n v="4"/>
    <n v="0"/>
    <n v="4"/>
    <n v="4"/>
    <n v="0"/>
    <n v="4"/>
    <n v="4"/>
    <n v="0"/>
    <n v="4"/>
    <n v="4"/>
    <n v="0"/>
    <n v="4"/>
    <n v="4"/>
    <n v="0"/>
    <n v="3"/>
    <n v="3"/>
    <n v="0"/>
    <n v="3"/>
    <n v="3"/>
    <n v="0"/>
    <n v="3"/>
    <s v="Ya"/>
    <n v="0"/>
    <s v="Tidak"/>
    <n v="0"/>
    <s v="Tidak"/>
    <s v=""/>
    <s v="-"/>
    <n v="0"/>
    <n v="0"/>
    <s v="Lebih sabar"/>
    <s v="lebih ramah lagi"/>
    <s v="Tidak ada"/>
    <s v="tidak ada"/>
    <s v="Tidak ada"/>
    <s v="tidak ada"/>
    <s v=""/>
  </r>
  <r>
    <n v="222"/>
    <s v="Hummam almahi"/>
    <x v="0"/>
    <x v="3"/>
    <s v="Tidak"/>
    <s v="Tidak"/>
    <s v="Tidak"/>
    <s v="Tidak"/>
    <x v="1"/>
    <x v="1"/>
    <n v="26"/>
    <x v="1"/>
    <x v="1"/>
    <x v="0"/>
    <n v="3"/>
    <n v="3"/>
    <n v="0"/>
    <n v="3"/>
    <n v="3"/>
    <x v="0"/>
    <n v="3"/>
    <n v="3"/>
    <n v="0"/>
    <n v="4"/>
    <n v="4"/>
    <n v="0"/>
    <n v="3"/>
    <n v="3"/>
    <n v="0"/>
    <n v="3"/>
    <n v="3"/>
    <n v="0"/>
    <n v="3"/>
    <n v="3"/>
    <n v="0"/>
    <n v="3"/>
    <n v="3"/>
    <n v="0"/>
    <n v="3"/>
    <n v="3"/>
    <n v="0"/>
    <n v="0"/>
    <s v="Tidak"/>
    <n v="0"/>
    <s v="Tidak"/>
    <n v="0"/>
    <s v="Tidak"/>
    <s v="Teman"/>
    <s v="Teman"/>
    <n v="2"/>
    <n v="3"/>
    <s v="Tidak ada"/>
    <s v="tidak ada"/>
    <s v="Tidak ada"/>
    <s v="tidak ada"/>
    <s v="Tidak ada"/>
    <s v="tidak ada"/>
    <s v="Tidak ada"/>
  </r>
  <r>
    <n v="223"/>
    <s v="Istigfar yanradiktyar"/>
    <x v="0"/>
    <x v="10"/>
    <s v="Tidak"/>
    <s v="Tidak"/>
    <s v="Tidak"/>
    <s v="Tidak"/>
    <x v="1"/>
    <x v="2"/>
    <n v="28"/>
    <x v="1"/>
    <x v="0"/>
    <x v="0"/>
    <n v="3"/>
    <n v="3"/>
    <n v="0"/>
    <n v="4"/>
    <n v="4"/>
    <x v="0"/>
    <n v="4"/>
    <n v="4"/>
    <n v="0"/>
    <n v="4"/>
    <n v="4"/>
    <n v="0"/>
    <n v="4"/>
    <n v="4"/>
    <n v="0"/>
    <n v="4"/>
    <n v="4"/>
    <n v="0"/>
    <n v="4"/>
    <n v="4"/>
    <n v="0"/>
    <n v="4"/>
    <n v="4"/>
    <n v="0"/>
    <n v="3"/>
    <n v="4"/>
    <n v="1"/>
    <n v="0"/>
    <s v="Tidak"/>
    <n v="3"/>
    <s v="Ya"/>
    <n v="0"/>
    <s v="Tidak"/>
    <s v=""/>
    <s v="-"/>
    <n v="0"/>
    <n v="0"/>
    <s v="Tidak ada cukup baik"/>
    <s v="tidak ada"/>
    <s v="Tidak ada"/>
    <s v="tidak ada"/>
    <s v="Tidak ada"/>
    <s v="tidak ada"/>
    <s v=""/>
  </r>
  <r>
    <n v="224"/>
    <s v="Ranu Fernanda"/>
    <x v="11"/>
    <x v="33"/>
    <s v="Tidak"/>
    <s v="Tidak"/>
    <s v="Tidak"/>
    <s v="Tidak"/>
    <x v="1"/>
    <x v="1"/>
    <n v="59"/>
    <x v="5"/>
    <x v="3"/>
    <x v="0"/>
    <n v="3"/>
    <n v="3"/>
    <n v="0"/>
    <n v="4"/>
    <n v="4"/>
    <x v="0"/>
    <n v="4"/>
    <n v="4"/>
    <n v="0"/>
    <n v="3"/>
    <n v="3"/>
    <n v="0"/>
    <n v="4"/>
    <n v="4"/>
    <n v="0"/>
    <n v="4"/>
    <n v="4"/>
    <n v="0"/>
    <n v="4"/>
    <n v="4"/>
    <n v="0"/>
    <n v="4"/>
    <n v="4"/>
    <n v="0"/>
    <n v="4"/>
    <n v="4"/>
    <n v="0"/>
    <n v="0"/>
    <s v="Tidak"/>
    <n v="0"/>
    <s v="Tidak"/>
    <n v="0"/>
    <s v="Tidak"/>
    <s v="Tahu sendiri"/>
    <s v="Mengetahui sendiri"/>
    <n v="1"/>
    <n v="4"/>
    <s v="Tidak ada"/>
    <s v="tidak ada"/>
    <s v="Tidak ada"/>
    <s v="tidak ada"/>
    <s v="Tidak ada"/>
    <s v="tidak ada"/>
    <s v="Tidak ada"/>
  </r>
  <r>
    <n v="225"/>
    <s v="Dimas Kushanafi"/>
    <x v="0"/>
    <x v="3"/>
    <s v="Tidak"/>
    <s v="Tidak"/>
    <s v="Tidak"/>
    <s v="Tidak"/>
    <x v="0"/>
    <x v="1"/>
    <n v="25"/>
    <x v="0"/>
    <x v="0"/>
    <x v="2"/>
    <n v="4"/>
    <n v="4"/>
    <n v="0"/>
    <n v="4"/>
    <n v="4"/>
    <x v="0"/>
    <n v="4"/>
    <n v="4"/>
    <n v="0"/>
    <n v="4"/>
    <n v="4"/>
    <n v="0"/>
    <n v="4"/>
    <n v="4"/>
    <n v="0"/>
    <n v="4"/>
    <n v="4"/>
    <n v="0"/>
    <n v="4"/>
    <n v="4"/>
    <n v="0"/>
    <n v="4"/>
    <n v="4"/>
    <n v="0"/>
    <n v="4"/>
    <n v="4"/>
    <n v="0"/>
    <n v="0"/>
    <s v="Tidak"/>
    <n v="0"/>
    <s v="Tidak"/>
    <n v="0"/>
    <s v="Tidak"/>
    <s v="Kecamatan"/>
    <s v="Informasi dari pegawai lembaga pemerintahan"/>
    <n v="2"/>
    <n v="3"/>
    <s v="Tidak ada"/>
    <s v="tidak ada"/>
    <s v="Tidak ada"/>
    <s v="tidak ada"/>
    <s v="Tidak ada"/>
    <s v="tidak ada"/>
    <s v="Tidak ada"/>
  </r>
  <r>
    <n v="226"/>
    <s v="Mimin Wahyudi"/>
    <x v="0"/>
    <x v="3"/>
    <s v="Tidak"/>
    <s v="Tidak"/>
    <s v="Tidak"/>
    <s v="Tidak"/>
    <x v="1"/>
    <x v="1"/>
    <n v="42"/>
    <x v="6"/>
    <x v="0"/>
    <x v="0"/>
    <n v="3"/>
    <n v="3"/>
    <n v="0"/>
    <n v="3"/>
    <n v="3"/>
    <x v="0"/>
    <n v="3"/>
    <n v="3"/>
    <n v="0"/>
    <n v="3"/>
    <n v="3"/>
    <n v="0"/>
    <n v="4"/>
    <n v="4"/>
    <n v="0"/>
    <n v="3"/>
    <n v="3"/>
    <n v="0"/>
    <n v="3"/>
    <n v="3"/>
    <n v="0"/>
    <n v="3"/>
    <n v="3"/>
    <n v="0"/>
    <n v="3"/>
    <n v="3"/>
    <n v="0"/>
    <n v="0"/>
    <s v="Tidak"/>
    <n v="0"/>
    <s v="Tidak"/>
    <n v="0"/>
    <s v="Tidak"/>
    <s v="Teman"/>
    <s v="Teman"/>
    <n v="2"/>
    <n v="3"/>
    <s v="Tidak ada"/>
    <s v="tidak ada"/>
    <s v="Tidak ada"/>
    <s v="tidak ada"/>
    <s v="Parkir kurang luas"/>
    <s v="harus ada petugas yang menata parkiran"/>
    <s v="Tidak ada"/>
  </r>
  <r>
    <n v="227"/>
    <s v="Nunik hidayati"/>
    <x v="12"/>
    <x v="3"/>
    <s v="Tidak"/>
    <s v="Tidak"/>
    <s v="Tidak"/>
    <s v="Tidak"/>
    <x v="1"/>
    <x v="1"/>
    <n v="42"/>
    <x v="6"/>
    <x v="0"/>
    <x v="0"/>
    <n v="3"/>
    <n v="3"/>
    <n v="0"/>
    <n v="3"/>
    <n v="3"/>
    <x v="0"/>
    <n v="3"/>
    <n v="3"/>
    <n v="0"/>
    <n v="3"/>
    <n v="3"/>
    <n v="0"/>
    <n v="3"/>
    <n v="3"/>
    <n v="0"/>
    <n v="3"/>
    <n v="3"/>
    <n v="0"/>
    <n v="4"/>
    <n v="4"/>
    <n v="0"/>
    <n v="3"/>
    <n v="3"/>
    <n v="0"/>
    <n v="3"/>
    <n v="3"/>
    <n v="0"/>
    <n v="0"/>
    <s v="Tidak"/>
    <n v="0"/>
    <s v="Tidak"/>
    <n v="0"/>
    <s v="Tidak"/>
    <s v="Kecamatan"/>
    <s v="Informasi dari pegawai lembaga pemerintahan"/>
    <n v="2"/>
    <n v="3"/>
    <s v="Tidak ada"/>
    <s v="tidak ada"/>
    <s v="Tidak ada"/>
    <s v="tidak ada"/>
    <s v="Tidak ada"/>
    <s v="tidak ada"/>
    <s v="Tidak ada"/>
  </r>
  <r>
    <n v="228"/>
    <s v="Nur sahid"/>
    <x v="0"/>
    <x v="5"/>
    <s v="Tidak"/>
    <s v="Tidak"/>
    <s v="Tidak"/>
    <s v="Tidak"/>
    <x v="1"/>
    <x v="1"/>
    <n v="53"/>
    <x v="8"/>
    <x v="0"/>
    <x v="2"/>
    <n v="4"/>
    <n v="4"/>
    <n v="0"/>
    <n v="3"/>
    <n v="3"/>
    <x v="0"/>
    <n v="3"/>
    <n v="3"/>
    <n v="0"/>
    <n v="0"/>
    <n v="0"/>
    <n v="0"/>
    <n v="3"/>
    <n v="3"/>
    <n v="0"/>
    <n v="3"/>
    <n v="3"/>
    <n v="0"/>
    <n v="3"/>
    <n v="3"/>
    <n v="0"/>
    <n v="3"/>
    <n v="3"/>
    <n v="0"/>
    <n v="3"/>
    <n v="3"/>
    <n v="0"/>
    <n v="0"/>
    <s v="Tidak"/>
    <n v="0"/>
    <s v="Tidak"/>
    <n v="0"/>
    <s v="Tidak"/>
    <s v="Keluarga"/>
    <s v="Keluarga"/>
    <n v="2"/>
    <n v="3"/>
    <s v="Tidak ada"/>
    <s v="tidak ada"/>
    <s v="Tidak ada"/>
    <s v="tidak ada"/>
    <s v="Tidak ada"/>
    <s v="tidak ada"/>
    <s v="Saran untuk menyediakan mesin foto copy karena foto copy terlalu jauh dari lokasi polsek"/>
  </r>
  <r>
    <n v="229"/>
    <s v="Fitrotin Ma'ziyah"/>
    <x v="0"/>
    <x v="5"/>
    <s v="Tidak"/>
    <s v="Tidak"/>
    <s v="Tidak"/>
    <s v="Tidak"/>
    <x v="0"/>
    <x v="1"/>
    <n v="44"/>
    <x v="6"/>
    <x v="0"/>
    <x v="0"/>
    <n v="4"/>
    <n v="4"/>
    <n v="0"/>
    <n v="4"/>
    <n v="4"/>
    <x v="0"/>
    <n v="4"/>
    <n v="4"/>
    <n v="0"/>
    <n v="4"/>
    <n v="4"/>
    <n v="0"/>
    <n v="4"/>
    <n v="4"/>
    <n v="0"/>
    <n v="4"/>
    <n v="4"/>
    <n v="0"/>
    <n v="4"/>
    <n v="4"/>
    <n v="0"/>
    <n v="4"/>
    <n v="4"/>
    <n v="0"/>
    <n v="4"/>
    <n v="4"/>
    <n v="0"/>
    <n v="0"/>
    <s v="Tidak"/>
    <n v="0"/>
    <s v="Tidak"/>
    <n v="0"/>
    <s v="Tidak"/>
    <s v="Pegawai Kecamatan"/>
    <s v="Informasi dari pegawai lembaga pemerintahan"/>
    <n v="1"/>
    <n v="4"/>
    <s v="Tidak ada"/>
    <s v="tidak ada"/>
    <s v="Tidak ada"/>
    <s v="tidak ada"/>
    <s v="Tidak ada"/>
    <s v="tidak ada"/>
    <s v="Tidak ada"/>
  </r>
  <r>
    <n v="230"/>
    <s v="Dwi Prasetyo"/>
    <x v="0"/>
    <x v="5"/>
    <s v="Tidak"/>
    <s v="Tidak"/>
    <s v="Tidak"/>
    <s v="Tidak"/>
    <x v="1"/>
    <x v="1"/>
    <n v="21"/>
    <x v="0"/>
    <x v="0"/>
    <x v="3"/>
    <n v="3"/>
    <n v="3"/>
    <n v="0"/>
    <n v="3"/>
    <n v="3"/>
    <x v="0"/>
    <n v="3"/>
    <n v="3"/>
    <n v="0"/>
    <n v="0"/>
    <n v="0"/>
    <n v="0"/>
    <n v="3"/>
    <n v="3"/>
    <n v="0"/>
    <n v="2"/>
    <n v="3"/>
    <n v="1"/>
    <n v="2"/>
    <n v="2"/>
    <n v="0"/>
    <n v="3"/>
    <n v="3"/>
    <n v="0"/>
    <n v="3"/>
    <n v="3"/>
    <n v="0"/>
    <n v="0"/>
    <s v="Tidak"/>
    <n v="0"/>
    <s v="Tidak"/>
    <n v="0"/>
    <s v="Tidak"/>
    <s v="Tetangga"/>
    <s v="Teman"/>
    <n v="2"/>
    <n v="3"/>
    <s v="Lebih sopan lagi dalam melayani"/>
    <s v="lebih ramah lagi"/>
    <s v="Tidak ada"/>
    <s v="tidak ada"/>
    <s v="Tidak ada"/>
    <s v="tidak ada"/>
    <s v="Tidak ada"/>
  </r>
  <r>
    <n v="231"/>
    <s v="Fikri Firdaus"/>
    <x v="0"/>
    <x v="5"/>
    <s v="Tidak"/>
    <s v="Tidak"/>
    <s v="Tidak"/>
    <s v="Tidak"/>
    <x v="1"/>
    <x v="4"/>
    <n v="25"/>
    <x v="0"/>
    <x v="0"/>
    <x v="0"/>
    <n v="3"/>
    <n v="4"/>
    <n v="1"/>
    <n v="4"/>
    <n v="4"/>
    <x v="0"/>
    <n v="4"/>
    <n v="4"/>
    <n v="0"/>
    <n v="4"/>
    <n v="4"/>
    <n v="0"/>
    <n v="4"/>
    <n v="4"/>
    <n v="0"/>
    <n v="3"/>
    <n v="3"/>
    <n v="0"/>
    <n v="4"/>
    <n v="4"/>
    <n v="0"/>
    <n v="4"/>
    <n v="4"/>
    <n v="0"/>
    <n v="3"/>
    <n v="3"/>
    <n v="0"/>
    <n v="0"/>
    <s v="Tidak"/>
    <n v="0"/>
    <s v="Tidak"/>
    <n v="4"/>
    <s v="Ya"/>
    <s v=""/>
    <s v="-"/>
    <n v="0"/>
    <n v="0"/>
    <s v="Sudah bagus"/>
    <s v="sudah baik/bagus"/>
    <s v="Sudah bagus"/>
    <s v="sudah baik/bagus"/>
    <s v="Sudah bagus"/>
    <s v="sudah baik/bagus"/>
    <s v=""/>
  </r>
  <r>
    <n v="232"/>
    <s v="Soemato"/>
    <x v="0"/>
    <x v="5"/>
    <s v="Tidak"/>
    <s v="Tidak"/>
    <s v="Tidak"/>
    <s v="Tidak"/>
    <x v="1"/>
    <x v="1"/>
    <n v="58"/>
    <x v="5"/>
    <x v="3"/>
    <x v="0"/>
    <n v="4"/>
    <n v="4"/>
    <n v="0"/>
    <n v="4"/>
    <n v="4"/>
    <x v="0"/>
    <n v="3"/>
    <n v="3"/>
    <n v="0"/>
    <n v="0"/>
    <n v="0"/>
    <n v="0"/>
    <n v="3"/>
    <n v="3"/>
    <n v="0"/>
    <n v="3"/>
    <n v="3"/>
    <n v="0"/>
    <n v="3"/>
    <n v="4"/>
    <n v="1"/>
    <n v="4"/>
    <n v="4"/>
    <n v="0"/>
    <n v="3"/>
    <n v="3"/>
    <n v="0"/>
    <n v="0"/>
    <s v="Tidak"/>
    <n v="0"/>
    <s v="Tidak"/>
    <n v="0"/>
    <s v="Tidak"/>
    <s v="RT/RW"/>
    <s v="Tokoh desa"/>
    <n v="2"/>
    <n v="3"/>
    <s v="Sudah baik"/>
    <s v="sudah baik/bagus"/>
    <s v="Sudah baik"/>
    <s v="sudah baik/bagus"/>
    <s v="Sudah baik"/>
    <s v="sudah baik/bagus"/>
    <s v=""/>
  </r>
  <r>
    <n v="233"/>
    <s v="Sri Utami"/>
    <x v="0"/>
    <x v="34"/>
    <s v="Tidak"/>
    <s v="Tidak"/>
    <s v="Tidak"/>
    <s v="Tidak"/>
    <x v="0"/>
    <x v="1"/>
    <n v="50"/>
    <x v="7"/>
    <x v="3"/>
    <x v="2"/>
    <n v="4"/>
    <n v="4"/>
    <n v="0"/>
    <n v="4"/>
    <n v="4"/>
    <x v="0"/>
    <n v="4"/>
    <n v="4"/>
    <n v="0"/>
    <n v="0"/>
    <n v="0"/>
    <n v="0"/>
    <n v="4"/>
    <n v="4"/>
    <n v="0"/>
    <n v="4"/>
    <n v="4"/>
    <n v="0"/>
    <n v="4"/>
    <n v="4"/>
    <n v="0"/>
    <n v="4"/>
    <n v="4"/>
    <n v="0"/>
    <n v="4"/>
    <n v="4"/>
    <n v="0"/>
    <n v="0"/>
    <s v="Tidak"/>
    <n v="0"/>
    <s v="Tidak"/>
    <n v="0"/>
    <s v="Tidak"/>
    <s v="Tetangga"/>
    <s v="Teman"/>
    <n v="1"/>
    <n v="4"/>
    <s v="Sudah melayani dengan baik"/>
    <s v="sudah baik/bagus"/>
    <s v="Sudah baik"/>
    <s v="sudah baik/bagus"/>
    <s v="Sudah baik"/>
    <s v="sudah baik/bagus"/>
    <s v=""/>
  </r>
  <r>
    <n v="234"/>
    <s v="Zinedine Ahmad Maujahidin"/>
    <x v="0"/>
    <x v="5"/>
    <s v="Tidak"/>
    <s v="Tidak"/>
    <s v="Tidak"/>
    <s v="Tidak"/>
    <x v="1"/>
    <x v="1"/>
    <n v="20"/>
    <x v="3"/>
    <x v="0"/>
    <x v="1"/>
    <n v="4"/>
    <n v="3"/>
    <n v="-1"/>
    <n v="3"/>
    <n v="3"/>
    <x v="0"/>
    <n v="4"/>
    <n v="4"/>
    <n v="0"/>
    <n v="0"/>
    <n v="0"/>
    <n v="0"/>
    <n v="3"/>
    <n v="3"/>
    <n v="0"/>
    <n v="4"/>
    <n v="3"/>
    <n v="-1"/>
    <n v="4"/>
    <n v="4"/>
    <n v="0"/>
    <n v="3"/>
    <n v="3"/>
    <n v="0"/>
    <n v="4"/>
    <n v="4"/>
    <n v="0"/>
    <n v="0"/>
    <s v="Tidak"/>
    <n v="0"/>
    <s v="Tidak"/>
    <n v="0"/>
    <s v="Tidak"/>
    <s v="Keluarga"/>
    <s v="Keluarga"/>
    <n v="2"/>
    <n v="3"/>
    <s v="Sudah baik"/>
    <s v="sudah baik/bagus"/>
    <s v="Sudah cukup baik"/>
    <s v="sudah baik/bagus"/>
    <s v="Sudah baik"/>
    <s v="sudah baik/bagus"/>
    <s v=""/>
  </r>
  <r>
    <n v="235"/>
    <s v="Ekhwan nur adiri"/>
    <x v="0"/>
    <x v="3"/>
    <s v="Tidak"/>
    <s v="Tidak"/>
    <s v="Tidak"/>
    <s v="Tidak"/>
    <x v="1"/>
    <x v="1"/>
    <n v="24"/>
    <x v="0"/>
    <x v="0"/>
    <x v="2"/>
    <n v="3"/>
    <n v="4"/>
    <n v="1"/>
    <n v="3"/>
    <n v="4"/>
    <x v="2"/>
    <n v="4"/>
    <n v="4"/>
    <n v="0"/>
    <n v="4"/>
    <n v="4"/>
    <n v="0"/>
    <n v="3"/>
    <n v="3"/>
    <n v="0"/>
    <n v="4"/>
    <n v="4"/>
    <n v="0"/>
    <n v="3"/>
    <n v="3"/>
    <n v="0"/>
    <n v="4"/>
    <n v="3"/>
    <n v="-1"/>
    <n v="4"/>
    <n v="4"/>
    <n v="0"/>
    <n v="0"/>
    <s v="Tidak"/>
    <n v="0"/>
    <s v="Tidak"/>
    <n v="0"/>
    <s v="Tidak"/>
    <s v="Tetangga"/>
    <s v="Teman"/>
    <n v="1"/>
    <n v="4"/>
    <s v="Tidak ada"/>
    <s v="tidak ada"/>
    <s v="Tidak ada"/>
    <s v="tidak ada"/>
    <s v="Tidak ada"/>
    <s v="tidak ada"/>
    <s v="Kurang teliti untuk mengisi identitas"/>
  </r>
  <r>
    <n v="236"/>
    <s v="Nur lailiyah Zulfa"/>
    <x v="0"/>
    <x v="3"/>
    <s v="Tidak"/>
    <s v="Tidak"/>
    <s v="Tidak"/>
    <s v="Tidak"/>
    <x v="0"/>
    <x v="1"/>
    <n v="26"/>
    <x v="1"/>
    <x v="0"/>
    <x v="2"/>
    <n v="4"/>
    <n v="4"/>
    <n v="0"/>
    <n v="4"/>
    <n v="4"/>
    <x v="0"/>
    <n v="4"/>
    <n v="4"/>
    <n v="0"/>
    <n v="4"/>
    <n v="4"/>
    <n v="0"/>
    <n v="4"/>
    <n v="4"/>
    <n v="0"/>
    <n v="4"/>
    <n v="4"/>
    <n v="0"/>
    <n v="4"/>
    <n v="4"/>
    <n v="0"/>
    <n v="4"/>
    <n v="4"/>
    <n v="0"/>
    <n v="4"/>
    <n v="4"/>
    <n v="0"/>
    <n v="0"/>
    <s v="Tidak"/>
    <n v="0"/>
    <s v="Tidak"/>
    <n v="0"/>
    <s v="Tidak"/>
    <s v="Teman"/>
    <s v="Teman"/>
    <n v="2"/>
    <n v="3"/>
    <s v="Tidak ada"/>
    <s v="tidak ada"/>
    <s v="Tidak ada"/>
    <s v="tidak ada"/>
    <s v="Tidak ada"/>
    <s v="tidak ada"/>
    <s v="Tidak ada"/>
  </r>
  <r>
    <n v="237"/>
    <s v="Revita Kamila Devi"/>
    <x v="0"/>
    <x v="3"/>
    <s v="Tidak"/>
    <s v="Tidak"/>
    <s v="Tidak"/>
    <s v="Tidak"/>
    <x v="0"/>
    <x v="1"/>
    <n v="20"/>
    <x v="3"/>
    <x v="0"/>
    <x v="1"/>
    <n v="4"/>
    <n v="4"/>
    <n v="0"/>
    <n v="4"/>
    <n v="4"/>
    <x v="0"/>
    <n v="4"/>
    <n v="4"/>
    <n v="0"/>
    <n v="4"/>
    <n v="4"/>
    <n v="0"/>
    <n v="4"/>
    <n v="4"/>
    <n v="0"/>
    <n v="4"/>
    <n v="4"/>
    <n v="0"/>
    <n v="4"/>
    <n v="4"/>
    <n v="0"/>
    <n v="4"/>
    <n v="4"/>
    <n v="0"/>
    <n v="4"/>
    <n v="4"/>
    <n v="0"/>
    <n v="0"/>
    <s v="Tidak"/>
    <n v="0"/>
    <s v="Tidak"/>
    <n v="0"/>
    <s v="Tidak"/>
    <s v="Teman"/>
    <s v="Teman"/>
    <n v="2"/>
    <n v="3"/>
    <s v="Tidak ada"/>
    <s v="tidak ada"/>
    <s v="Tidak ada"/>
    <s v="tidak ada"/>
    <s v="Tidak ada"/>
    <s v="tidak ada"/>
    <s v="Tidak ada"/>
  </r>
  <r>
    <n v="238"/>
    <s v="Ernawan Harianto"/>
    <x v="7"/>
    <x v="35"/>
    <s v="Tidak"/>
    <s v="Tidak"/>
    <s v="Tidak"/>
    <s v="Tidak"/>
    <x v="1"/>
    <x v="5"/>
    <n v="47"/>
    <x v="7"/>
    <x v="1"/>
    <x v="0"/>
    <n v="4"/>
    <n v="4"/>
    <n v="0"/>
    <n v="3"/>
    <n v="4"/>
    <x v="2"/>
    <n v="4"/>
    <n v="4"/>
    <n v="0"/>
    <n v="0"/>
    <n v="0"/>
    <n v="0"/>
    <n v="4"/>
    <n v="4"/>
    <n v="0"/>
    <n v="4"/>
    <n v="4"/>
    <n v="0"/>
    <n v="4"/>
    <n v="4"/>
    <n v="0"/>
    <n v="3"/>
    <n v="3"/>
    <n v="0"/>
    <n v="4"/>
    <n v="4"/>
    <n v="0"/>
    <n v="0"/>
    <s v="Tidak"/>
    <n v="0"/>
    <s v="Tidak"/>
    <n v="0"/>
    <s v="Tidak"/>
    <s v="Teman"/>
    <s v="Teman"/>
    <n v="1"/>
    <n v="4"/>
    <s v="Sangat cukup baik di pertahankan respon cepat"/>
    <s v="sudah baik/bagus"/>
    <s v="Udah tepat"/>
    <s v="sudah baik/bagus"/>
    <s v="Fasilitas cukup bagus"/>
    <s v="sudah baik/bagus"/>
    <s v="Polresta cukup baik"/>
  </r>
  <r>
    <n v="239"/>
    <s v="Sony"/>
    <x v="0"/>
    <x v="3"/>
    <s v="Tidak"/>
    <s v="Tidak"/>
    <s v="Tidak"/>
    <s v="Tidak"/>
    <x v="1"/>
    <x v="1"/>
    <n v="50"/>
    <x v="7"/>
    <x v="2"/>
    <x v="0"/>
    <n v="4"/>
    <n v="4"/>
    <n v="0"/>
    <n v="4"/>
    <n v="4"/>
    <x v="0"/>
    <n v="4"/>
    <n v="4"/>
    <n v="0"/>
    <n v="4"/>
    <n v="4"/>
    <n v="0"/>
    <n v="4"/>
    <n v="4"/>
    <n v="0"/>
    <n v="4"/>
    <n v="4"/>
    <n v="0"/>
    <n v="4"/>
    <n v="4"/>
    <n v="0"/>
    <n v="4"/>
    <n v="4"/>
    <n v="0"/>
    <n v="4"/>
    <n v="4"/>
    <n v="0"/>
    <n v="4"/>
    <s v="Tidak"/>
    <n v="0"/>
    <s v="Tidak"/>
    <n v="0"/>
    <s v="Tidak"/>
    <s v=""/>
    <s v="-"/>
    <n v="0"/>
    <n v="0"/>
    <s v="Tidak ada"/>
    <s v="tidak ada"/>
    <s v="Tidak ada"/>
    <s v="tidak ada"/>
    <s v="Tidak ada"/>
    <s v="tidak ada"/>
    <s v="kurangnya Konsunesi antrian pelayanan"/>
  </r>
  <r>
    <n v="240"/>
    <s v="Ananda Putri Maharani"/>
    <x v="0"/>
    <x v="36"/>
    <s v="Tidak"/>
    <s v="Tidak"/>
    <s v="Tidak"/>
    <s v="Tidak"/>
    <x v="0"/>
    <x v="3"/>
    <n v="18"/>
    <x v="3"/>
    <x v="0"/>
    <x v="1"/>
    <n v="3"/>
    <n v="4"/>
    <n v="1"/>
    <n v="4"/>
    <n v="4"/>
    <x v="0"/>
    <n v="4"/>
    <n v="4"/>
    <n v="0"/>
    <n v="3"/>
    <n v="3"/>
    <n v="0"/>
    <n v="4"/>
    <n v="4"/>
    <n v="0"/>
    <n v="4"/>
    <n v="4"/>
    <n v="0"/>
    <n v="3"/>
    <n v="4"/>
    <n v="1"/>
    <n v="4"/>
    <n v="4"/>
    <n v="0"/>
    <n v="3"/>
    <n v="3"/>
    <n v="0"/>
    <n v="0"/>
    <s v="Tidak"/>
    <n v="3"/>
    <s v="Ya"/>
    <n v="0"/>
    <s v="Tidak"/>
    <s v=""/>
    <s v="-"/>
    <n v="0"/>
    <n v="0"/>
    <s v="Tidak ada"/>
    <s v="tidak ada"/>
    <s v="Tidak ada"/>
    <s v="tidak ada"/>
    <s v="Tidak ada"/>
    <s v="tidak ada"/>
    <s v=""/>
  </r>
  <r>
    <n v="241"/>
    <s v="Adib Arif Fianto"/>
    <x v="0"/>
    <x v="3"/>
    <s v="Tidak"/>
    <s v="Tidak"/>
    <s v="Tidak"/>
    <s v="Tidak"/>
    <x v="1"/>
    <x v="1"/>
    <n v="29"/>
    <x v="1"/>
    <x v="0"/>
    <x v="0"/>
    <n v="4"/>
    <n v="4"/>
    <n v="0"/>
    <n v="4"/>
    <n v="4"/>
    <x v="0"/>
    <n v="4"/>
    <n v="4"/>
    <n v="0"/>
    <n v="4"/>
    <n v="4"/>
    <n v="0"/>
    <n v="3"/>
    <n v="3"/>
    <n v="0"/>
    <n v="4"/>
    <n v="4"/>
    <n v="0"/>
    <n v="4"/>
    <n v="4"/>
    <n v="0"/>
    <n v="4"/>
    <n v="4"/>
    <n v="0"/>
    <n v="3"/>
    <n v="3"/>
    <n v="0"/>
    <n v="0"/>
    <s v="Tidak"/>
    <n v="0"/>
    <s v="Tidak"/>
    <n v="0"/>
    <s v="Tidak"/>
    <s v="Diri sendiri"/>
    <s v="Mengetahui sendiri"/>
    <n v="1"/>
    <n v="4"/>
    <s v="Tidak ada"/>
    <s v="tidak ada"/>
    <s v="Tidak ada"/>
    <s v="tidak ada"/>
    <s v="Tidak ada"/>
    <s v="tidak ada"/>
    <s v="Tidak ada"/>
  </r>
  <r>
    <n v="242"/>
    <s v="Nadifa Raudhatul Aisi"/>
    <x v="0"/>
    <x v="0"/>
    <s v="Tidak"/>
    <s v="Tidak"/>
    <s v="Tidak"/>
    <s v="Tidak"/>
    <x v="1"/>
    <x v="3"/>
    <n v="18"/>
    <x v="3"/>
    <x v="0"/>
    <x v="1"/>
    <n v="4"/>
    <n v="4"/>
    <n v="0"/>
    <n v="4"/>
    <n v="4"/>
    <x v="0"/>
    <n v="4"/>
    <n v="4"/>
    <n v="0"/>
    <n v="4"/>
    <n v="4"/>
    <n v="0"/>
    <n v="4"/>
    <n v="4"/>
    <n v="0"/>
    <n v="4"/>
    <n v="4"/>
    <n v="0"/>
    <n v="4"/>
    <n v="4"/>
    <n v="0"/>
    <n v="4"/>
    <n v="4"/>
    <n v="0"/>
    <n v="4"/>
    <n v="4"/>
    <n v="0"/>
    <n v="0"/>
    <s v="Tidak"/>
    <n v="4"/>
    <s v="Ya"/>
    <n v="0"/>
    <s v="Tidak"/>
    <s v=""/>
    <s v="-"/>
    <n v="0"/>
    <n v="0"/>
    <s v="Tidak ada"/>
    <s v="tidak ada"/>
    <s v="Mudah"/>
    <s v="proses pelayanan cepat dan mudah"/>
    <s v="Tidak ada cukup baik"/>
    <s v="tidak ada"/>
    <s v=""/>
  </r>
  <r>
    <n v="243"/>
    <s v="Yama Raditya Nurwanto"/>
    <x v="8"/>
    <x v="37"/>
    <s v="Tidak"/>
    <s v="Tidak"/>
    <s v="Tidak"/>
    <s v="Tidak"/>
    <x v="1"/>
    <x v="3"/>
    <n v="18"/>
    <x v="3"/>
    <x v="0"/>
    <x v="1"/>
    <n v="4"/>
    <n v="4"/>
    <n v="0"/>
    <n v="4"/>
    <n v="4"/>
    <x v="0"/>
    <n v="4"/>
    <n v="4"/>
    <n v="0"/>
    <n v="4"/>
    <n v="4"/>
    <n v="0"/>
    <n v="4"/>
    <n v="4"/>
    <n v="0"/>
    <n v="4"/>
    <n v="4"/>
    <n v="0"/>
    <n v="4"/>
    <n v="4"/>
    <n v="0"/>
    <n v="4"/>
    <n v="4"/>
    <n v="0"/>
    <n v="3"/>
    <n v="4"/>
    <n v="1"/>
    <n v="0"/>
    <s v="Tidak"/>
    <n v="0"/>
    <s v="Tidak"/>
    <n v="0"/>
    <s v="Tidak"/>
    <s v="Orang tua"/>
    <s v="Keluarga"/>
    <n v="2"/>
    <n v="3"/>
    <s v="Cukup baik"/>
    <s v="sudah baik/bagus"/>
    <s v="Mudah"/>
    <s v="proses pelayanan cepat dan mudah"/>
    <s v="Sudah nyaman"/>
    <s v="sudah baik/bagus"/>
    <s v=""/>
  </r>
  <r>
    <n v="244"/>
    <s v="Dita Dwinur Jannah"/>
    <x v="0"/>
    <x v="3"/>
    <s v="Tidak"/>
    <s v="Tidak"/>
    <s v="Tidak"/>
    <s v="Tidak"/>
    <x v="0"/>
    <x v="3"/>
    <n v="18"/>
    <x v="3"/>
    <x v="1"/>
    <x v="1"/>
    <n v="3"/>
    <n v="3"/>
    <n v="0"/>
    <n v="3"/>
    <n v="3"/>
    <x v="0"/>
    <n v="3"/>
    <n v="3"/>
    <n v="0"/>
    <n v="3"/>
    <n v="3"/>
    <n v="0"/>
    <n v="3"/>
    <n v="3"/>
    <n v="0"/>
    <n v="3"/>
    <n v="3"/>
    <n v="0"/>
    <n v="3"/>
    <n v="3"/>
    <n v="0"/>
    <n v="3"/>
    <n v="3"/>
    <n v="0"/>
    <n v="3"/>
    <n v="3"/>
    <n v="0"/>
    <n v="0"/>
    <s v="Tidak"/>
    <n v="0"/>
    <s v="Tidak"/>
    <n v="0"/>
    <s v="Tidak"/>
    <s v="Orang lain sodara"/>
    <s v="Keluarga"/>
    <n v="2"/>
    <n v="3"/>
    <s v="Mungkin lebih ramah dan komunikatif"/>
    <s v="lebih ramah lagi"/>
    <s v="Tidak ada"/>
    <s v="tidak ada"/>
    <s v="Kursinya goyang2 perlu di ganti yang baru"/>
    <s v="kursi ditambah atau diperbaiki yang rusak"/>
    <s v=""/>
  </r>
  <r>
    <n v="245"/>
    <s v="Manjah Nuril"/>
    <x v="0"/>
    <x v="2"/>
    <s v="Tidak"/>
    <s v="Tidak"/>
    <s v="Tidak"/>
    <s v="Tidak"/>
    <x v="0"/>
    <x v="3"/>
    <n v="26"/>
    <x v="1"/>
    <x v="1"/>
    <x v="0"/>
    <n v="3"/>
    <n v="3"/>
    <n v="0"/>
    <n v="4"/>
    <n v="3"/>
    <x v="1"/>
    <n v="4"/>
    <n v="3"/>
    <n v="-1"/>
    <n v="3"/>
    <n v="3"/>
    <n v="0"/>
    <n v="3"/>
    <n v="4"/>
    <n v="1"/>
    <n v="4"/>
    <n v="3"/>
    <n v="-1"/>
    <n v="3"/>
    <n v="3"/>
    <n v="0"/>
    <n v="3"/>
    <n v="4"/>
    <n v="1"/>
    <n v="4"/>
    <n v="4"/>
    <n v="0"/>
    <n v="0"/>
    <s v="Tidak"/>
    <n v="3"/>
    <s v="Ya"/>
    <n v="0"/>
    <s v="Tidak"/>
    <s v=""/>
    <s v="-"/>
    <n v="0"/>
    <n v="0"/>
    <s v="Tidak ada"/>
    <s v="tidak ada"/>
    <s v="Cuma antri"/>
    <s v="mempercepat waktu pelayanan"/>
    <s v="Sudah bagus"/>
    <s v="sudah baik/bagus"/>
    <s v=""/>
  </r>
  <r>
    <n v="246"/>
    <s v="Sahfira zulf"/>
    <x v="8"/>
    <x v="38"/>
    <s v="Tidak"/>
    <s v="Tidak"/>
    <s v="Tidak"/>
    <s v="Tidak"/>
    <x v="0"/>
    <x v="3"/>
    <n v="20"/>
    <x v="3"/>
    <x v="1"/>
    <x v="1"/>
    <n v="4"/>
    <n v="4"/>
    <n v="0"/>
    <n v="4"/>
    <n v="4"/>
    <x v="0"/>
    <n v="4"/>
    <n v="4"/>
    <n v="0"/>
    <n v="4"/>
    <n v="4"/>
    <n v="0"/>
    <n v="4"/>
    <n v="4"/>
    <n v="0"/>
    <n v="4"/>
    <n v="4"/>
    <n v="0"/>
    <n v="4"/>
    <n v="4"/>
    <n v="0"/>
    <n v="4"/>
    <n v="4"/>
    <n v="0"/>
    <n v="3"/>
    <n v="4"/>
    <n v="1"/>
    <n v="3"/>
    <s v="Ya"/>
    <n v="0"/>
    <s v="Tidak"/>
    <n v="0"/>
    <s v="Tidak"/>
    <s v=""/>
    <s v="-"/>
    <n v="0"/>
    <n v="0"/>
    <s v="Tidak ada"/>
    <s v="tidak ada"/>
    <s v="Tidak ada"/>
    <s v="tidak ada"/>
    <s v="Beli kursi yang baru"/>
    <s v="kursi ditambah atau diperbaiki yang rusak"/>
    <s v=""/>
  </r>
  <r>
    <n v="247"/>
    <s v="Achmad samsul bahtiar"/>
    <x v="13"/>
    <x v="39"/>
    <s v="Tidak"/>
    <s v="Tidak"/>
    <s v="Tidak"/>
    <s v="Tidak"/>
    <x v="1"/>
    <x v="2"/>
    <n v="31"/>
    <x v="2"/>
    <x v="0"/>
    <x v="3"/>
    <n v="3"/>
    <n v="3"/>
    <n v="0"/>
    <n v="3"/>
    <n v="3"/>
    <x v="0"/>
    <n v="3"/>
    <n v="3"/>
    <n v="0"/>
    <n v="3"/>
    <n v="3"/>
    <n v="0"/>
    <n v="3"/>
    <n v="3"/>
    <n v="0"/>
    <n v="3"/>
    <n v="3"/>
    <n v="0"/>
    <n v="4"/>
    <n v="3"/>
    <n v="-1"/>
    <n v="4"/>
    <n v="3"/>
    <n v="-1"/>
    <n v="3"/>
    <n v="3"/>
    <n v="0"/>
    <n v="3"/>
    <s v="Ya"/>
    <n v="0"/>
    <s v="Tidak"/>
    <n v="0"/>
    <s v="Tidak"/>
    <s v=""/>
    <s v="-"/>
    <n v="0"/>
    <n v="0"/>
    <s v="Tidak ada"/>
    <s v="tidak ada"/>
    <s v="Waktu pelayanan di teori terlalu lama"/>
    <s v="mempercepat waktu pelayanan"/>
    <s v="Tidak ada"/>
    <s v="tidak ada"/>
    <s v="Tidak ada"/>
  </r>
  <r>
    <n v="248"/>
    <s v="Nurul"/>
    <x v="0"/>
    <x v="0"/>
    <s v="Tidak"/>
    <s v="Tidak"/>
    <s v="Tidak"/>
    <s v="Tidak"/>
    <x v="0"/>
    <x v="5"/>
    <n v="43"/>
    <x v="6"/>
    <x v="1"/>
    <x v="2"/>
    <n v="4"/>
    <n v="4"/>
    <n v="0"/>
    <n v="4"/>
    <n v="4"/>
    <x v="0"/>
    <n v="4"/>
    <n v="4"/>
    <n v="0"/>
    <n v="0"/>
    <n v="0"/>
    <n v="0"/>
    <n v="4"/>
    <n v="4"/>
    <n v="0"/>
    <n v="4"/>
    <n v="4"/>
    <n v="0"/>
    <n v="4"/>
    <n v="4"/>
    <n v="0"/>
    <n v="4"/>
    <n v="4"/>
    <n v="0"/>
    <n v="4"/>
    <n v="4"/>
    <n v="0"/>
    <n v="4"/>
    <s v="Ya"/>
    <n v="0"/>
    <s v="Tidak"/>
    <n v="0"/>
    <s v="Tidak"/>
    <s v=""/>
    <s v="-"/>
    <n v="0"/>
    <n v="0"/>
    <s v="Sudah baik, dipertahankan / bisa lebih baik lagi"/>
    <s v="sudah baik/bagus"/>
    <s v="Saran untuk diberikan both untuk jualan materai / kebutuhan perlengkapan, supaya tidak kesulitan cari yg jual jauh akan jadi waktunya tidak bisa cepat"/>
    <s v="menambah booth perlengkapan seperti materai,dll"/>
    <s v="Sudah cukup bagus"/>
    <s v="sudah baik/bagus"/>
    <s v=""/>
  </r>
  <r>
    <n v="249"/>
    <s v="Ivan Egi Diantara"/>
    <x v="14"/>
    <x v="40"/>
    <s v="Tidak"/>
    <s v="Tidak"/>
    <s v="Tidak"/>
    <s v="Tidak"/>
    <x v="1"/>
    <x v="2"/>
    <n v="20"/>
    <x v="3"/>
    <x v="0"/>
    <x v="1"/>
    <n v="3"/>
    <n v="3"/>
    <n v="0"/>
    <n v="3"/>
    <n v="3"/>
    <x v="0"/>
    <n v="3"/>
    <n v="3"/>
    <n v="0"/>
    <n v="3"/>
    <n v="3"/>
    <n v="0"/>
    <n v="3"/>
    <n v="3"/>
    <n v="0"/>
    <n v="4"/>
    <n v="4"/>
    <n v="0"/>
    <n v="3"/>
    <n v="3"/>
    <n v="0"/>
    <n v="3"/>
    <n v="3"/>
    <n v="0"/>
    <n v="3"/>
    <n v="4"/>
    <n v="1"/>
    <n v="3"/>
    <s v="Ya"/>
    <n v="0"/>
    <s v="Tidak"/>
    <n v="0"/>
    <s v="Tidak"/>
    <s v=""/>
    <s v="-"/>
    <n v="0"/>
    <n v="0"/>
    <s v="Tidak ada"/>
    <s v="tidak ada"/>
    <s v="Waktu pelayanan di ruang teori Terlalu lama"/>
    <s v="mempercepat waktu pelayanan"/>
    <s v="Tidak ada"/>
    <s v="tidak ada"/>
    <s v="Tidak ada"/>
  </r>
  <r>
    <n v="250"/>
    <s v="Evyn Rusdy prasetiyo E"/>
    <x v="0"/>
    <x v="13"/>
    <s v="Tidak"/>
    <s v="Tidak"/>
    <s v="Tidak"/>
    <s v="Tidak"/>
    <x v="1"/>
    <x v="2"/>
    <n v="25"/>
    <x v="0"/>
    <x v="1"/>
    <x v="0"/>
    <n v="3"/>
    <n v="3"/>
    <n v="0"/>
    <n v="3"/>
    <n v="3"/>
    <x v="0"/>
    <n v="2"/>
    <n v="3"/>
    <n v="1"/>
    <n v="3"/>
    <n v="3"/>
    <n v="0"/>
    <n v="3"/>
    <n v="3"/>
    <n v="0"/>
    <n v="3"/>
    <n v="3"/>
    <n v="0"/>
    <n v="3"/>
    <n v="3"/>
    <n v="0"/>
    <n v="3"/>
    <n v="3"/>
    <n v="0"/>
    <n v="3"/>
    <n v="3"/>
    <n v="0"/>
    <n v="3"/>
    <s v="Ya"/>
    <n v="0"/>
    <s v="Tidak"/>
    <n v="0"/>
    <s v="Tidak"/>
    <s v=""/>
    <s v="-"/>
    <n v="0"/>
    <n v="0"/>
    <s v="Tidak ada"/>
    <s v="tidak ada"/>
    <s v="Waktu pelayanan lebih cepat dan tanggap dalam penanganannya"/>
    <s v="mempercepat waktu pelayanan"/>
    <s v="tidak ada"/>
    <s v="tidak ada"/>
    <s v="Tidak ada"/>
  </r>
  <r>
    <n v="251"/>
    <s v="Abi Setyo Handoyo"/>
    <x v="0"/>
    <x v="6"/>
    <s v="Tidak"/>
    <s v="Tidak"/>
    <s v="Tidak"/>
    <s v="Tidak"/>
    <x v="1"/>
    <x v="2"/>
    <n v="33"/>
    <x v="2"/>
    <x v="0"/>
    <x v="0"/>
    <n v="3"/>
    <n v="4"/>
    <n v="1"/>
    <n v="3"/>
    <n v="3"/>
    <x v="0"/>
    <n v="4"/>
    <n v="3"/>
    <n v="-1"/>
    <n v="3"/>
    <n v="3"/>
    <n v="0"/>
    <n v="4"/>
    <n v="4"/>
    <n v="0"/>
    <n v="3"/>
    <n v="3"/>
    <n v="0"/>
    <n v="3"/>
    <n v="3"/>
    <n v="0"/>
    <n v="4"/>
    <n v="4"/>
    <n v="0"/>
    <n v="4"/>
    <n v="3"/>
    <n v="-1"/>
    <n v="0"/>
    <s v="Tidak"/>
    <n v="0"/>
    <s v="Tidak"/>
    <n v="0"/>
    <s v="Tidak"/>
    <s v="Teman"/>
    <s v="Teman"/>
    <n v="1"/>
    <n v="4"/>
    <s v="Tidak ada"/>
    <s v="tidak ada"/>
    <s v="Waktu pelayanan di ruang teori terlalu lama"/>
    <s v="mempercepat waktu pelayanan"/>
    <s v="Tidak ada"/>
    <s v="tidak ada"/>
    <s v="Tidak ada"/>
  </r>
  <r>
    <n v="252"/>
    <s v="Indra Setiawan"/>
    <x v="15"/>
    <x v="41"/>
    <s v="Tidak"/>
    <s v="Tidak"/>
    <s v="Tidak"/>
    <s v="Tidak"/>
    <x v="1"/>
    <x v="2"/>
    <n v="25"/>
    <x v="0"/>
    <x v="0"/>
    <x v="0"/>
    <n v="3"/>
    <n v="3"/>
    <n v="0"/>
    <n v="3"/>
    <n v="3"/>
    <x v="0"/>
    <n v="3"/>
    <n v="3"/>
    <n v="0"/>
    <n v="3"/>
    <n v="3"/>
    <n v="0"/>
    <n v="3"/>
    <n v="3"/>
    <n v="0"/>
    <n v="3"/>
    <n v="3"/>
    <n v="0"/>
    <n v="3"/>
    <n v="3"/>
    <n v="0"/>
    <n v="3"/>
    <n v="3"/>
    <n v="0"/>
    <n v="3"/>
    <n v="3"/>
    <n v="0"/>
    <n v="3"/>
    <s v="Ya"/>
    <n v="0"/>
    <s v="Tidak"/>
    <n v="0"/>
    <s v="Tidak"/>
    <s v=""/>
    <s v="-"/>
    <n v="0"/>
    <n v="0"/>
    <s v="Tidak ada"/>
    <s v="tidak ada"/>
    <s v="Tidak ada"/>
    <s v="tidak ada"/>
    <s v="Tidak ada"/>
    <s v="tidak ada"/>
    <s v="Tidak ada"/>
  </r>
  <r>
    <n v="253"/>
    <s v="Christian Evander A M"/>
    <x v="0"/>
    <x v="0"/>
    <s v="Tidak"/>
    <s v="Tidak"/>
    <s v="Tidak"/>
    <s v="Tidak"/>
    <x v="1"/>
    <x v="2"/>
    <n v="18"/>
    <x v="3"/>
    <x v="0"/>
    <x v="1"/>
    <n v="4"/>
    <n v="4"/>
    <n v="0"/>
    <n v="4"/>
    <n v="4"/>
    <x v="0"/>
    <n v="3"/>
    <n v="3"/>
    <n v="0"/>
    <n v="3"/>
    <n v="4"/>
    <n v="1"/>
    <n v="4"/>
    <n v="4"/>
    <n v="0"/>
    <n v="4"/>
    <n v="4"/>
    <n v="0"/>
    <n v="4"/>
    <n v="4"/>
    <n v="0"/>
    <n v="4"/>
    <n v="4"/>
    <n v="0"/>
    <n v="4"/>
    <n v="4"/>
    <n v="0"/>
    <n v="0"/>
    <s v="Tidak"/>
    <n v="0"/>
    <s v="Tidak"/>
    <n v="0"/>
    <s v="Tidak"/>
    <s v="Saudara"/>
    <s v="Keluarga"/>
    <n v="1"/>
    <n v="4"/>
    <s v="Tidak ada"/>
    <s v="tidak ada"/>
    <s v="Di tes teori praktek agak lama"/>
    <s v="mempercepat waktu pelayanan"/>
    <s v="Tidak ada"/>
    <s v="tidak ada"/>
    <s v="Tidak ada"/>
  </r>
  <r>
    <n v="254"/>
    <s v="Moch Arif Handoko"/>
    <x v="8"/>
    <x v="42"/>
    <s v="Tidak"/>
    <s v="Tidak"/>
    <s v="Tidak"/>
    <s v="Tidak"/>
    <x v="1"/>
    <x v="4"/>
    <n v="37"/>
    <x v="4"/>
    <x v="0"/>
    <x v="0"/>
    <n v="4"/>
    <n v="4"/>
    <n v="0"/>
    <n v="4"/>
    <n v="4"/>
    <x v="0"/>
    <n v="3"/>
    <n v="3"/>
    <n v="0"/>
    <n v="0"/>
    <n v="0"/>
    <n v="0"/>
    <n v="4"/>
    <n v="4"/>
    <n v="0"/>
    <n v="4"/>
    <n v="4"/>
    <n v="0"/>
    <n v="4"/>
    <n v="4"/>
    <n v="0"/>
    <n v="4"/>
    <n v="4"/>
    <n v="0"/>
    <n v="4"/>
    <n v="4"/>
    <n v="0"/>
    <n v="4"/>
    <s v="Ya"/>
    <n v="0"/>
    <s v="Tidak"/>
    <n v="0"/>
    <s v="Tidak"/>
    <s v=""/>
    <s v="-"/>
    <n v="0"/>
    <n v="0"/>
    <s v="Selalu untk jga kestabilan pelanan kod masyarakat karena di posisi sekarang mnrt sya sudah baik, mungkinharus tetap pertahankan itu dan terus belajar untuk menutupi kukurangan yg timbul di polresta sidoarjo mungkin dnegan kecepatannya dan banyak hal."/>
    <s v="sudah baik/bagus"/>
    <s v="Pelayanannya sudah ok banget waktu sudah cukup baik"/>
    <s v="proses pelayanan cepat dan mudah"/>
    <s v="Sudah banyak yg sudah di renovasi mulai kamar mandi, mungkin pmbersihan dan peremajaan aja ACnya kurang dingin"/>
    <s v="sudah baik/bagus"/>
    <s v=""/>
  </r>
  <r>
    <n v="255"/>
    <s v="Fadil Maulana"/>
    <x v="0"/>
    <x v="5"/>
    <s v="Tidak"/>
    <s v="Tidak"/>
    <s v="Tidak"/>
    <s v="Tidak"/>
    <x v="1"/>
    <x v="3"/>
    <n v="20"/>
    <x v="3"/>
    <x v="0"/>
    <x v="8"/>
    <n v="3"/>
    <n v="4"/>
    <n v="1"/>
    <n v="3"/>
    <n v="3"/>
    <x v="0"/>
    <n v="3"/>
    <n v="3"/>
    <n v="0"/>
    <n v="3"/>
    <n v="3"/>
    <n v="0"/>
    <n v="3"/>
    <n v="3"/>
    <n v="0"/>
    <n v="4"/>
    <n v="4"/>
    <n v="0"/>
    <n v="4"/>
    <n v="4"/>
    <n v="0"/>
    <n v="3"/>
    <n v="3"/>
    <n v="0"/>
    <n v="3"/>
    <n v="3"/>
    <n v="0"/>
    <n v="4"/>
    <s v="Ya"/>
    <n v="0"/>
    <s v="Tidak"/>
    <n v="0"/>
    <s v="Tidak"/>
    <s v=""/>
    <s v="-"/>
    <n v="0"/>
    <n v="0"/>
    <s v="Lebih tanggap lagi"/>
    <s v="lebih responsif untuk pelayanannya"/>
    <s v="Cukup"/>
    <s v="sudah baik/bagus"/>
    <s v="Cukup"/>
    <s v="sudah baik/bagus"/>
    <s v=""/>
  </r>
  <r>
    <n v="256"/>
    <s v="Rilla Indah Sari"/>
    <x v="0"/>
    <x v="17"/>
    <s v="Tidak"/>
    <s v="Tidak"/>
    <s v="Tidak"/>
    <s v="Tidak"/>
    <x v="0"/>
    <x v="3"/>
    <n v="18"/>
    <x v="3"/>
    <x v="0"/>
    <x v="1"/>
    <n v="3"/>
    <n v="4"/>
    <n v="1"/>
    <n v="3"/>
    <n v="3"/>
    <x v="0"/>
    <n v="3"/>
    <n v="3"/>
    <n v="0"/>
    <n v="3"/>
    <n v="3"/>
    <n v="0"/>
    <n v="4"/>
    <n v="4"/>
    <n v="0"/>
    <n v="3"/>
    <n v="3"/>
    <n v="0"/>
    <n v="3"/>
    <n v="3"/>
    <n v="0"/>
    <n v="3"/>
    <n v="3"/>
    <n v="0"/>
    <n v="3"/>
    <n v="3"/>
    <n v="0"/>
    <n v="0"/>
    <s v="Tidak"/>
    <n v="0"/>
    <s v="Tidak"/>
    <n v="0"/>
    <s v="Tidak"/>
    <s v="Orang Tua"/>
    <s v="Keluarga"/>
    <n v="2"/>
    <n v="3"/>
    <s v="Tidak ada"/>
    <s v="tidak ada"/>
    <s v="Tidak ada"/>
    <s v="tidak ada"/>
    <s v="Tidak ada"/>
    <s v="tidak ada"/>
    <s v="Tidak ada"/>
  </r>
  <r>
    <n v="257"/>
    <s v="Diyari anshari rozak"/>
    <x v="0"/>
    <x v="15"/>
    <s v="Tidak"/>
    <s v="Tidak"/>
    <s v="Tidak"/>
    <s v="Tidak"/>
    <x v="1"/>
    <x v="3"/>
    <n v="18"/>
    <x v="3"/>
    <x v="0"/>
    <x v="1"/>
    <n v="4"/>
    <n v="4"/>
    <n v="0"/>
    <n v="4"/>
    <n v="4"/>
    <x v="0"/>
    <n v="4"/>
    <n v="4"/>
    <n v="0"/>
    <n v="4"/>
    <n v="4"/>
    <n v="0"/>
    <n v="3"/>
    <n v="4"/>
    <n v="1"/>
    <n v="4"/>
    <n v="4"/>
    <n v="0"/>
    <n v="4"/>
    <n v="4"/>
    <n v="0"/>
    <n v="4"/>
    <n v="4"/>
    <n v="0"/>
    <n v="4"/>
    <n v="4"/>
    <n v="0"/>
    <n v="0"/>
    <s v="Tidak"/>
    <n v="0"/>
    <s v="Tidak"/>
    <n v="0"/>
    <s v="Tidak"/>
    <s v="Teman"/>
    <s v="Teman"/>
    <n v="2"/>
    <n v="3"/>
    <s v="Tidak ada"/>
    <s v="tidak ada"/>
    <s v="Tidak ada"/>
    <s v="tidak ada"/>
    <s v="Tidak ada"/>
    <s v="tidak ada"/>
    <s v="Tidak ada"/>
  </r>
  <r>
    <n v="258"/>
    <s v="Yedia kusuma putra"/>
    <x v="0"/>
    <x v="10"/>
    <s v="Tidak"/>
    <s v="Tidak"/>
    <s v="Tidak"/>
    <s v="Tidak"/>
    <x v="1"/>
    <x v="3"/>
    <n v="18"/>
    <x v="3"/>
    <x v="0"/>
    <x v="1"/>
    <n v="3"/>
    <n v="3"/>
    <n v="0"/>
    <n v="3"/>
    <n v="3"/>
    <x v="0"/>
    <n v="3"/>
    <n v="3"/>
    <n v="0"/>
    <n v="3"/>
    <n v="3"/>
    <n v="0"/>
    <n v="4"/>
    <n v="4"/>
    <n v="0"/>
    <n v="3"/>
    <n v="3"/>
    <n v="0"/>
    <n v="3"/>
    <n v="3"/>
    <n v="0"/>
    <n v="4"/>
    <n v="4"/>
    <n v="0"/>
    <n v="3"/>
    <n v="4"/>
    <n v="1"/>
    <n v="3"/>
    <s v="Ya"/>
    <n v="0"/>
    <s v="Tidak"/>
    <n v="0"/>
    <s v="Tidak"/>
    <s v=""/>
    <s v="-"/>
    <n v="0"/>
    <n v="0"/>
    <s v="Tidak ada"/>
    <s v="tidak ada"/>
    <s v="Tidak ada"/>
    <s v="tidak ada"/>
    <s v="Ruang tunggu baca kursi sudah rusak"/>
    <s v="kursi ditambah atau diperbaiki yang rusak"/>
    <s v="Tidak ada"/>
  </r>
  <r>
    <n v="259"/>
    <s v="Winda widyasari"/>
    <x v="0"/>
    <x v="0"/>
    <s v="Tidak"/>
    <s v="Tidak"/>
    <s v="Tidak"/>
    <s v="Tidak"/>
    <x v="0"/>
    <x v="3"/>
    <n v="25"/>
    <x v="0"/>
    <x v="1"/>
    <x v="4"/>
    <n v="3"/>
    <n v="3"/>
    <n v="0"/>
    <n v="4"/>
    <n v="3"/>
    <x v="1"/>
    <n v="4"/>
    <n v="4"/>
    <n v="0"/>
    <n v="3"/>
    <n v="4"/>
    <n v="1"/>
    <n v="4"/>
    <n v="4"/>
    <n v="0"/>
    <n v="4"/>
    <n v="3"/>
    <n v="-1"/>
    <n v="4"/>
    <n v="4"/>
    <n v="0"/>
    <n v="4"/>
    <n v="4"/>
    <n v="0"/>
    <n v="4"/>
    <n v="3"/>
    <n v="-1"/>
    <n v="4"/>
    <s v="Tidak"/>
    <n v="0"/>
    <s v="Tidak"/>
    <n v="0"/>
    <s v="Tidak"/>
    <s v=""/>
    <s v="-"/>
    <n v="0"/>
    <n v="0"/>
    <s v="Tidak ada"/>
    <s v="tidak ada"/>
    <s v="Tidak ada"/>
    <s v="tidak ada"/>
    <s v="TIdak ada"/>
    <s v="tidak ada"/>
    <s v="Ruang tunggu di tes teori di perbanyak kursi dan yang nyaman"/>
  </r>
  <r>
    <n v="260"/>
    <s v="Achmad Ridhwan"/>
    <x v="0"/>
    <x v="2"/>
    <s v="Tidak"/>
    <s v="Tidak"/>
    <s v="Tidak"/>
    <s v="Tidak"/>
    <x v="1"/>
    <x v="3"/>
    <n v="18"/>
    <x v="3"/>
    <x v="0"/>
    <x v="3"/>
    <n v="3"/>
    <n v="3"/>
    <n v="0"/>
    <n v="3"/>
    <n v="3"/>
    <x v="0"/>
    <n v="2"/>
    <n v="3"/>
    <n v="1"/>
    <n v="3"/>
    <n v="3"/>
    <n v="0"/>
    <n v="3"/>
    <n v="4"/>
    <n v="1"/>
    <n v="4"/>
    <n v="4"/>
    <n v="0"/>
    <n v="4"/>
    <n v="4"/>
    <n v="0"/>
    <n v="3"/>
    <n v="4"/>
    <n v="1"/>
    <n v="3"/>
    <n v="3"/>
    <n v="0"/>
    <n v="0"/>
    <s v="Tidak"/>
    <n v="0"/>
    <s v="Tidak"/>
    <n v="0"/>
    <s v="Tidak"/>
    <s v="Tetangga"/>
    <s v="Teman"/>
    <n v="1"/>
    <n v="4"/>
    <s v="Tidak ada"/>
    <s v="tidak ada"/>
    <s v="Tidak ada"/>
    <s v="tidak ada"/>
    <s v="TIdak ada"/>
    <s v="tidak ada"/>
    <s v="Tidak ada"/>
  </r>
  <r>
    <n v="261"/>
    <s v="Nidya Rahmadita"/>
    <x v="0"/>
    <x v="0"/>
    <s v="Tidak"/>
    <s v="Tidak"/>
    <s v="Tidak"/>
    <s v="Tidak"/>
    <x v="0"/>
    <x v="4"/>
    <n v="39"/>
    <x v="4"/>
    <x v="1"/>
    <x v="0"/>
    <n v="3"/>
    <n v="3"/>
    <n v="0"/>
    <n v="3"/>
    <n v="3"/>
    <x v="0"/>
    <n v="3"/>
    <n v="3"/>
    <n v="0"/>
    <n v="0"/>
    <n v="0"/>
    <n v="0"/>
    <n v="3"/>
    <n v="3"/>
    <n v="0"/>
    <n v="3"/>
    <n v="3"/>
    <n v="0"/>
    <n v="3"/>
    <n v="3"/>
    <n v="0"/>
    <n v="3"/>
    <n v="3"/>
    <n v="0"/>
    <n v="4"/>
    <n v="4"/>
    <n v="0"/>
    <n v="0"/>
    <s v="Tidak"/>
    <n v="0"/>
    <s v="Tidak"/>
    <n v="4"/>
    <s v="Ya"/>
    <s v=""/>
    <s v="-"/>
    <n v="0"/>
    <n v="0"/>
    <s v="Sudah cukup baik dan di jaga"/>
    <s v="sudah baik/bagus"/>
    <s v="Sudah cukup baik"/>
    <s v="sudah baik/bagus"/>
    <s v="Sudah cukup"/>
    <s v="sudah baik/bagus"/>
    <s v=""/>
  </r>
  <r>
    <n v="262"/>
    <s v="Mario Kent"/>
    <x v="8"/>
    <x v="43"/>
    <s v="Tidak"/>
    <s v="Tidak"/>
    <s v="Tidak"/>
    <s v="Tidak"/>
    <x v="1"/>
    <x v="4"/>
    <n v="27"/>
    <x v="1"/>
    <x v="4"/>
    <x v="0"/>
    <n v="4"/>
    <n v="3"/>
    <n v="-1"/>
    <n v="3"/>
    <n v="3"/>
    <x v="0"/>
    <n v="2"/>
    <n v="3"/>
    <n v="1"/>
    <n v="0"/>
    <n v="0"/>
    <n v="0"/>
    <n v="4"/>
    <n v="4"/>
    <n v="0"/>
    <n v="4"/>
    <n v="4"/>
    <n v="0"/>
    <n v="4"/>
    <n v="4"/>
    <n v="0"/>
    <n v="3"/>
    <n v="4"/>
    <n v="1"/>
    <n v="4"/>
    <n v="4"/>
    <n v="0"/>
    <n v="0"/>
    <s v="Tidak"/>
    <n v="0"/>
    <s v="Tidak"/>
    <n v="0"/>
    <s v="Tidak"/>
    <s v="Teman kerja"/>
    <s v="Teman"/>
    <n v="2"/>
    <n v="3"/>
    <s v="Sudah bagus"/>
    <s v="sudah baik/bagus"/>
    <s v="Sudah bagus"/>
    <s v="sudah baik/bagus"/>
    <s v="Sudah bagus"/>
    <s v="sudah baik/bagus"/>
    <s v=""/>
  </r>
  <r>
    <n v="263"/>
    <s v="Huda Tri Sukarno"/>
    <x v="3"/>
    <x v="44"/>
    <s v="Tidak"/>
    <s v="Tidak"/>
    <s v="Tidak"/>
    <s v="Tidak"/>
    <x v="1"/>
    <x v="4"/>
    <n v="25"/>
    <x v="0"/>
    <x v="0"/>
    <x v="2"/>
    <n v="4"/>
    <n v="4"/>
    <n v="0"/>
    <n v="4"/>
    <n v="4"/>
    <x v="0"/>
    <n v="4"/>
    <n v="4"/>
    <n v="0"/>
    <n v="0"/>
    <n v="0"/>
    <n v="0"/>
    <n v="4"/>
    <n v="4"/>
    <n v="0"/>
    <n v="4"/>
    <n v="4"/>
    <n v="0"/>
    <n v="4"/>
    <n v="4"/>
    <n v="0"/>
    <n v="4"/>
    <n v="4"/>
    <n v="0"/>
    <n v="4"/>
    <n v="4"/>
    <n v="0"/>
    <n v="0"/>
    <s v="Tidak"/>
    <n v="0"/>
    <s v="Tidak"/>
    <n v="4"/>
    <s v="Ya"/>
    <s v=""/>
    <s v="-"/>
    <n v="0"/>
    <n v="0"/>
    <s v="Sdh bagus, lbh ditingkatkan lagi"/>
    <s v="meningkatkan kinerja pelayanan"/>
    <s v="Sudah cukup"/>
    <s v="sudah baik/bagus"/>
    <s v="Sudah cukup"/>
    <s v="sudah baik/bagus"/>
    <s v=""/>
  </r>
  <r>
    <n v="264"/>
    <s v="Rizal Hermawan"/>
    <x v="0"/>
    <x v="0"/>
    <s v="Tidak"/>
    <s v="Tidak"/>
    <s v="Tidak"/>
    <s v="Tidak"/>
    <x v="1"/>
    <x v="4"/>
    <n v="29"/>
    <x v="1"/>
    <x v="0"/>
    <x v="2"/>
    <n v="4"/>
    <n v="4"/>
    <n v="0"/>
    <n v="4"/>
    <n v="4"/>
    <x v="0"/>
    <n v="4"/>
    <n v="4"/>
    <n v="0"/>
    <n v="0"/>
    <n v="0"/>
    <n v="0"/>
    <n v="4"/>
    <n v="4"/>
    <n v="0"/>
    <n v="4"/>
    <n v="4"/>
    <n v="0"/>
    <n v="4"/>
    <n v="4"/>
    <n v="0"/>
    <n v="4"/>
    <n v="4"/>
    <n v="0"/>
    <n v="4"/>
    <n v="4"/>
    <n v="0"/>
    <n v="0"/>
    <s v="Tidak"/>
    <n v="0"/>
    <s v="Tidak"/>
    <n v="0"/>
    <s v="Tidak"/>
    <s v="Dekat rumah"/>
    <s v="Mengetahui sendiri"/>
    <n v="1"/>
    <n v="4"/>
    <s v="Sudah bagus"/>
    <s v="sudah baik/bagus"/>
    <s v="Sudah bagus"/>
    <s v="sudah baik/bagus"/>
    <s v="Sdh bagus tp kadang masih bau asap rokok"/>
    <s v="diberi larangan merokok"/>
    <s v=""/>
  </r>
  <r>
    <n v="265"/>
    <s v="Umar Hasan"/>
    <x v="0"/>
    <x v="45"/>
    <s v="Tidak"/>
    <s v="Tidak"/>
    <s v="Tidak"/>
    <s v="Tidak"/>
    <x v="1"/>
    <x v="4"/>
    <n v="53"/>
    <x v="8"/>
    <x v="3"/>
    <x v="2"/>
    <n v="4"/>
    <n v="4"/>
    <n v="0"/>
    <n v="4"/>
    <n v="3"/>
    <x v="1"/>
    <n v="4"/>
    <n v="4"/>
    <n v="0"/>
    <n v="0"/>
    <n v="0"/>
    <n v="0"/>
    <n v="4"/>
    <n v="3"/>
    <n v="-1"/>
    <n v="4"/>
    <n v="4"/>
    <n v="0"/>
    <n v="4"/>
    <n v="4"/>
    <n v="0"/>
    <n v="4"/>
    <n v="4"/>
    <n v="0"/>
    <n v="4"/>
    <n v="4"/>
    <n v="0"/>
    <n v="0"/>
    <s v="Tidak"/>
    <n v="0"/>
    <s v="Tidak"/>
    <n v="0"/>
    <s v="Tidak"/>
    <s v="Keluarga"/>
    <s v="Keluarga"/>
    <n v="1"/>
    <n v="4"/>
    <s v="Sudah bagus"/>
    <s v="sudah baik/bagus"/>
    <s v="Sudah baik"/>
    <s v="sudah baik/bagus"/>
    <s v="Sudah bagus"/>
    <s v="sudah baik/bagus"/>
    <s v=""/>
  </r>
  <r>
    <n v="266"/>
    <s v="Erwin Novarida Mastiti"/>
    <x v="0"/>
    <x v="2"/>
    <s v="Tidak"/>
    <s v="Tidak"/>
    <s v="Tidak"/>
    <s v="Tidak"/>
    <x v="0"/>
    <x v="4"/>
    <n v="40"/>
    <x v="4"/>
    <x v="0"/>
    <x v="2"/>
    <n v="4"/>
    <n v="4"/>
    <n v="0"/>
    <n v="4"/>
    <n v="4"/>
    <x v="0"/>
    <n v="4"/>
    <n v="4"/>
    <n v="0"/>
    <n v="0"/>
    <n v="0"/>
    <n v="0"/>
    <n v="4"/>
    <n v="4"/>
    <n v="0"/>
    <n v="4"/>
    <n v="4"/>
    <n v="0"/>
    <n v="4"/>
    <n v="4"/>
    <n v="0"/>
    <n v="4"/>
    <n v="4"/>
    <n v="0"/>
    <n v="4"/>
    <n v="3"/>
    <n v="-1"/>
    <n v="0"/>
    <s v="Tidak"/>
    <n v="0"/>
    <s v="Tidak"/>
    <n v="0"/>
    <s v="Tidak"/>
    <s v="Inisiatif sendiri"/>
    <s v="Mengetahui sendiri"/>
    <n v="1"/>
    <n v="4"/>
    <s v="Sejauh ini semua baik, lebih ditingkatkan"/>
    <s v="meningkatkan kinerja pelayanan"/>
    <s v="Sudah bagus"/>
    <s v="sudah baik/bagus"/>
    <s v="Sudah sesuai"/>
    <s v="sudah baik/bagus"/>
    <s v=""/>
  </r>
  <r>
    <n v="267"/>
    <s v="Dwi devina"/>
    <x v="0"/>
    <x v="3"/>
    <s v="Tidak"/>
    <s v="Tidak"/>
    <s v="Tidak"/>
    <s v="Tidak"/>
    <x v="0"/>
    <x v="1"/>
    <n v="30"/>
    <x v="1"/>
    <x v="2"/>
    <x v="0"/>
    <n v="4"/>
    <n v="4"/>
    <n v="0"/>
    <n v="4"/>
    <n v="4"/>
    <x v="0"/>
    <n v="4"/>
    <n v="4"/>
    <n v="0"/>
    <n v="4"/>
    <n v="4"/>
    <n v="0"/>
    <n v="4"/>
    <n v="4"/>
    <n v="0"/>
    <n v="4"/>
    <n v="4"/>
    <n v="0"/>
    <n v="4"/>
    <n v="4"/>
    <n v="0"/>
    <n v="4"/>
    <n v="4"/>
    <n v="0"/>
    <n v="4"/>
    <n v="4"/>
    <n v="0"/>
    <n v="0"/>
    <s v="Tidak"/>
    <n v="0"/>
    <s v="Tidak"/>
    <n v="0"/>
    <s v="Tidak"/>
    <s v="Saudara"/>
    <s v="Keluarga"/>
    <n v="1"/>
    <n v="4"/>
    <s v="Tidak ada"/>
    <s v="tidak ada"/>
    <s v="Tidak ada"/>
    <s v="tidak ada"/>
    <s v="TIdak ada"/>
    <s v="tidak ada"/>
    <s v="Tidak ada"/>
  </r>
  <r>
    <n v="268"/>
    <s v="Siti nur fadilah"/>
    <x v="8"/>
    <x v="46"/>
    <s v="Tidak"/>
    <s v="Tidak"/>
    <s v="Tidak"/>
    <s v="Tidak"/>
    <x v="0"/>
    <x v="1"/>
    <n v="36"/>
    <x v="4"/>
    <x v="1"/>
    <x v="7"/>
    <n v="4"/>
    <n v="4"/>
    <n v="0"/>
    <n v="3"/>
    <n v="3"/>
    <x v="0"/>
    <n v="3"/>
    <n v="3"/>
    <n v="0"/>
    <n v="4"/>
    <n v="4"/>
    <n v="0"/>
    <n v="4"/>
    <n v="4"/>
    <n v="0"/>
    <n v="4"/>
    <n v="4"/>
    <n v="0"/>
    <n v="3"/>
    <n v="3"/>
    <n v="0"/>
    <n v="4"/>
    <n v="4"/>
    <n v="0"/>
    <n v="4"/>
    <n v="4"/>
    <n v="0"/>
    <n v="3"/>
    <s v="Ya"/>
    <n v="0"/>
    <s v="Tidak"/>
    <n v="0"/>
    <s v="Tidak"/>
    <s v=""/>
    <s v="-"/>
    <n v="0"/>
    <n v="0"/>
    <s v="Tidak ada"/>
    <s v="tidak ada"/>
    <s v="Tidak ada"/>
    <s v="tidak ada"/>
    <s v="Tidak ada"/>
    <s v="tidak ada"/>
    <s v="Tidak ada"/>
  </r>
  <r>
    <n v="269"/>
    <s v="Ilmina mupida hamzah"/>
    <x v="0"/>
    <x v="47"/>
    <s v="Tidak"/>
    <s v="Tidak"/>
    <s v="Tidak"/>
    <s v="Tidak"/>
    <x v="0"/>
    <x v="2"/>
    <n v="20"/>
    <x v="3"/>
    <x v="0"/>
    <x v="1"/>
    <n v="3"/>
    <n v="3"/>
    <n v="0"/>
    <n v="3"/>
    <n v="3"/>
    <x v="0"/>
    <n v="3"/>
    <n v="3"/>
    <n v="0"/>
    <n v="3"/>
    <n v="3"/>
    <n v="0"/>
    <n v="3"/>
    <n v="3"/>
    <n v="0"/>
    <n v="3"/>
    <n v="3"/>
    <n v="0"/>
    <n v="3"/>
    <n v="3"/>
    <n v="0"/>
    <n v="3"/>
    <n v="3"/>
    <n v="0"/>
    <n v="3"/>
    <n v="3"/>
    <n v="0"/>
    <n v="0"/>
    <s v="Tidak"/>
    <n v="0"/>
    <s v="Tidak"/>
    <n v="0"/>
    <s v="Tidak"/>
    <s v="Orang tua"/>
    <s v="Keluarga"/>
    <n v="2"/>
    <n v="3"/>
    <s v="Tidak ada"/>
    <s v="tidak ada"/>
    <s v="Lebih cepat lagi"/>
    <s v="mempercepat waktu pelayanan"/>
    <s v="Tidak ada"/>
    <s v="tidak ada"/>
    <s v="TIdak ada"/>
  </r>
  <r>
    <n v="270"/>
    <s v="Febian Adhi Pratama"/>
    <x v="0"/>
    <x v="10"/>
    <s v="Tidak"/>
    <s v="Tidak"/>
    <s v="Tidak"/>
    <s v="Tidak"/>
    <x v="1"/>
    <x v="2"/>
    <n v="26"/>
    <x v="1"/>
    <x v="0"/>
    <x v="0"/>
    <n v="3"/>
    <n v="3"/>
    <n v="0"/>
    <n v="3"/>
    <n v="3"/>
    <x v="0"/>
    <n v="3"/>
    <n v="3"/>
    <n v="0"/>
    <n v="3"/>
    <n v="3"/>
    <n v="0"/>
    <n v="3"/>
    <n v="3"/>
    <n v="0"/>
    <n v="3"/>
    <n v="3"/>
    <n v="0"/>
    <n v="3"/>
    <n v="3"/>
    <n v="0"/>
    <n v="3"/>
    <n v="3"/>
    <n v="0"/>
    <n v="3"/>
    <n v="3"/>
    <n v="0"/>
    <n v="0"/>
    <s v="Tidak"/>
    <n v="0"/>
    <s v="Tidak"/>
    <n v="0"/>
    <s v="Tidak"/>
    <s v="Teman"/>
    <s v="Teman"/>
    <n v="2"/>
    <n v="3"/>
    <s v="Tidak ada"/>
    <s v="tidak ada"/>
    <s v="Tidak ada"/>
    <s v="tidak ada"/>
    <s v="Tidak ada"/>
    <s v="tidak ada"/>
    <s v="Tidak ada"/>
  </r>
  <r>
    <n v="271"/>
    <s v="Dwi Saputra"/>
    <x v="0"/>
    <x v="20"/>
    <s v="Tidak"/>
    <s v="Tidak"/>
    <s v="Tidak"/>
    <s v="Tidak"/>
    <x v="1"/>
    <x v="5"/>
    <n v="32"/>
    <x v="2"/>
    <x v="0"/>
    <x v="0"/>
    <n v="4"/>
    <n v="4"/>
    <n v="0"/>
    <n v="4"/>
    <n v="4"/>
    <x v="0"/>
    <n v="4"/>
    <n v="4"/>
    <n v="0"/>
    <n v="0"/>
    <n v="0"/>
    <n v="0"/>
    <n v="3"/>
    <n v="3"/>
    <n v="0"/>
    <n v="4"/>
    <n v="4"/>
    <n v="0"/>
    <n v="3"/>
    <n v="3"/>
    <n v="0"/>
    <n v="3"/>
    <n v="3"/>
    <n v="0"/>
    <n v="4"/>
    <n v="4"/>
    <n v="0"/>
    <n v="0"/>
    <s v="Tidak"/>
    <n v="0"/>
    <s v="Tidak"/>
    <n v="0"/>
    <s v="Tidak"/>
    <s v="Datang langsung"/>
    <s v="Mengetahui sendiri"/>
    <n v="1"/>
    <n v="4"/>
    <s v="Lebih ditingkatkan kuatitasnya dan di pertahankankan kualitasnya"/>
    <s v="meningkatkan kinerja pelayanan"/>
    <s v="Sudah sesuai"/>
    <s v="sudah baik/bagus"/>
    <s v="Pelayanan publik lebih di perbanyak atau bisa mobile (tidak hanya di satu tempat )"/>
    <s v="kursi ditambah atau diperbaiki yang rusak"/>
    <s v=""/>
  </r>
  <r>
    <n v="272"/>
    <s v="Yandi Hermanto"/>
    <x v="16"/>
    <x v="48"/>
    <s v="Tidak"/>
    <s v="Tidak"/>
    <s v="Tidak"/>
    <s v="Tidak"/>
    <x v="1"/>
    <x v="4"/>
    <n v="37"/>
    <x v="4"/>
    <x v="1"/>
    <x v="0"/>
    <n v="3"/>
    <n v="3"/>
    <n v="0"/>
    <n v="4"/>
    <n v="4"/>
    <x v="0"/>
    <n v="4"/>
    <n v="3"/>
    <n v="-1"/>
    <n v="0"/>
    <n v="0"/>
    <n v="0"/>
    <n v="4"/>
    <n v="3"/>
    <n v="-1"/>
    <n v="4"/>
    <n v="3"/>
    <n v="-1"/>
    <n v="4"/>
    <n v="3"/>
    <n v="-1"/>
    <n v="3"/>
    <n v="3"/>
    <n v="0"/>
    <n v="3"/>
    <n v="3"/>
    <n v="0"/>
    <n v="0"/>
    <s v="Tidak"/>
    <n v="0"/>
    <s v="Tidak"/>
    <n v="0"/>
    <s v="Tidak"/>
    <s v="Pimpinan &amp; teman ditempat kerja"/>
    <s v="Teman"/>
    <n v="2"/>
    <n v="3"/>
    <s v="Tidak ada, sudah bagus"/>
    <s v="tidak ada"/>
    <s v="Bagus proses tidak berbelit-belit"/>
    <s v="sudah baik/bagus"/>
    <s v="Perlu ada perluasan ruang tunggu / ditambah kursi tunggu"/>
    <s v="kursi ditambah atau diperbaiki yang rusak"/>
    <s v=""/>
  </r>
  <r>
    <n v="273"/>
    <s v="Anis Nurhasanah"/>
    <x v="0"/>
    <x v="9"/>
    <s v="Tidak"/>
    <s v="Tidak"/>
    <s v="Tidak"/>
    <s v="Tidak"/>
    <x v="0"/>
    <x v="4"/>
    <n v="35"/>
    <x v="2"/>
    <x v="3"/>
    <x v="2"/>
    <n v="3"/>
    <n v="3"/>
    <n v="0"/>
    <n v="3"/>
    <n v="3"/>
    <x v="0"/>
    <n v="3"/>
    <n v="3"/>
    <n v="0"/>
    <n v="0"/>
    <n v="0"/>
    <n v="0"/>
    <n v="3"/>
    <n v="3"/>
    <n v="0"/>
    <n v="3"/>
    <n v="3"/>
    <n v="0"/>
    <n v="3"/>
    <n v="3"/>
    <n v="0"/>
    <n v="3"/>
    <n v="3"/>
    <n v="0"/>
    <n v="3"/>
    <n v="3"/>
    <n v="0"/>
    <n v="0"/>
    <s v="Tidak"/>
    <n v="0"/>
    <s v="Tidak"/>
    <n v="0"/>
    <s v="Tidak"/>
    <s v="Polsek porong"/>
    <s v="Informasi dari pegawai lembaga pemerintahan"/>
    <n v="2"/>
    <n v="3"/>
    <s v="Sudah sesuai"/>
    <s v="sudah baik/bagus"/>
    <s v="Sudah cukup"/>
    <s v="sudah baik/bagus"/>
    <s v="Sudah cukup"/>
    <s v="sudah baik/bagus"/>
    <s v=""/>
  </r>
  <r>
    <n v="274"/>
    <s v="Ririn Farida"/>
    <x v="0"/>
    <x v="9"/>
    <s v="Tidak"/>
    <s v="Tidak"/>
    <s v="Tidak"/>
    <s v="Tidak"/>
    <x v="0"/>
    <x v="2"/>
    <n v="36"/>
    <x v="4"/>
    <x v="0"/>
    <x v="0"/>
    <n v="3"/>
    <n v="3"/>
    <n v="0"/>
    <n v="3"/>
    <n v="3"/>
    <x v="0"/>
    <n v="3"/>
    <n v="3"/>
    <n v="0"/>
    <n v="3"/>
    <n v="3"/>
    <n v="0"/>
    <n v="3"/>
    <n v="3"/>
    <n v="0"/>
    <n v="3"/>
    <n v="3"/>
    <n v="0"/>
    <n v="3"/>
    <n v="3"/>
    <n v="0"/>
    <n v="3"/>
    <n v="3"/>
    <n v="0"/>
    <n v="3"/>
    <n v="3"/>
    <n v="0"/>
    <n v="0"/>
    <s v="Tidak"/>
    <n v="0"/>
    <s v="Tidak"/>
    <n v="0"/>
    <s v="Tidak"/>
    <s v="Tempat kerja"/>
    <s v="Teman"/>
    <n v="2"/>
    <n v="3"/>
    <s v="Tidak ada"/>
    <s v="tidak ada"/>
    <s v="Lebih cepat di tesnya ( tes tulis)"/>
    <s v="mempercepat waktu pelayanan"/>
    <s v="Tidak ada"/>
    <s v="tidak ada"/>
    <s v="Tidak ada"/>
  </r>
  <r>
    <n v="275"/>
    <s v="Panji B Pamungkas"/>
    <x v="0"/>
    <x v="0"/>
    <s v="Tidak"/>
    <s v="Tidak"/>
    <s v="Tidak"/>
    <s v="Tidak"/>
    <x v="1"/>
    <x v="4"/>
    <n v="30"/>
    <x v="1"/>
    <x v="1"/>
    <x v="0"/>
    <n v="3"/>
    <n v="3"/>
    <n v="0"/>
    <n v="3"/>
    <n v="3"/>
    <x v="0"/>
    <n v="4"/>
    <n v="4"/>
    <n v="0"/>
    <n v="0"/>
    <n v="0"/>
    <n v="0"/>
    <n v="4"/>
    <n v="4"/>
    <n v="0"/>
    <n v="3"/>
    <n v="4"/>
    <n v="1"/>
    <n v="3"/>
    <n v="4"/>
    <n v="1"/>
    <n v="4"/>
    <n v="4"/>
    <n v="0"/>
    <n v="3"/>
    <n v="4"/>
    <n v="1"/>
    <n v="0"/>
    <s v="Tidak"/>
    <n v="0"/>
    <s v="Tidak"/>
    <n v="0"/>
    <s v="Tidak"/>
    <s v="Inisiatif sendiri &amp; keluarga"/>
    <s v="Mengetahui sendiri"/>
    <n v="1"/>
    <n v="4"/>
    <s v="Saran saat proses awal TKP dilaksanakan dengan maksimal / lebih teliti."/>
    <s v="meningkatkan kinerja pelayanan"/>
    <s v="Masa tunggu cukup lama saat menuju proses BAP kalau bisa lebih cepat, terutama saat malam hari dengan ada petugas yg stanby"/>
    <s v="meningkatkan kinerja pelayanan"/>
    <s v="Pada saat laporan awal diwaktu malam ruangan bau rokok, jadi saran untuk petugas yang merokok baik nya tidak di dalam ruangan"/>
    <s v="menyediakan air mineral"/>
    <s v=""/>
  </r>
  <r>
    <n v="276"/>
    <s v="Sutri Laksito"/>
    <x v="0"/>
    <x v="5"/>
    <s v="Tidak"/>
    <s v="Tidak"/>
    <s v="Tidak"/>
    <s v="Tidak"/>
    <x v="1"/>
    <x v="5"/>
    <n v="36"/>
    <x v="4"/>
    <x v="0"/>
    <x v="0"/>
    <n v="3"/>
    <n v="3"/>
    <n v="0"/>
    <n v="3"/>
    <n v="3"/>
    <x v="0"/>
    <n v="3"/>
    <n v="3"/>
    <n v="0"/>
    <n v="0"/>
    <n v="0"/>
    <n v="0"/>
    <n v="3"/>
    <n v="3"/>
    <n v="0"/>
    <n v="3"/>
    <n v="3"/>
    <n v="0"/>
    <n v="3"/>
    <n v="3"/>
    <n v="0"/>
    <n v="3"/>
    <n v="3"/>
    <n v="0"/>
    <n v="3"/>
    <n v="3"/>
    <n v="0"/>
    <n v="0"/>
    <s v="Tidak"/>
    <n v="0"/>
    <s v="Tidak"/>
    <n v="4"/>
    <s v="Ya"/>
    <s v=""/>
    <s v="-"/>
    <n v="0"/>
    <n v="0"/>
    <s v="Sudah cukup"/>
    <s v="sudah baik/bagus"/>
    <s v="Kalau bisa jam oprasionalnya di perpanjang untuk pelayanan di luar jm kerja."/>
    <s v="menambah jam pelayanan"/>
    <s v="Sudah baik"/>
    <s v="sudah baik/bagus"/>
    <s v=""/>
  </r>
  <r>
    <n v="277"/>
    <s v="Achmad fachri pradana"/>
    <x v="0"/>
    <x v="4"/>
    <s v="Tidak"/>
    <s v="Tidak"/>
    <s v="Tidak"/>
    <s v="Tidak"/>
    <x v="1"/>
    <x v="2"/>
    <n v="18"/>
    <x v="3"/>
    <x v="0"/>
    <x v="1"/>
    <n v="3"/>
    <n v="3"/>
    <n v="0"/>
    <n v="3"/>
    <n v="3"/>
    <x v="0"/>
    <n v="2"/>
    <n v="3"/>
    <n v="1"/>
    <n v="3"/>
    <n v="3"/>
    <n v="0"/>
    <n v="3"/>
    <n v="4"/>
    <n v="1"/>
    <n v="4"/>
    <n v="4"/>
    <n v="0"/>
    <n v="3"/>
    <n v="3"/>
    <n v="0"/>
    <n v="4"/>
    <n v="4"/>
    <n v="0"/>
    <n v="3"/>
    <n v="3"/>
    <n v="0"/>
    <n v="0"/>
    <s v="Tidak"/>
    <n v="0"/>
    <s v="Tidak"/>
    <n v="0"/>
    <s v="Tidak"/>
    <s v="Orang Tua"/>
    <s v="Keluarga"/>
    <n v="2"/>
    <n v="3"/>
    <s v="Tidak ada"/>
    <s v="tidak ada"/>
    <s v="Lebiih cepat (efisien)"/>
    <s v="mempercepat waktu pelayanan"/>
    <s v="Tidak ada"/>
    <s v="tidak ada"/>
    <s v="Tidak ada"/>
  </r>
  <r>
    <n v="278"/>
    <s v="Revin seki titan"/>
    <x v="17"/>
    <x v="49"/>
    <s v="Tidak"/>
    <s v="Tidak"/>
    <s v="Tidak"/>
    <s v="Tidak"/>
    <x v="1"/>
    <x v="2"/>
    <n v="20"/>
    <x v="3"/>
    <x v="0"/>
    <x v="1"/>
    <n v="3"/>
    <n v="3"/>
    <n v="0"/>
    <n v="3"/>
    <n v="3"/>
    <x v="0"/>
    <n v="3"/>
    <n v="3"/>
    <n v="0"/>
    <n v="3"/>
    <n v="3"/>
    <n v="0"/>
    <n v="4"/>
    <n v="3"/>
    <n v="-1"/>
    <n v="3"/>
    <n v="3"/>
    <n v="0"/>
    <n v="3"/>
    <n v="3"/>
    <n v="0"/>
    <n v="3"/>
    <n v="3"/>
    <n v="0"/>
    <n v="3"/>
    <n v="3"/>
    <n v="0"/>
    <n v="2"/>
    <s v="Ya"/>
    <n v="0"/>
    <s v="Tidak"/>
    <n v="0"/>
    <s v="Tidak"/>
    <s v=""/>
    <s v="-"/>
    <n v="0"/>
    <n v="0"/>
    <s v="Perilakunya lebih aopan lagi"/>
    <s v="lebih ramah lagi"/>
    <s v="Sudah bagus tes psikolog lebih bagus lagi"/>
    <s v="sudah baik/bagus"/>
    <s v="Sudah bagus"/>
    <s v="sudah baik/bagus"/>
    <s v=""/>
  </r>
  <r>
    <n v="279"/>
    <s v="Fenny putri"/>
    <x v="0"/>
    <x v="1"/>
    <s v="Tidak"/>
    <s v="Tidak"/>
    <s v="Tidak"/>
    <s v="Tidak"/>
    <x v="0"/>
    <x v="4"/>
    <n v="33"/>
    <x v="2"/>
    <x v="0"/>
    <x v="0"/>
    <n v="4"/>
    <n v="4"/>
    <n v="0"/>
    <n v="4"/>
    <n v="4"/>
    <x v="0"/>
    <n v="3"/>
    <n v="3"/>
    <n v="0"/>
    <n v="0"/>
    <n v="3"/>
    <n v="3"/>
    <n v="3"/>
    <n v="4"/>
    <n v="1"/>
    <n v="4"/>
    <n v="4"/>
    <n v="0"/>
    <n v="4"/>
    <n v="4"/>
    <n v="0"/>
    <n v="4"/>
    <n v="4"/>
    <n v="0"/>
    <n v="3"/>
    <n v="3"/>
    <n v="0"/>
    <n v="0"/>
    <s v="Tidak"/>
    <n v="0"/>
    <s v="Tidak"/>
    <n v="0"/>
    <s v="Tidak"/>
    <s v="Teman"/>
    <s v="Teman"/>
    <n v="2"/>
    <n v="3"/>
    <s v="Petugas yang berjaga di depan agar lebih memperhatikan pengunjung, mungkin bisa di tambah petugas yang berjaga di depan."/>
    <s v="menambah petugas pelayanan"/>
    <s v="Sudah cukup"/>
    <s v="sudah baik/bagus"/>
    <s v="Sudah cukup"/>
    <s v="sudah baik/bagus"/>
    <s v=""/>
  </r>
  <r>
    <n v="280"/>
    <s v="Dimas bayu siswanto"/>
    <x v="7"/>
    <x v="50"/>
    <s v="Tidak"/>
    <s v="Tidak"/>
    <s v="Tidak"/>
    <s v="Tidak"/>
    <x v="1"/>
    <x v="2"/>
    <n v="24"/>
    <x v="0"/>
    <x v="3"/>
    <x v="2"/>
    <n v="4"/>
    <n v="4"/>
    <n v="0"/>
    <n v="4"/>
    <n v="4"/>
    <x v="0"/>
    <n v="3"/>
    <n v="4"/>
    <n v="1"/>
    <n v="4"/>
    <n v="4"/>
    <n v="0"/>
    <n v="4"/>
    <n v="4"/>
    <n v="0"/>
    <n v="4"/>
    <n v="4"/>
    <n v="0"/>
    <n v="4"/>
    <n v="4"/>
    <n v="0"/>
    <n v="4"/>
    <n v="4"/>
    <n v="0"/>
    <n v="4"/>
    <n v="4"/>
    <n v="0"/>
    <n v="0"/>
    <s v="Tidak"/>
    <n v="0"/>
    <s v="Tidak"/>
    <n v="3"/>
    <s v="Ya"/>
    <s v=""/>
    <s v="-"/>
    <n v="0"/>
    <n v="0"/>
    <s v="Tidak ada"/>
    <s v="tidak ada"/>
    <s v="Tidak ada"/>
    <s v="tidak ada"/>
    <s v="TIdak ada"/>
    <s v="tidak ada"/>
    <s v="Tidak ada"/>
  </r>
  <r>
    <n v="281"/>
    <s v="Azril nazhir ahmad"/>
    <x v="0"/>
    <x v="5"/>
    <s v="Tidak"/>
    <s v="Tidak"/>
    <s v="Tidak"/>
    <s v="Tidak"/>
    <x v="1"/>
    <x v="2"/>
    <n v="18"/>
    <x v="3"/>
    <x v="0"/>
    <x v="1"/>
    <n v="4"/>
    <n v="4"/>
    <n v="0"/>
    <n v="3"/>
    <n v="3"/>
    <x v="0"/>
    <n v="4"/>
    <n v="4"/>
    <n v="0"/>
    <n v="4"/>
    <n v="4"/>
    <n v="0"/>
    <n v="4"/>
    <n v="4"/>
    <n v="0"/>
    <n v="4"/>
    <n v="4"/>
    <n v="0"/>
    <n v="4"/>
    <n v="4"/>
    <n v="0"/>
    <n v="4"/>
    <n v="4"/>
    <n v="0"/>
    <n v="4"/>
    <n v="4"/>
    <n v="0"/>
    <n v="0"/>
    <s v="Tidak"/>
    <n v="0"/>
    <s v="Tidak"/>
    <n v="0"/>
    <s v="Tidak"/>
    <s v="Kenalan"/>
    <s v="Teman"/>
    <n v="1"/>
    <n v="4"/>
    <s v="Tidak ada"/>
    <s v="tidak ada"/>
    <s v="Tidak ada"/>
    <s v="tidak ada"/>
    <s v="Tidak ada"/>
    <s v="tidak ada"/>
    <s v="Tempat Praktek diperbanyak lagi"/>
  </r>
  <r>
    <n v="282"/>
    <s v="Syahid aji Gunawan"/>
    <x v="0"/>
    <x v="1"/>
    <s v="Tidak"/>
    <s v="Tidak"/>
    <s v="Tidak"/>
    <s v="Tidak"/>
    <x v="1"/>
    <x v="3"/>
    <n v="22"/>
    <x v="0"/>
    <x v="0"/>
    <x v="3"/>
    <n v="3"/>
    <n v="3"/>
    <n v="0"/>
    <n v="3"/>
    <n v="3"/>
    <x v="0"/>
    <n v="3"/>
    <n v="3"/>
    <n v="0"/>
    <n v="3"/>
    <n v="3"/>
    <n v="0"/>
    <n v="3"/>
    <n v="3"/>
    <n v="0"/>
    <n v="4"/>
    <n v="4"/>
    <n v="0"/>
    <n v="4"/>
    <n v="4"/>
    <n v="0"/>
    <n v="3"/>
    <n v="3"/>
    <n v="0"/>
    <n v="3"/>
    <n v="3"/>
    <n v="0"/>
    <n v="3"/>
    <s v="Ya"/>
    <n v="0"/>
    <s v="Tidak"/>
    <n v="0"/>
    <s v="Tidak"/>
    <s v=""/>
    <s v="-"/>
    <n v="0"/>
    <n v="0"/>
    <s v="Tidak ada"/>
    <s v="tidak ada"/>
    <s v="Tidak ada"/>
    <s v="tidak ada"/>
    <s v="Tidak ada"/>
    <s v="tidak ada"/>
    <s v="Tidak ada"/>
  </r>
  <r>
    <n v="283"/>
    <s v="Nur Cholis"/>
    <x v="0"/>
    <x v="20"/>
    <s v="Tidak"/>
    <s v="Tidak"/>
    <s v="Tidak"/>
    <s v="Tidak"/>
    <x v="1"/>
    <x v="4"/>
    <n v="28"/>
    <x v="1"/>
    <x v="2"/>
    <x v="0"/>
    <n v="3"/>
    <n v="3"/>
    <n v="0"/>
    <n v="3"/>
    <n v="3"/>
    <x v="0"/>
    <n v="3"/>
    <n v="3"/>
    <n v="0"/>
    <n v="0"/>
    <n v="0"/>
    <n v="0"/>
    <n v="3"/>
    <n v="3"/>
    <n v="0"/>
    <n v="3"/>
    <n v="3"/>
    <n v="0"/>
    <n v="3"/>
    <n v="3"/>
    <n v="0"/>
    <n v="3"/>
    <n v="3"/>
    <n v="0"/>
    <n v="3"/>
    <n v="3"/>
    <n v="0"/>
    <n v="0"/>
    <s v="Tidak"/>
    <n v="0"/>
    <s v="Tidak"/>
    <n v="3"/>
    <s v="Ya"/>
    <s v=""/>
    <s v="-"/>
    <n v="0"/>
    <n v="0"/>
    <s v="Sudah cukup"/>
    <s v="sudah baik/bagus"/>
    <s v="Sudah cukup"/>
    <s v="sudah baik/bagus"/>
    <s v="Sudah cukup"/>
    <s v="sudah baik/bagus"/>
    <s v=""/>
  </r>
  <r>
    <n v="284"/>
    <s v="Chrisabel ayu nahistyo"/>
    <x v="0"/>
    <x v="15"/>
    <s v="Tidak"/>
    <s v="Tidak"/>
    <s v="Tidak"/>
    <s v="Tidak"/>
    <x v="0"/>
    <x v="3"/>
    <n v="18"/>
    <x v="3"/>
    <x v="0"/>
    <x v="3"/>
    <n v="3"/>
    <n v="4"/>
    <n v="1"/>
    <n v="4"/>
    <n v="4"/>
    <x v="0"/>
    <n v="3"/>
    <n v="4"/>
    <n v="1"/>
    <n v="4"/>
    <n v="4"/>
    <n v="0"/>
    <n v="3"/>
    <n v="4"/>
    <n v="1"/>
    <n v="4"/>
    <n v="4"/>
    <n v="0"/>
    <n v="4"/>
    <n v="4"/>
    <n v="0"/>
    <n v="4"/>
    <n v="4"/>
    <n v="0"/>
    <n v="4"/>
    <n v="4"/>
    <n v="0"/>
    <n v="0"/>
    <s v="Tidak"/>
    <n v="0"/>
    <s v="Tidak"/>
    <n v="0"/>
    <s v="Tidak"/>
    <s v="Ayah sendiri"/>
    <s v="Keluarga"/>
    <n v="2"/>
    <n v="3"/>
    <s v="Tidak ada"/>
    <s v="tidak ada"/>
    <s v="Tidak ada"/>
    <s v="tidak ada"/>
    <s v="Tidak ada"/>
    <s v="tidak ada"/>
    <s v="Tidak ada"/>
  </r>
  <r>
    <n v="285"/>
    <s v="Ari purwomo"/>
    <x v="18"/>
    <x v="0"/>
    <s v="Tidak"/>
    <s v="Tidak"/>
    <s v="Tidak"/>
    <s v="Tidak"/>
    <x v="1"/>
    <x v="4"/>
    <n v="44"/>
    <x v="6"/>
    <x v="0"/>
    <x v="0"/>
    <n v="3"/>
    <n v="3"/>
    <n v="0"/>
    <n v="3"/>
    <n v="3"/>
    <x v="0"/>
    <n v="4"/>
    <n v="4"/>
    <n v="0"/>
    <n v="0"/>
    <n v="0"/>
    <n v="0"/>
    <n v="3"/>
    <n v="3"/>
    <n v="0"/>
    <n v="3"/>
    <n v="3"/>
    <n v="0"/>
    <n v="3"/>
    <n v="3"/>
    <n v="0"/>
    <n v="3"/>
    <n v="3"/>
    <n v="0"/>
    <n v="4"/>
    <n v="4"/>
    <n v="0"/>
    <n v="0"/>
    <s v="Tidak"/>
    <n v="0"/>
    <s v="Tidak"/>
    <n v="0"/>
    <s v="Tidak"/>
    <s v="Langsung datang ke polres"/>
    <s v="Mengetahui sendiri"/>
    <n v="1"/>
    <n v="4"/>
    <s v="Sudah cukup"/>
    <s v="sudah baik/bagus"/>
    <s v="Sudah cukup"/>
    <s v="sudah baik/bagus"/>
    <s v="Sudah cukup"/>
    <s v="sudah baik/bagus"/>
    <s v=""/>
  </r>
  <r>
    <n v="286"/>
    <s v="Bakhra virdani Padhisyah"/>
    <x v="0"/>
    <x v="5"/>
    <s v="Tidak"/>
    <s v="Tidak"/>
    <s v="Tidak"/>
    <s v="Tidak"/>
    <x v="1"/>
    <x v="3"/>
    <n v="24"/>
    <x v="0"/>
    <x v="1"/>
    <x v="11"/>
    <n v="3"/>
    <n v="3"/>
    <n v="0"/>
    <n v="3"/>
    <n v="3"/>
    <x v="0"/>
    <n v="3"/>
    <n v="3"/>
    <n v="0"/>
    <n v="3"/>
    <n v="3"/>
    <n v="0"/>
    <n v="3"/>
    <n v="3"/>
    <n v="0"/>
    <n v="3"/>
    <n v="3"/>
    <n v="0"/>
    <n v="3"/>
    <n v="3"/>
    <n v="0"/>
    <n v="3"/>
    <n v="3"/>
    <n v="0"/>
    <n v="3"/>
    <n v="3"/>
    <n v="0"/>
    <n v="0"/>
    <s v="Tidak"/>
    <n v="0"/>
    <s v="Tidak"/>
    <n v="0"/>
    <s v="Tidak"/>
    <s v="Polsek"/>
    <s v="Informasi dari pegawai lembaga pemerintahan"/>
    <n v="2"/>
    <n v="3"/>
    <s v="Tidak ada"/>
    <s v="tidak ada"/>
    <s v="Tidak ada"/>
    <s v="tidak ada"/>
    <s v="Tidak ada"/>
    <s v="tidak ada"/>
    <s v="TIdak ada"/>
  </r>
  <r>
    <n v="287"/>
    <s v="Ibnu hambal"/>
    <x v="0"/>
    <x v="1"/>
    <s v="Tidak"/>
    <s v="Tidak"/>
    <s v="Tidak"/>
    <s v="Tidak"/>
    <x v="1"/>
    <x v="5"/>
    <n v="51"/>
    <x v="8"/>
    <x v="1"/>
    <x v="2"/>
    <n v="4"/>
    <n v="4"/>
    <n v="0"/>
    <n v="3"/>
    <n v="3"/>
    <x v="0"/>
    <n v="3"/>
    <n v="3"/>
    <n v="0"/>
    <n v="0"/>
    <n v="0"/>
    <n v="0"/>
    <n v="3"/>
    <n v="3"/>
    <n v="0"/>
    <n v="4"/>
    <n v="3"/>
    <n v="-1"/>
    <n v="4"/>
    <n v="3"/>
    <n v="-1"/>
    <n v="4"/>
    <n v="3"/>
    <n v="-1"/>
    <n v="4"/>
    <n v="3"/>
    <n v="-1"/>
    <n v="0"/>
    <s v="Tidak"/>
    <n v="0"/>
    <s v="Tidak"/>
    <n v="4"/>
    <s v="Ya"/>
    <s v=""/>
    <s v="-"/>
    <n v="0"/>
    <n v="0"/>
    <s v="Tidak ada"/>
    <s v="tidak ada"/>
    <s v="Tidak ada"/>
    <s v="tidak ada"/>
    <s v="Tidak ada"/>
    <s v="tidak ada"/>
    <s v="Tidak ada"/>
  </r>
  <r>
    <n v="288"/>
    <s v="Putri aisyah ramadhani"/>
    <x v="0"/>
    <x v="20"/>
    <s v="Tidak"/>
    <s v="Tidak"/>
    <s v="Tidak"/>
    <s v="Tidak"/>
    <x v="0"/>
    <x v="3"/>
    <n v="21"/>
    <x v="0"/>
    <x v="0"/>
    <x v="1"/>
    <n v="3"/>
    <n v="4"/>
    <n v="1"/>
    <n v="4"/>
    <n v="4"/>
    <x v="0"/>
    <n v="3"/>
    <n v="3"/>
    <n v="0"/>
    <n v="4"/>
    <n v="4"/>
    <n v="0"/>
    <n v="3"/>
    <n v="3"/>
    <n v="0"/>
    <n v="4"/>
    <n v="4"/>
    <n v="0"/>
    <n v="4"/>
    <n v="4"/>
    <n v="0"/>
    <n v="4"/>
    <n v="4"/>
    <n v="0"/>
    <n v="3"/>
    <n v="3"/>
    <n v="0"/>
    <n v="0"/>
    <s v="Tidak"/>
    <n v="0"/>
    <s v="Tidak"/>
    <n v="4"/>
    <s v="Ya"/>
    <s v=""/>
    <s v="-"/>
    <n v="0"/>
    <n v="0"/>
    <s v="Tidak ada"/>
    <s v="tidak ada"/>
    <s v="Tidak ada"/>
    <s v="tidak ada"/>
    <s v="Tidak ada"/>
    <s v="tidak ada"/>
    <s v="di tingkatkan lagi pelayan sarana dan prasarana"/>
  </r>
  <r>
    <n v="289"/>
    <s v="Nur haliamatus sa'diah"/>
    <x v="0"/>
    <x v="9"/>
    <s v="Tidak"/>
    <s v="Tidak"/>
    <s v="Tidak"/>
    <s v="Tidak"/>
    <x v="0"/>
    <x v="3"/>
    <n v="18"/>
    <x v="3"/>
    <x v="0"/>
    <x v="1"/>
    <n v="4"/>
    <n v="4"/>
    <n v="0"/>
    <n v="3"/>
    <n v="4"/>
    <x v="2"/>
    <n v="4"/>
    <n v="4"/>
    <n v="0"/>
    <n v="4"/>
    <n v="4"/>
    <n v="0"/>
    <n v="4"/>
    <n v="4"/>
    <n v="0"/>
    <n v="4"/>
    <n v="4"/>
    <n v="0"/>
    <n v="4"/>
    <n v="4"/>
    <n v="0"/>
    <n v="4"/>
    <n v="4"/>
    <n v="0"/>
    <n v="4"/>
    <n v="4"/>
    <n v="0"/>
    <n v="3"/>
    <s v="Tidak"/>
    <n v="0"/>
    <s v="Ya"/>
    <n v="0"/>
    <s v="Tidak"/>
    <s v=""/>
    <s v="-"/>
    <n v="0"/>
    <n v="0"/>
    <s v="Tidak ada"/>
    <s v="tidak ada"/>
    <s v="Tidak ada"/>
    <s v="tidak ada"/>
    <s v="Ruang tunggu kurang banyak"/>
    <s v="ruangan lebih memadai dan nyaman"/>
    <s v="Tidak ada"/>
  </r>
  <r>
    <n v="290"/>
    <s v="DrH Dwi budhi raharjo"/>
    <x v="0"/>
    <x v="1"/>
    <s v="Tidak"/>
    <s v="Tidak"/>
    <s v="Tidak"/>
    <s v="Tidak"/>
    <x v="1"/>
    <x v="4"/>
    <n v="41"/>
    <x v="6"/>
    <x v="1"/>
    <x v="10"/>
    <n v="3"/>
    <n v="3"/>
    <n v="0"/>
    <n v="3"/>
    <n v="3"/>
    <x v="0"/>
    <n v="2"/>
    <n v="4"/>
    <n v="2"/>
    <n v="0"/>
    <n v="0"/>
    <n v="0"/>
    <n v="3"/>
    <n v="3"/>
    <n v="0"/>
    <n v="3"/>
    <n v="3"/>
    <n v="0"/>
    <n v="4"/>
    <n v="4"/>
    <n v="0"/>
    <n v="3"/>
    <n v="4"/>
    <n v="1"/>
    <n v="3"/>
    <n v="4"/>
    <n v="1"/>
    <n v="0"/>
    <s v="Tidak"/>
    <n v="0"/>
    <s v="Tidak"/>
    <n v="4"/>
    <s v="Ya"/>
    <s v=""/>
    <s v="-"/>
    <n v="0"/>
    <n v="0"/>
    <s v="lebih di tingkatkan"/>
    <s v="meningkatkan kinerja pelayanan"/>
    <s v="lebih respontatif"/>
    <s v="meningkatkan kinerja pelayanan"/>
    <s v="cukup"/>
    <s v="sudah baik/bagus"/>
    <s v=""/>
  </r>
  <r>
    <n v="291"/>
    <s v="Siti mariyam"/>
    <x v="0"/>
    <x v="9"/>
    <s v="Tidak"/>
    <s v="Tidak"/>
    <s v="Tidak"/>
    <s v="Tidak"/>
    <x v="0"/>
    <x v="4"/>
    <n v="54"/>
    <x v="8"/>
    <x v="3"/>
    <x v="7"/>
    <n v="4"/>
    <n v="4"/>
    <n v="0"/>
    <n v="4"/>
    <n v="3"/>
    <x v="1"/>
    <n v="4"/>
    <n v="4"/>
    <n v="0"/>
    <n v="0"/>
    <n v="0"/>
    <n v="0"/>
    <n v="4"/>
    <n v="4"/>
    <n v="0"/>
    <n v="4"/>
    <n v="4"/>
    <n v="0"/>
    <n v="4"/>
    <n v="3"/>
    <n v="-1"/>
    <n v="4"/>
    <n v="3"/>
    <n v="-1"/>
    <n v="4"/>
    <n v="3"/>
    <n v="-1"/>
    <n v="0"/>
    <s v="Tidak"/>
    <n v="0"/>
    <s v="Tidak"/>
    <n v="0"/>
    <s v="Tidak"/>
    <s v="Teman"/>
    <s v="Teman"/>
    <n v="1"/>
    <n v="4"/>
    <s v="cukup"/>
    <s v="sudah baik/bagus"/>
    <s v="cukup"/>
    <s v="sudah baik/bagus"/>
    <s v="cukup"/>
    <s v="sudah baik/bagus"/>
    <s v=""/>
  </r>
  <r>
    <n v="292"/>
    <s v="Moh Arief"/>
    <x v="0"/>
    <x v="1"/>
    <s v="Tidak"/>
    <s v="Tidak"/>
    <s v="Tidak"/>
    <s v="Tidak"/>
    <x v="1"/>
    <x v="4"/>
    <n v="44"/>
    <x v="6"/>
    <x v="1"/>
    <x v="5"/>
    <n v="4"/>
    <n v="4"/>
    <n v="0"/>
    <n v="4"/>
    <n v="4"/>
    <x v="0"/>
    <n v="4"/>
    <n v="4"/>
    <n v="0"/>
    <n v="0"/>
    <n v="0"/>
    <n v="0"/>
    <n v="4"/>
    <n v="4"/>
    <n v="0"/>
    <n v="4"/>
    <n v="4"/>
    <n v="0"/>
    <n v="4"/>
    <n v="4"/>
    <n v="0"/>
    <n v="4"/>
    <n v="4"/>
    <n v="0"/>
    <n v="4"/>
    <n v="4"/>
    <n v="0"/>
    <n v="0"/>
    <s v="Tidak"/>
    <n v="0"/>
    <s v="Tidak"/>
    <n v="4"/>
    <s v="Ya"/>
    <s v=""/>
    <s v="-"/>
    <n v="0"/>
    <n v="0"/>
    <s v="cukup"/>
    <s v="sudah baik/bagus"/>
    <s v="cukup"/>
    <s v="sudah baik/bagus"/>
    <s v="cukup"/>
    <s v="sudah baik/bagus"/>
    <s v=""/>
  </r>
  <r>
    <n v="293"/>
    <s v="Saiful bakrie"/>
    <x v="0"/>
    <x v="6"/>
    <s v="Tidak"/>
    <s v="Tidak"/>
    <s v="Tidak"/>
    <s v="Tidak"/>
    <x v="1"/>
    <x v="5"/>
    <n v="50"/>
    <x v="7"/>
    <x v="0"/>
    <x v="4"/>
    <n v="4"/>
    <n v="4"/>
    <n v="0"/>
    <n v="4"/>
    <n v="4"/>
    <x v="0"/>
    <n v="4"/>
    <n v="4"/>
    <n v="0"/>
    <n v="0"/>
    <n v="0"/>
    <n v="0"/>
    <n v="4"/>
    <n v="4"/>
    <n v="0"/>
    <n v="4"/>
    <n v="4"/>
    <n v="0"/>
    <n v="4"/>
    <n v="4"/>
    <n v="0"/>
    <n v="4"/>
    <n v="4"/>
    <n v="0"/>
    <n v="4"/>
    <n v="4"/>
    <n v="0"/>
    <n v="0"/>
    <s v="Tidak"/>
    <n v="0"/>
    <s v="Tidak"/>
    <n v="4"/>
    <s v="Ya"/>
    <s v=""/>
    <s v="-"/>
    <n v="0"/>
    <n v="0"/>
    <s v="cukup"/>
    <s v="sudah baik/bagus"/>
    <s v="cukup"/>
    <s v="sudah baik/bagus"/>
    <s v="cukup"/>
    <s v="sudah baik/bagus"/>
    <s v=""/>
  </r>
  <r>
    <n v="294"/>
    <s v="Haris Musa"/>
    <x v="19"/>
    <x v="51"/>
    <s v="Tidak"/>
    <s v="Tidak"/>
    <s v="Tidak"/>
    <s v="Tidak"/>
    <x v="1"/>
    <x v="5"/>
    <n v="52"/>
    <x v="8"/>
    <x v="1"/>
    <x v="2"/>
    <n v="4"/>
    <n v="4"/>
    <n v="0"/>
    <n v="4"/>
    <n v="4"/>
    <x v="0"/>
    <n v="4"/>
    <n v="4"/>
    <n v="0"/>
    <n v="0"/>
    <n v="0"/>
    <n v="0"/>
    <n v="4"/>
    <n v="4"/>
    <n v="0"/>
    <n v="4"/>
    <n v="4"/>
    <n v="0"/>
    <n v="4"/>
    <n v="4"/>
    <n v="0"/>
    <n v="4"/>
    <n v="4"/>
    <n v="0"/>
    <n v="4"/>
    <n v="4"/>
    <n v="0"/>
    <n v="0"/>
    <s v="Tidak"/>
    <n v="0"/>
    <s v="Tidak"/>
    <n v="4"/>
    <s v="Ya"/>
    <s v=""/>
    <s v="-"/>
    <n v="0"/>
    <n v="0"/>
    <s v="cukup"/>
    <s v="sudah baik/bagus"/>
    <s v="cukup"/>
    <s v="sudah baik/bagus"/>
    <s v="cukup"/>
    <s v="sudah baik/bagus"/>
    <s v=""/>
  </r>
  <r>
    <n v="295"/>
    <s v="A. FAIQUL MUHIBBIN"/>
    <x v="0"/>
    <x v="9"/>
    <s v="Tidak"/>
    <s v="Tidak"/>
    <s v="Tidak"/>
    <s v="Tidak"/>
    <x v="1"/>
    <x v="1"/>
    <n v="33"/>
    <x v="2"/>
    <x v="2"/>
    <x v="0"/>
    <n v="4"/>
    <n v="4"/>
    <n v="0"/>
    <n v="4"/>
    <n v="4"/>
    <x v="0"/>
    <n v="4"/>
    <n v="4"/>
    <n v="0"/>
    <n v="0"/>
    <n v="0"/>
    <n v="0"/>
    <n v="4"/>
    <n v="4"/>
    <n v="0"/>
    <n v="4"/>
    <n v="4"/>
    <n v="0"/>
    <n v="4"/>
    <n v="4"/>
    <n v="0"/>
    <n v="4"/>
    <n v="4"/>
    <n v="0"/>
    <n v="4"/>
    <n v="4"/>
    <n v="0"/>
    <n v="0"/>
    <s v="Tidak"/>
    <n v="4"/>
    <s v="Ya"/>
    <n v="0"/>
    <s v="Tidak"/>
    <s v=""/>
    <s v="-"/>
    <n v="0"/>
    <n v="0"/>
    <s v="Sudah baik"/>
    <s v="sudah baik/bagus"/>
    <s v="Sudah baik"/>
    <s v="sudah baik/bagus"/>
    <s v="Sudah baik"/>
    <s v="sudah baik/bagus"/>
    <s v="-"/>
  </r>
  <r>
    <n v="296"/>
    <s v="DION DWI PRASETYO"/>
    <x v="0"/>
    <x v="0"/>
    <s v="Tidak"/>
    <s v="Tidak"/>
    <s v="Tidak"/>
    <s v="Tidak"/>
    <x v="1"/>
    <x v="1"/>
    <n v="25"/>
    <x v="0"/>
    <x v="0"/>
    <x v="12"/>
    <n v="3"/>
    <n v="3"/>
    <n v="0"/>
    <n v="3"/>
    <n v="3"/>
    <x v="0"/>
    <n v="3"/>
    <n v="3"/>
    <n v="0"/>
    <n v="0"/>
    <n v="0"/>
    <n v="0"/>
    <n v="3"/>
    <n v="3"/>
    <n v="0"/>
    <n v="3"/>
    <n v="3"/>
    <n v="0"/>
    <n v="4"/>
    <n v="3"/>
    <n v="-1"/>
    <n v="3"/>
    <n v="3"/>
    <n v="0"/>
    <n v="3"/>
    <n v="4"/>
    <n v="1"/>
    <n v="4"/>
    <s v="Ya"/>
    <n v="0"/>
    <s v="Tidak"/>
    <n v="0"/>
    <s v="Tidak"/>
    <s v=""/>
    <s v="-"/>
    <n v="0"/>
    <n v="0"/>
    <s v="Sudah baik"/>
    <s v="sudah baik/bagus"/>
    <s v="Sudah baik"/>
    <s v="sudah baik/bagus"/>
    <s v="Cukup baik"/>
    <s v="sudah baik/bagus"/>
    <s v="--"/>
  </r>
  <r>
    <n v="297"/>
    <s v="AGUNG TRIWIBOWO"/>
    <x v="11"/>
    <x v="52"/>
    <s v="Tidak"/>
    <s v="Tidak"/>
    <s v="Tidak"/>
    <s v="Tidak"/>
    <x v="1"/>
    <x v="1"/>
    <n v="25"/>
    <x v="0"/>
    <x v="0"/>
    <x v="0"/>
    <n v="4"/>
    <n v="4"/>
    <n v="0"/>
    <n v="4"/>
    <n v="3"/>
    <x v="1"/>
    <n v="4"/>
    <n v="4"/>
    <n v="0"/>
    <n v="0"/>
    <n v="0"/>
    <n v="0"/>
    <n v="4"/>
    <n v="4"/>
    <n v="0"/>
    <n v="4"/>
    <n v="4"/>
    <n v="0"/>
    <n v="4"/>
    <n v="4"/>
    <n v="0"/>
    <n v="4"/>
    <n v="4"/>
    <n v="0"/>
    <n v="4"/>
    <n v="4"/>
    <n v="0"/>
    <n v="4"/>
    <s v="Ya"/>
    <n v="0"/>
    <s v="Tidak"/>
    <n v="0"/>
    <s v="Tidak"/>
    <s v=""/>
    <s v="-"/>
    <n v="0"/>
    <n v="0"/>
    <s v="Sudah baik"/>
    <s v="sudah baik/bagus"/>
    <s v="Cukup baik"/>
    <s v="sudah baik/bagus"/>
    <s v="Sudah baik"/>
    <s v="sudah baik/bagus"/>
    <s v="---"/>
  </r>
  <r>
    <n v="298"/>
    <s v="ASDADI ALMARWAJI"/>
    <x v="0"/>
    <x v="20"/>
    <s v="Tidak"/>
    <s v="Tidak"/>
    <s v="Tidak"/>
    <s v="Tidak"/>
    <x v="1"/>
    <x v="5"/>
    <n v="35"/>
    <x v="2"/>
    <x v="0"/>
    <x v="2"/>
    <n v="3"/>
    <n v="3"/>
    <n v="0"/>
    <n v="3"/>
    <n v="3"/>
    <x v="0"/>
    <n v="3"/>
    <n v="4"/>
    <n v="1"/>
    <n v="2"/>
    <n v="3"/>
    <n v="1"/>
    <n v="3"/>
    <n v="3"/>
    <n v="0"/>
    <n v="3"/>
    <n v="3"/>
    <n v="0"/>
    <n v="3"/>
    <n v="4"/>
    <n v="1"/>
    <n v="3"/>
    <n v="3"/>
    <n v="0"/>
    <n v="3"/>
    <n v="3"/>
    <n v="0"/>
    <n v="0"/>
    <s v="Tidak"/>
    <n v="0"/>
    <s v="Tidak"/>
    <n v="3"/>
    <s v="Tidak"/>
    <s v=""/>
    <s v="-"/>
    <n v="0"/>
    <n v="0"/>
    <s v="Sidah baik"/>
    <s v="sudah baik/bagus"/>
    <s v="Keluarnya perizinan jangan terlalu mepet"/>
    <s v="mempercepat waktu pelayanan"/>
    <s v="Sidah baik"/>
    <s v="sudah baik/bagus"/>
    <s v="Biaya komsumsi pengamanan sebaiknya tidak dimintakan ke panitia"/>
  </r>
  <r>
    <n v="299"/>
    <s v="DONY SETIAWAN"/>
    <x v="0"/>
    <x v="0"/>
    <s v="Tidak"/>
    <s v="Tidak"/>
    <s v="Tidak"/>
    <s v="Tidak"/>
    <x v="1"/>
    <x v="5"/>
    <n v="48"/>
    <x v="7"/>
    <x v="2"/>
    <x v="0"/>
    <n v="4"/>
    <n v="4"/>
    <n v="0"/>
    <n v="4"/>
    <n v="4"/>
    <x v="0"/>
    <n v="4"/>
    <n v="4"/>
    <n v="0"/>
    <n v="4"/>
    <n v="4"/>
    <n v="0"/>
    <n v="4"/>
    <n v="4"/>
    <n v="0"/>
    <n v="3"/>
    <n v="4"/>
    <n v="1"/>
    <n v="4"/>
    <n v="4"/>
    <n v="0"/>
    <n v="4"/>
    <n v="4"/>
    <n v="0"/>
    <n v="4"/>
    <n v="4"/>
    <n v="0"/>
    <n v="4"/>
    <s v="Tidak"/>
    <n v="0"/>
    <s v="Tidak"/>
    <n v="0"/>
    <s v="Tidak"/>
    <s v=""/>
    <s v="-"/>
    <n v="0"/>
    <n v="0"/>
    <s v="Sidah baik"/>
    <s v="sudah baik/bagus"/>
    <s v="Sidah baik"/>
    <s v="sudah baik/bagus"/>
    <s v="Sidah baik"/>
    <s v="sudah baik/bagus"/>
    <s v="--"/>
  </r>
  <r>
    <n v="300"/>
    <s v="HARTONO"/>
    <x v="0"/>
    <x v="1"/>
    <s v="Tidak"/>
    <s v="Tidak"/>
    <s v="Tidak"/>
    <s v="Tidak"/>
    <x v="1"/>
    <x v="4"/>
    <n v="56"/>
    <x v="5"/>
    <x v="3"/>
    <x v="0"/>
    <n v="4"/>
    <n v="3"/>
    <n v="-1"/>
    <n v="3"/>
    <n v="3"/>
    <x v="0"/>
    <n v="3"/>
    <n v="3"/>
    <n v="0"/>
    <n v="0"/>
    <n v="0"/>
    <n v="0"/>
    <n v="3"/>
    <n v="4"/>
    <n v="1"/>
    <n v="3"/>
    <n v="4"/>
    <n v="1"/>
    <n v="4"/>
    <n v="4"/>
    <n v="0"/>
    <n v="4"/>
    <n v="4"/>
    <n v="0"/>
    <n v="3"/>
    <n v="4"/>
    <n v="1"/>
    <n v="0"/>
    <s v="Tidak"/>
    <n v="0"/>
    <s v="Ya"/>
    <n v="4"/>
    <s v="Tidak"/>
    <s v=""/>
    <s v="-"/>
    <n v="0"/>
    <n v="0"/>
    <s v="Sudah baik"/>
    <s v="sudah baik/bagus"/>
    <s v="Cukup baik"/>
    <s v="sudah baik/bagus"/>
    <s v="Toilet perlu ditambah"/>
    <s v="menambah toilet"/>
    <s v="---"/>
  </r>
  <r>
    <n v="301"/>
    <s v="NILA SISWANTI"/>
    <x v="0"/>
    <x v="13"/>
    <s v="Tidak"/>
    <s v="Tidak"/>
    <s v="Tidak"/>
    <s v="Tidak"/>
    <x v="0"/>
    <x v="4"/>
    <n v="36"/>
    <x v="4"/>
    <x v="0"/>
    <x v="7"/>
    <n v="3"/>
    <n v="3"/>
    <n v="0"/>
    <n v="3"/>
    <n v="3"/>
    <x v="0"/>
    <n v="3"/>
    <n v="4"/>
    <n v="1"/>
    <n v="0"/>
    <n v="0"/>
    <n v="0"/>
    <n v="3"/>
    <n v="3"/>
    <n v="0"/>
    <n v="3"/>
    <n v="4"/>
    <n v="1"/>
    <n v="4"/>
    <n v="4"/>
    <n v="0"/>
    <n v="3"/>
    <n v="4"/>
    <n v="1"/>
    <n v="4"/>
    <n v="4"/>
    <n v="0"/>
    <n v="0"/>
    <s v="Tidak"/>
    <n v="0"/>
    <s v="Tidak"/>
    <n v="3"/>
    <s v="Tidak"/>
    <s v=""/>
    <s v="-"/>
    <n v="0"/>
    <n v="0"/>
    <s v="Sudah baik"/>
    <s v="sudah baik/bagus"/>
    <s v="Pelayanannya mohon dipercepat"/>
    <s v="mempercepat waktu pelayanan"/>
    <s v="Sudah baik"/>
    <s v="sudah baik/bagus"/>
    <s v="---"/>
  </r>
  <r>
    <n v="302"/>
    <s v="HERI PRIONO"/>
    <x v="20"/>
    <x v="15"/>
    <s v="Tidak"/>
    <s v="Tidak"/>
    <s v="Tidak"/>
    <s v="Tidak"/>
    <x v="1"/>
    <x v="5"/>
    <n v="55"/>
    <x v="8"/>
    <x v="0"/>
    <x v="0"/>
    <n v="3"/>
    <n v="4"/>
    <n v="1"/>
    <n v="3"/>
    <n v="4"/>
    <x v="2"/>
    <n v="3"/>
    <n v="4"/>
    <n v="1"/>
    <n v="0"/>
    <n v="0"/>
    <n v="0"/>
    <n v="4"/>
    <n v="3"/>
    <n v="-1"/>
    <n v="3"/>
    <n v="3"/>
    <n v="0"/>
    <n v="3"/>
    <n v="4"/>
    <n v="1"/>
    <n v="3"/>
    <n v="4"/>
    <n v="1"/>
    <n v="3"/>
    <n v="3"/>
    <n v="0"/>
    <n v="0"/>
    <s v="Ya"/>
    <n v="0"/>
    <s v="Tidak"/>
    <n v="0"/>
    <s v="Tidak"/>
    <s v="Teman"/>
    <s v="Teman"/>
    <n v="2"/>
    <n v="3"/>
    <s v="Sudah baik"/>
    <s v="sudah baik/bagus"/>
    <s v="Waktu prosesnya dipercepat/dipersingkat"/>
    <s v="mempercepat waktu pelayanan"/>
    <s v="Sudah baik"/>
    <s v="sudah baik/bagus"/>
    <s v="---"/>
  </r>
  <r>
    <n v="303"/>
    <s v="DWI ASTUTI"/>
    <x v="0"/>
    <x v="10"/>
    <s v="Tidak"/>
    <s v="Tidak"/>
    <s v="Tidak"/>
    <s v="Tidak"/>
    <x v="0"/>
    <x v="4"/>
    <n v="43"/>
    <x v="6"/>
    <x v="0"/>
    <x v="2"/>
    <n v="3"/>
    <n v="4"/>
    <n v="1"/>
    <n v="3"/>
    <n v="3"/>
    <x v="0"/>
    <n v="3"/>
    <n v="4"/>
    <n v="1"/>
    <n v="0"/>
    <n v="0"/>
    <n v="0"/>
    <n v="3"/>
    <n v="3"/>
    <n v="0"/>
    <n v="3"/>
    <n v="3"/>
    <n v="0"/>
    <n v="4"/>
    <n v="3"/>
    <n v="-1"/>
    <n v="3"/>
    <n v="3"/>
    <n v="0"/>
    <n v="3"/>
    <n v="3"/>
    <n v="0"/>
    <n v="0"/>
    <s v="Tidak"/>
    <n v="0"/>
    <s v="Tidak"/>
    <n v="3"/>
    <s v="Tidak"/>
    <s v=""/>
    <s v="-"/>
    <n v="0"/>
    <n v="0"/>
    <s v="Sudah baik"/>
    <s v="sudah baik/bagus"/>
    <s v="Sudah baik"/>
    <s v="sudah baik/bagus"/>
    <s v="Sudah baik"/>
    <s v="sudah baik/bagus"/>
    <s v="---"/>
  </r>
  <r>
    <n v="304"/>
    <s v="NUKE FADILAH MALIK ARIZONA"/>
    <x v="0"/>
    <x v="10"/>
    <s v="Tidak"/>
    <s v="Tidak"/>
    <s v="Tidak"/>
    <s v="Tidak"/>
    <x v="0"/>
    <x v="4"/>
    <n v="29"/>
    <x v="1"/>
    <x v="1"/>
    <x v="0"/>
    <n v="3"/>
    <n v="3"/>
    <n v="0"/>
    <n v="3"/>
    <n v="3"/>
    <x v="0"/>
    <n v="2"/>
    <n v="3"/>
    <n v="1"/>
    <n v="0"/>
    <n v="0"/>
    <n v="0"/>
    <n v="3"/>
    <n v="3"/>
    <n v="0"/>
    <n v="3"/>
    <n v="3"/>
    <n v="0"/>
    <n v="4"/>
    <n v="4"/>
    <n v="0"/>
    <n v="3"/>
    <n v="4"/>
    <n v="1"/>
    <n v="3"/>
    <n v="4"/>
    <n v="1"/>
    <n v="0"/>
    <s v="Tidak"/>
    <n v="3"/>
    <s v="Tidak"/>
    <n v="0"/>
    <s v="Tidak"/>
    <s v=""/>
    <s v="-"/>
    <n v="0"/>
    <n v="0"/>
    <s v="Lebih responsif kalau ditanya dan mau memberikan penjelasan tahapan prosesnya"/>
    <s v="lebih responsif untuk pelayanannya"/>
    <s v="Lebih efisien waktu dan proses"/>
    <s v="waktu lebih efisien"/>
    <s v="Sudah baik"/>
    <s v="sudah baik/bagus"/>
    <s v="----"/>
  </r>
  <r>
    <n v="305"/>
    <s v="YUYUN YUNIARTININGSIH"/>
    <x v="0"/>
    <x v="4"/>
    <s v="Tidak"/>
    <s v="Tidak"/>
    <s v="Tidak"/>
    <s v="Tidak"/>
    <x v="0"/>
    <x v="4"/>
    <n v="45"/>
    <x v="6"/>
    <x v="0"/>
    <x v="7"/>
    <n v="3"/>
    <n v="3"/>
    <n v="0"/>
    <n v="3"/>
    <n v="3"/>
    <x v="0"/>
    <n v="3"/>
    <n v="3"/>
    <n v="0"/>
    <n v="0"/>
    <n v="0"/>
    <n v="0"/>
    <n v="3"/>
    <n v="3"/>
    <n v="0"/>
    <n v="3"/>
    <n v="4"/>
    <n v="1"/>
    <n v="4"/>
    <n v="4"/>
    <n v="0"/>
    <n v="3"/>
    <n v="4"/>
    <n v="1"/>
    <n v="3"/>
    <n v="4"/>
    <n v="1"/>
    <n v="0"/>
    <s v="Tidak"/>
    <n v="0"/>
    <s v="Tidak"/>
    <n v="3"/>
    <s v="Tidak"/>
    <s v=""/>
    <s v="-"/>
    <n v="0"/>
    <n v="0"/>
    <s v="Sudah baik"/>
    <s v="sudah baik/bagus"/>
    <s v="Sudah baik"/>
    <s v="sudah baik/bagus"/>
    <s v="AC kurang dingin"/>
    <s v="ac kurang dingin, harus diperbaiki"/>
    <s v="---"/>
  </r>
  <r>
    <n v="306"/>
    <s v="NOVI IKA RANI"/>
    <x v="7"/>
    <x v="53"/>
    <s v="Tidak"/>
    <s v="Tidak"/>
    <s v="Tidak"/>
    <s v="Tidak"/>
    <x v="0"/>
    <x v="4"/>
    <n v="43"/>
    <x v="6"/>
    <x v="0"/>
    <x v="7"/>
    <n v="3"/>
    <n v="3"/>
    <n v="0"/>
    <n v="3"/>
    <n v="3"/>
    <x v="0"/>
    <n v="2"/>
    <n v="4"/>
    <n v="2"/>
    <n v="0"/>
    <n v="0"/>
    <n v="0"/>
    <n v="3"/>
    <n v="3"/>
    <n v="0"/>
    <n v="4"/>
    <n v="3"/>
    <n v="-1"/>
    <n v="4"/>
    <n v="4"/>
    <n v="0"/>
    <n v="3"/>
    <n v="4"/>
    <n v="1"/>
    <n v="3"/>
    <n v="4"/>
    <n v="1"/>
    <n v="0"/>
    <s v="Tidak"/>
    <n v="0"/>
    <s v="Tidak"/>
    <n v="0"/>
    <s v="Tidak"/>
    <s v="Adik"/>
    <s v="Keluarga"/>
    <n v="2"/>
    <n v="3"/>
    <s v="Baik"/>
    <s v="sudah baik/bagus"/>
    <s v="Lebih efisien waktu, prosesnya dipercepat"/>
    <s v="waktu lebih efisien"/>
    <s v="Sudah baik"/>
    <s v="sudah baik/bagus"/>
    <s v="Menyediakan konsumsi untuk pelapor karena prosesnya lama"/>
  </r>
  <r>
    <n v="307"/>
    <s v="LAMRUMATA ITA IDA"/>
    <x v="0"/>
    <x v="0"/>
    <s v="Tidak"/>
    <s v="Tidak"/>
    <s v="Tidak"/>
    <s v="Tidak"/>
    <x v="0"/>
    <x v="4"/>
    <n v="56"/>
    <x v="5"/>
    <x v="1"/>
    <x v="7"/>
    <n v="3"/>
    <n v="4"/>
    <n v="1"/>
    <n v="3"/>
    <n v="3"/>
    <x v="0"/>
    <n v="3"/>
    <n v="3"/>
    <n v="0"/>
    <n v="0"/>
    <n v="0"/>
    <n v="0"/>
    <n v="2"/>
    <n v="3"/>
    <n v="1"/>
    <n v="1"/>
    <n v="4"/>
    <n v="3"/>
    <n v="2"/>
    <n v="4"/>
    <n v="2"/>
    <n v="2"/>
    <n v="4"/>
    <n v="2"/>
    <n v="3"/>
    <n v="3"/>
    <n v="0"/>
    <n v="0"/>
    <s v="Tidak"/>
    <n v="0"/>
    <s v="Tidak"/>
    <n v="0"/>
    <s v="Tidak"/>
    <s v="Kerabat"/>
    <s v="Keluarga"/>
    <n v="2"/>
    <n v="3"/>
    <s v="Petugas seharusnya netral dan punya empati kepada pelapor sebagai korban"/>
    <s v="lebih ramah lagi"/>
    <s v="Proses tdk berjalan jika tidak ada sikap proaktif dari pelapor"/>
    <s v="meningkatkan kinerja pelayanan"/>
    <s v="Baik"/>
    <s v="sudah baik/bagus"/>
    <s v="---"/>
  </r>
  <r>
    <n v="308"/>
    <s v="RAHMAD HIDAYAT"/>
    <x v="0"/>
    <x v="0"/>
    <s v="Tidak"/>
    <s v="Tidak"/>
    <s v="Tidak"/>
    <s v="Tidak"/>
    <x v="1"/>
    <x v="4"/>
    <n v="38"/>
    <x v="4"/>
    <x v="0"/>
    <x v="0"/>
    <n v="3"/>
    <n v="3"/>
    <n v="0"/>
    <n v="3"/>
    <n v="3"/>
    <x v="0"/>
    <n v="4"/>
    <n v="4"/>
    <n v="0"/>
    <n v="0"/>
    <n v="0"/>
    <n v="0"/>
    <n v="4"/>
    <n v="4"/>
    <n v="0"/>
    <n v="3"/>
    <n v="4"/>
    <n v="1"/>
    <n v="3"/>
    <n v="4"/>
    <n v="1"/>
    <n v="3"/>
    <n v="4"/>
    <n v="1"/>
    <n v="4"/>
    <n v="3"/>
    <n v="-1"/>
    <n v="0"/>
    <s v="Tidak"/>
    <n v="0"/>
    <s v="Tidak"/>
    <n v="3"/>
    <s v="Ya"/>
    <s v=""/>
    <s v="-"/>
    <n v="0"/>
    <n v="0"/>
    <s v="Sudah baik"/>
    <s v="sudah baik/bagus"/>
    <s v="Sudah baik"/>
    <s v="sudah baik/bagus"/>
    <s v="Sudah baik"/>
    <s v="sudah baik/bagus"/>
    <s v="---"/>
  </r>
  <r>
    <n v="309"/>
    <s v="JANUAR MAULANA"/>
    <x v="7"/>
    <x v="54"/>
    <s v="Tidak"/>
    <s v="Tidak"/>
    <s v="Tidak"/>
    <s v="Tidak"/>
    <x v="1"/>
    <x v="4"/>
    <n v="42"/>
    <x v="6"/>
    <x v="0"/>
    <x v="2"/>
    <n v="3"/>
    <n v="3"/>
    <n v="0"/>
    <n v="3"/>
    <n v="3"/>
    <x v="0"/>
    <n v="3"/>
    <n v="3"/>
    <n v="0"/>
    <n v="0"/>
    <n v="0"/>
    <n v="0"/>
    <n v="3"/>
    <n v="4"/>
    <n v="1"/>
    <n v="3"/>
    <n v="3"/>
    <n v="0"/>
    <n v="3"/>
    <n v="3"/>
    <n v="0"/>
    <n v="3"/>
    <n v="3"/>
    <n v="0"/>
    <n v="3"/>
    <n v="3"/>
    <n v="0"/>
    <n v="0"/>
    <s v="Tidak"/>
    <n v="0"/>
    <s v="Tidak"/>
    <n v="0"/>
    <s v="Tidak"/>
    <s v="Teman"/>
    <s v="Teman"/>
    <n v="1"/>
    <n v="4"/>
    <s v="Sudah baik"/>
    <s v="sudah baik/bagus"/>
    <s v="Prosesnya terlalu lama dan harus dipanggil berulang ulang"/>
    <s v="mempercepat waktu pelayanan"/>
    <s v="Cukup baik"/>
    <s v="sudah baik/bagus"/>
    <s v="---"/>
  </r>
  <r>
    <n v="310"/>
    <s v="RIZKA LINGGA RANI"/>
    <x v="0"/>
    <x v="3"/>
    <s v="Tidak"/>
    <s v="Tidak"/>
    <s v="Tidak"/>
    <s v="Tidak"/>
    <x v="0"/>
    <x v="4"/>
    <n v="32"/>
    <x v="2"/>
    <x v="0"/>
    <x v="7"/>
    <n v="3"/>
    <n v="3"/>
    <n v="0"/>
    <n v="3"/>
    <n v="3"/>
    <x v="0"/>
    <n v="3"/>
    <n v="4"/>
    <n v="1"/>
    <n v="0"/>
    <n v="0"/>
    <n v="0"/>
    <n v="3"/>
    <n v="4"/>
    <n v="1"/>
    <n v="3"/>
    <n v="4"/>
    <n v="1"/>
    <n v="3"/>
    <n v="4"/>
    <n v="1"/>
    <n v="3"/>
    <n v="4"/>
    <n v="1"/>
    <n v="3"/>
    <n v="4"/>
    <n v="1"/>
    <n v="0"/>
    <s v="Tidak"/>
    <n v="0"/>
    <s v="Tidak"/>
    <n v="0"/>
    <s v="Tidak"/>
    <s v="Teman"/>
    <s v="Teman"/>
    <n v="2"/>
    <n v="3"/>
    <s v="Sudah baik"/>
    <s v="sudah baik/bagus"/>
    <s v="Pelayanan harusnya berdasarkan antrian laporan yang masuk. Petugas menginformasikan tahapan proses tanpa nunggu pelapor proaktif bertanya lebih dulu"/>
    <s v="meningkatkan kinerja pelayanan"/>
    <s v="Sudah baik"/>
    <s v="sudah baik/bagus"/>
    <s v="----"/>
  </r>
  <r>
    <n v="311"/>
    <s v="DARTI"/>
    <x v="0"/>
    <x v="13"/>
    <s v="Tidak"/>
    <s v="Tidak"/>
    <s v="Tidak"/>
    <s v="Tidak"/>
    <x v="0"/>
    <x v="4"/>
    <n v="55"/>
    <x v="8"/>
    <x v="3"/>
    <x v="0"/>
    <n v="3"/>
    <n v="3"/>
    <n v="0"/>
    <n v="3"/>
    <n v="3"/>
    <x v="0"/>
    <n v="3"/>
    <n v="3"/>
    <n v="0"/>
    <n v="0"/>
    <n v="0"/>
    <n v="0"/>
    <n v="3"/>
    <n v="3"/>
    <n v="0"/>
    <n v="3"/>
    <n v="3"/>
    <n v="0"/>
    <n v="3"/>
    <n v="3"/>
    <n v="0"/>
    <n v="3"/>
    <n v="3"/>
    <n v="0"/>
    <n v="3"/>
    <n v="4"/>
    <n v="1"/>
    <n v="0"/>
    <s v="Tidak"/>
    <n v="0"/>
    <s v="Tidak"/>
    <n v="0"/>
    <s v="Tidak"/>
    <s v="Saudara"/>
    <s v="Keluarga"/>
    <n v="2"/>
    <n v="3"/>
    <s v="Sudah baik"/>
    <s v="sudah baik/bagus"/>
    <s v="Sudah baik"/>
    <s v="sudah baik/bagus"/>
    <s v="Sudah baik"/>
    <s v="sudah baik/bagus"/>
    <s v="----"/>
  </r>
  <r>
    <n v="312"/>
    <s v="ANWAR ROCHID"/>
    <x v="0"/>
    <x v="3"/>
    <s v="Tidak"/>
    <s v="Tidak"/>
    <s v="Tidak"/>
    <s v="Tidak"/>
    <x v="1"/>
    <x v="4"/>
    <n v="26"/>
    <x v="1"/>
    <x v="0"/>
    <x v="12"/>
    <n v="3"/>
    <n v="4"/>
    <n v="1"/>
    <n v="3"/>
    <n v="3"/>
    <x v="0"/>
    <n v="3"/>
    <n v="3"/>
    <n v="0"/>
    <n v="0"/>
    <n v="0"/>
    <n v="0"/>
    <n v="3"/>
    <n v="3"/>
    <n v="0"/>
    <n v="3"/>
    <n v="3"/>
    <n v="0"/>
    <n v="3"/>
    <n v="3"/>
    <n v="0"/>
    <n v="3"/>
    <n v="3"/>
    <n v="0"/>
    <n v="3"/>
    <n v="4"/>
    <n v="1"/>
    <n v="0"/>
    <s v="Tidak"/>
    <n v="0"/>
    <s v="Tidak"/>
    <n v="0"/>
    <s v="Tidak"/>
    <s v="Perangkat Desa"/>
    <s v="Informasi dari pegawai lembaga pemerintahan"/>
    <n v="2"/>
    <n v="3"/>
    <s v="Baik"/>
    <s v="sudah baik/bagus"/>
    <s v="Proses dipersingkat/dipercepat karena agar tidak selalu sering meninggalkan kerja"/>
    <s v="mempercepat waktu pelayanan"/>
    <s v="Baik"/>
    <s v="sudah baik/bagus"/>
    <s v="---"/>
  </r>
  <r>
    <n v="313"/>
    <s v="Krijadianto"/>
    <x v="0"/>
    <x v="17"/>
    <s v="Tidak"/>
    <s v="Tidak"/>
    <s v="Tidak"/>
    <s v="Tidak"/>
    <x v="1"/>
    <x v="4"/>
    <n v="38"/>
    <x v="4"/>
    <x v="0"/>
    <x v="0"/>
    <n v="4"/>
    <n v="3"/>
    <n v="-1"/>
    <n v="4"/>
    <n v="3"/>
    <x v="1"/>
    <n v="3"/>
    <n v="4"/>
    <n v="1"/>
    <n v="0"/>
    <n v="0"/>
    <n v="0"/>
    <n v="4"/>
    <n v="4"/>
    <n v="0"/>
    <n v="4"/>
    <n v="4"/>
    <n v="0"/>
    <n v="4"/>
    <n v="3"/>
    <n v="-1"/>
    <n v="4"/>
    <n v="4"/>
    <n v="0"/>
    <n v="4"/>
    <n v="3"/>
    <n v="-1"/>
    <n v="0"/>
    <s v="Tidak"/>
    <n v="0"/>
    <s v="Tidak"/>
    <n v="4"/>
    <s v="Ya"/>
    <s v=""/>
    <s v="-"/>
    <n v="0"/>
    <n v="0"/>
    <s v="cukup"/>
    <s v="sudah baik/bagus"/>
    <s v="si percepat"/>
    <s v="mempercepat waktu pelayanan"/>
    <s v="cukup"/>
    <s v="sudah baik/bagus"/>
    <s v=""/>
  </r>
  <r>
    <n v="314"/>
    <s v="Abu amar"/>
    <x v="0"/>
    <x v="17"/>
    <s v="Tidak"/>
    <s v="Tidak"/>
    <s v="Tidak"/>
    <s v="Tidak"/>
    <x v="1"/>
    <x v="4"/>
    <n v="56"/>
    <x v="5"/>
    <x v="1"/>
    <x v="2"/>
    <n v="3"/>
    <n v="3"/>
    <n v="0"/>
    <n v="2"/>
    <n v="3"/>
    <x v="2"/>
    <n v="2"/>
    <n v="4"/>
    <n v="2"/>
    <n v="0"/>
    <n v="0"/>
    <n v="0"/>
    <n v="3"/>
    <n v="4"/>
    <n v="1"/>
    <n v="3"/>
    <n v="4"/>
    <n v="1"/>
    <n v="4"/>
    <n v="3"/>
    <n v="-1"/>
    <n v="4"/>
    <n v="3"/>
    <n v="-1"/>
    <n v="4"/>
    <n v="3"/>
    <n v="-1"/>
    <n v="4"/>
    <s v="Ya"/>
    <n v="0"/>
    <s v="Tidak"/>
    <n v="0"/>
    <s v="Tidak"/>
    <s v=""/>
    <s v="-"/>
    <n v="0"/>
    <n v="0"/>
    <s v="cukup"/>
    <s v="sudah baik/bagus"/>
    <s v="proses di percepat"/>
    <s v="mempercepat waktu pelayanan"/>
    <s v="cukup"/>
    <s v="sudah baik/bagus"/>
    <s v=""/>
  </r>
  <r>
    <n v="315"/>
    <s v="Ainur djarod"/>
    <x v="21"/>
    <x v="32"/>
    <s v="Tidak"/>
    <s v="Tidak"/>
    <s v="Tidak"/>
    <s v="Tidak"/>
    <x v="1"/>
    <x v="4"/>
    <n v="46"/>
    <x v="7"/>
    <x v="1"/>
    <x v="5"/>
    <n v="3"/>
    <n v="3"/>
    <n v="0"/>
    <n v="3"/>
    <n v="3"/>
    <x v="0"/>
    <n v="3"/>
    <n v="3"/>
    <n v="0"/>
    <n v="0"/>
    <n v="0"/>
    <n v="0"/>
    <n v="3"/>
    <n v="3"/>
    <n v="0"/>
    <n v="3"/>
    <n v="3"/>
    <n v="0"/>
    <n v="3"/>
    <n v="3"/>
    <n v="0"/>
    <n v="3"/>
    <n v="3"/>
    <n v="0"/>
    <n v="3"/>
    <n v="3"/>
    <n v="0"/>
    <n v="0"/>
    <s v="Tidak"/>
    <n v="0"/>
    <s v="Tidak"/>
    <n v="3"/>
    <s v="Ya"/>
    <s v=""/>
    <s v="-"/>
    <n v="0"/>
    <n v="0"/>
    <s v="Sudah mantap"/>
    <s v="sudah baik/bagus"/>
    <s v="Sudah mantap"/>
    <s v="sudah baik/bagus"/>
    <s v="Dinushakan ada ruangan khusus pada waktu menangani kasus"/>
    <s v="ruangan lebih memadai dan nyaman"/>
    <s v=""/>
  </r>
  <r>
    <n v="316"/>
    <s v="Anggara Putra Wiramita"/>
    <x v="22"/>
    <x v="55"/>
    <s v="Tidak"/>
    <s v="Tidak"/>
    <s v="Tidak"/>
    <s v="Tidak"/>
    <x v="1"/>
    <x v="5"/>
    <n v="37"/>
    <x v="4"/>
    <x v="1"/>
    <x v="0"/>
    <n v="3"/>
    <n v="4"/>
    <n v="1"/>
    <n v="4"/>
    <n v="4"/>
    <x v="0"/>
    <n v="3"/>
    <n v="3"/>
    <n v="0"/>
    <n v="0"/>
    <n v="0"/>
    <n v="0"/>
    <n v="4"/>
    <n v="4"/>
    <n v="0"/>
    <n v="3"/>
    <n v="3"/>
    <n v="0"/>
    <n v="3"/>
    <n v="3"/>
    <n v="0"/>
    <n v="3"/>
    <n v="3"/>
    <n v="0"/>
    <n v="3"/>
    <n v="3"/>
    <n v="0"/>
    <n v="0"/>
    <s v="Tidak"/>
    <n v="0"/>
    <s v="Tidak"/>
    <n v="3"/>
    <s v="Ya"/>
    <s v=""/>
    <s v="-"/>
    <n v="0"/>
    <n v="0"/>
    <s v="Sudah bagus, kualitas tetap dipertahankan kualitasnya"/>
    <s v="sudah baik/bagus"/>
    <s v="Saran untuk ditingkatkan pelayanan melalui proses digitalisasi"/>
    <s v="meningkatkan kinerja pelayanan"/>
    <s v="Sudah bagus"/>
    <s v="sudah baik/bagus"/>
    <s v=""/>
  </r>
  <r>
    <n v="317"/>
    <s v="Aris Puji Purnomo"/>
    <x v="0"/>
    <x v="2"/>
    <s v="Tidak"/>
    <s v="Tidak"/>
    <s v="Tidak"/>
    <s v="Tidak"/>
    <x v="1"/>
    <x v="4"/>
    <n v="30"/>
    <x v="1"/>
    <x v="0"/>
    <x v="0"/>
    <n v="4"/>
    <n v="4"/>
    <n v="0"/>
    <n v="4"/>
    <n v="4"/>
    <x v="0"/>
    <n v="4"/>
    <n v="4"/>
    <n v="0"/>
    <n v="0"/>
    <n v="0"/>
    <n v="0"/>
    <n v="4"/>
    <n v="4"/>
    <n v="0"/>
    <n v="4"/>
    <n v="4"/>
    <n v="0"/>
    <n v="4"/>
    <n v="4"/>
    <n v="0"/>
    <n v="4"/>
    <n v="4"/>
    <n v="0"/>
    <n v="3"/>
    <n v="3"/>
    <n v="0"/>
    <n v="0"/>
    <s v="Tidak"/>
    <n v="0"/>
    <s v="Tidak"/>
    <n v="4"/>
    <s v="Tidak"/>
    <s v=""/>
    <s v="-"/>
    <n v="0"/>
    <n v="0"/>
    <s v="Semoga semakin jaya dan semakin baik"/>
    <s v="meningkatkan kinerja pelayanan"/>
    <s v="Sudah baik"/>
    <s v="sudah baik/bagus"/>
    <s v="Sudah cukup bagus"/>
    <s v="sudah baik/bagus"/>
    <s v=""/>
  </r>
  <r>
    <n v="318"/>
    <s v="Dessy Matheldatje"/>
    <x v="2"/>
    <x v="56"/>
    <s v="Tidak"/>
    <s v="Tidak"/>
    <s v="Tidak"/>
    <s v="Tidak"/>
    <x v="0"/>
    <x v="4"/>
    <n v="55"/>
    <x v="8"/>
    <x v="0"/>
    <x v="0"/>
    <n v="3"/>
    <n v="3"/>
    <n v="0"/>
    <n v="4"/>
    <n v="4"/>
    <x v="0"/>
    <n v="4"/>
    <n v="4"/>
    <n v="0"/>
    <n v="0"/>
    <n v="0"/>
    <n v="0"/>
    <n v="3"/>
    <n v="3"/>
    <n v="0"/>
    <n v="3"/>
    <n v="3"/>
    <n v="0"/>
    <n v="3"/>
    <n v="3"/>
    <n v="0"/>
    <n v="3"/>
    <n v="3"/>
    <n v="0"/>
    <n v="3"/>
    <n v="3"/>
    <n v="0"/>
    <n v="0"/>
    <s v="Tidak"/>
    <n v="0"/>
    <s v="Tidak"/>
    <n v="4"/>
    <s v="Ya"/>
    <s v="Dari Polres pasuruan disuruh ke polres sidoarjo"/>
    <s v="Informasi dari pegawai lembaga pemerintahan"/>
    <n v="1"/>
    <n v="4"/>
    <s v="Tidak ada saran Sudah cukup bagus"/>
    <s v="tidak ada"/>
    <s v="Sudah cepat"/>
    <s v="proses pelayanan cepat dan mudah"/>
    <s v="Sudah bagus untuk sarananya"/>
    <s v="sudah baik/bagus"/>
    <s v=""/>
  </r>
  <r>
    <n v="319"/>
    <s v="Saidatul Jannah"/>
    <x v="0"/>
    <x v="31"/>
    <s v="Tidak"/>
    <s v="Tidak"/>
    <s v="Tidak"/>
    <s v="Tidak"/>
    <x v="0"/>
    <x v="4"/>
    <n v="56"/>
    <x v="5"/>
    <x v="3"/>
    <x v="7"/>
    <n v="4"/>
    <n v="4"/>
    <n v="0"/>
    <n v="4"/>
    <n v="4"/>
    <x v="0"/>
    <n v="4"/>
    <n v="4"/>
    <n v="0"/>
    <n v="0"/>
    <n v="0"/>
    <n v="0"/>
    <n v="3"/>
    <n v="4"/>
    <n v="1"/>
    <n v="4"/>
    <n v="4"/>
    <n v="0"/>
    <n v="4"/>
    <n v="4"/>
    <n v="0"/>
    <n v="4"/>
    <n v="4"/>
    <n v="0"/>
    <n v="4"/>
    <n v="4"/>
    <n v="0"/>
    <n v="0"/>
    <s v="Tidak"/>
    <n v="0"/>
    <s v="Tidak"/>
    <n v="0"/>
    <s v="Tidak"/>
    <s v="Inisiatif sendiri"/>
    <s v="Mengetahui sendiri"/>
    <n v="3"/>
    <n v="2"/>
    <s v="Sudah bagus"/>
    <s v="sudah baik/bagus"/>
    <s v="Sudah bagus"/>
    <s v="sudah baik/bagus"/>
    <s v="Sudah bagus"/>
    <s v="sudah baik/bagus"/>
    <s v=""/>
  </r>
  <r>
    <n v="320"/>
    <s v="Petrus silvester ambarita S.H., M.H"/>
    <x v="0"/>
    <x v="1"/>
    <s v="Tidak"/>
    <s v="Tidak"/>
    <s v="Tidak"/>
    <s v="Tidak"/>
    <x v="1"/>
    <x v="4"/>
    <n v="33"/>
    <x v="2"/>
    <x v="4"/>
    <x v="0"/>
    <n v="3"/>
    <n v="3"/>
    <n v="0"/>
    <n v="3"/>
    <n v="3"/>
    <x v="0"/>
    <n v="3"/>
    <n v="3"/>
    <n v="0"/>
    <n v="3"/>
    <n v="3"/>
    <n v="0"/>
    <n v="3"/>
    <n v="3"/>
    <n v="0"/>
    <n v="3"/>
    <n v="3"/>
    <n v="0"/>
    <n v="3"/>
    <n v="3"/>
    <n v="0"/>
    <n v="3"/>
    <n v="3"/>
    <n v="0"/>
    <n v="3"/>
    <n v="3"/>
    <n v="0"/>
    <n v="0"/>
    <s v="Tidak"/>
    <n v="0"/>
    <s v="Tidak"/>
    <n v="0"/>
    <s v="Tidak"/>
    <s v="Teman"/>
    <s v="Teman"/>
    <n v="2"/>
    <n v="3"/>
    <s v="Tidak ada"/>
    <s v="tidak ada"/>
    <s v="Tidak ada"/>
    <s v="tidak ada"/>
    <s v="Tidak ada"/>
    <s v="tidak ada"/>
    <s v="Di tingkatkan lagi pelayanannya dan yang penting bersih semua"/>
  </r>
  <r>
    <n v="321"/>
    <s v="Sholeh Efendi"/>
    <x v="7"/>
    <x v="57"/>
    <s v="Tidak"/>
    <s v="Tidak"/>
    <s v="Tidak"/>
    <s v="Tidak"/>
    <x v="1"/>
    <x v="5"/>
    <n v="30"/>
    <x v="1"/>
    <x v="0"/>
    <x v="3"/>
    <n v="3"/>
    <n v="4"/>
    <n v="1"/>
    <n v="3"/>
    <n v="3"/>
    <x v="0"/>
    <n v="3"/>
    <n v="3"/>
    <n v="0"/>
    <n v="0"/>
    <n v="0"/>
    <n v="0"/>
    <n v="3"/>
    <n v="3"/>
    <n v="0"/>
    <n v="4"/>
    <n v="3"/>
    <n v="-1"/>
    <n v="3"/>
    <n v="3"/>
    <n v="0"/>
    <n v="3"/>
    <n v="3"/>
    <n v="0"/>
    <n v="3"/>
    <n v="3"/>
    <n v="0"/>
    <n v="0"/>
    <s v="Tidak"/>
    <n v="0"/>
    <s v="Tidak"/>
    <n v="4"/>
    <s v="Ya"/>
    <s v=""/>
    <s v="-"/>
    <n v="0"/>
    <n v="0"/>
    <s v="cukup"/>
    <s v="sudah baik/bagus"/>
    <s v="di tingkatkan Polsek agak lama dan ribet"/>
    <s v="mempercepat waktu pelayanan"/>
    <s v="cukup"/>
    <s v="sudah baik/bagus"/>
    <s v=""/>
  </r>
  <r>
    <n v="322"/>
    <s v="Dewi"/>
    <x v="0"/>
    <x v="0"/>
    <s v="Tidak"/>
    <s v="Tidak"/>
    <s v="Tidak"/>
    <s v="Tidak"/>
    <x v="0"/>
    <x v="4"/>
    <n v="42"/>
    <x v="6"/>
    <x v="1"/>
    <x v="5"/>
    <n v="4"/>
    <n v="3"/>
    <n v="-1"/>
    <n v="4"/>
    <n v="3"/>
    <x v="1"/>
    <n v="4"/>
    <n v="4"/>
    <n v="0"/>
    <n v="0"/>
    <n v="0"/>
    <n v="0"/>
    <n v="4"/>
    <n v="4"/>
    <n v="0"/>
    <n v="4"/>
    <n v="4"/>
    <n v="0"/>
    <n v="4"/>
    <n v="4"/>
    <n v="0"/>
    <n v="4"/>
    <n v="4"/>
    <n v="0"/>
    <n v="4"/>
    <n v="4"/>
    <n v="0"/>
    <n v="4"/>
    <s v="Ya"/>
    <n v="3"/>
    <s v="Ya"/>
    <n v="0"/>
    <s v="Tidak"/>
    <s v=""/>
    <s v="-"/>
    <n v="0"/>
    <n v="0"/>
    <s v="Sudah baik sudah bagus ramah dan tidak berbelit-belit"/>
    <s v="sudah baik/bagus"/>
    <s v="Sudah tidak ada"/>
    <s v="tidak ada"/>
    <s v="Sudah bagus"/>
    <s v="sudah baik/bagus"/>
    <s v="Semiga untk pelayanan masyarakat terselesaikan kasusnya"/>
  </r>
  <r>
    <n v="323"/>
    <s v="Hendria santia santana"/>
    <x v="0"/>
    <x v="15"/>
    <s v="Tidak"/>
    <s v="Tidak"/>
    <s v="Tidak"/>
    <s v="Tidak"/>
    <x v="1"/>
    <x v="4"/>
    <n v="45"/>
    <x v="6"/>
    <x v="4"/>
    <x v="5"/>
    <n v="4"/>
    <n v="4"/>
    <n v="0"/>
    <n v="4"/>
    <n v="4"/>
    <x v="0"/>
    <n v="4"/>
    <n v="4"/>
    <n v="0"/>
    <n v="0"/>
    <n v="0"/>
    <n v="0"/>
    <n v="4"/>
    <n v="4"/>
    <n v="0"/>
    <n v="4"/>
    <n v="4"/>
    <n v="0"/>
    <n v="4"/>
    <n v="4"/>
    <n v="0"/>
    <n v="4"/>
    <n v="4"/>
    <n v="0"/>
    <n v="3"/>
    <n v="4"/>
    <n v="1"/>
    <n v="0"/>
    <s v="Tidak"/>
    <n v="0"/>
    <s v="Tidak"/>
    <n v="3"/>
    <s v="Ya"/>
    <s v=""/>
    <s v="-"/>
    <n v="0"/>
    <n v="0"/>
    <s v="Harapan dngn banyak kasus permasalahan mungkin di tambah personil"/>
    <s v="menambah petugas pelayanan"/>
    <s v="Sudah bagus"/>
    <s v="sudah baik/bagus"/>
    <s v="Untk saat ini sudah bagus"/>
    <s v="sudah baik/bagus"/>
    <s v="Mngkin pelayanannya sdh bagus perlu ditingkatkan parkirannya"/>
  </r>
  <r>
    <n v="324"/>
    <s v="Dinda pusdika vinata"/>
    <x v="0"/>
    <x v="10"/>
    <s v="Tidak"/>
    <s v="Tidak"/>
    <s v="Tidak"/>
    <s v="Tidak"/>
    <x v="0"/>
    <x v="4"/>
    <n v="38"/>
    <x v="4"/>
    <x v="1"/>
    <x v="10"/>
    <n v="4"/>
    <n v="4"/>
    <n v="0"/>
    <n v="4"/>
    <n v="4"/>
    <x v="0"/>
    <n v="4"/>
    <n v="4"/>
    <n v="0"/>
    <n v="0"/>
    <n v="0"/>
    <n v="0"/>
    <n v="4"/>
    <n v="4"/>
    <n v="0"/>
    <n v="4"/>
    <n v="4"/>
    <n v="0"/>
    <n v="4"/>
    <n v="4"/>
    <n v="0"/>
    <n v="4"/>
    <n v="4"/>
    <n v="0"/>
    <n v="4"/>
    <n v="4"/>
    <n v="0"/>
    <n v="0"/>
    <s v="Tidak"/>
    <n v="0"/>
    <s v="Tidak"/>
    <n v="4"/>
    <s v="Ya"/>
    <s v=""/>
    <s v="-"/>
    <n v="0"/>
    <n v="0"/>
    <s v="cukup"/>
    <s v="sudah baik/bagus"/>
    <s v="cukup"/>
    <s v="sudah baik/bagus"/>
    <s v="cukup"/>
    <s v="sudah baik/bagus"/>
    <s v=""/>
  </r>
  <r>
    <n v="325"/>
    <s v="Delima cahya Ningrum"/>
    <x v="0"/>
    <x v="13"/>
    <s v="Tidak"/>
    <s v="Tidak"/>
    <s v="Tidak"/>
    <s v="Tidak"/>
    <x v="0"/>
    <x v="4"/>
    <n v="24"/>
    <x v="0"/>
    <x v="1"/>
    <x v="0"/>
    <n v="4"/>
    <n v="4"/>
    <n v="0"/>
    <n v="4"/>
    <n v="4"/>
    <x v="0"/>
    <n v="3"/>
    <n v="4"/>
    <n v="1"/>
    <n v="0"/>
    <n v="0"/>
    <n v="0"/>
    <n v="4"/>
    <n v="4"/>
    <n v="0"/>
    <n v="4"/>
    <n v="4"/>
    <n v="0"/>
    <n v="4"/>
    <n v="4"/>
    <n v="0"/>
    <n v="4"/>
    <n v="4"/>
    <n v="0"/>
    <n v="3"/>
    <n v="4"/>
    <n v="1"/>
    <n v="0"/>
    <s v="Tidak"/>
    <n v="0"/>
    <s v="Tidak"/>
    <n v="4"/>
    <s v="Ya"/>
    <s v=""/>
    <s v="-"/>
    <n v="0"/>
    <n v="0"/>
    <s v="cukup"/>
    <s v="sudah baik/bagus"/>
    <s v="cukup"/>
    <s v="sudah baik/bagus"/>
    <s v="cukup"/>
    <s v="sudah baik/bagus"/>
    <s v=""/>
  </r>
  <r>
    <n v="326"/>
    <s v="Irma Fachriani"/>
    <x v="0"/>
    <x v="10"/>
    <s v="Tidak"/>
    <s v="Tidak"/>
    <s v="Tidak"/>
    <s v="Tidak"/>
    <x v="0"/>
    <x v="4"/>
    <n v="39"/>
    <x v="4"/>
    <x v="2"/>
    <x v="5"/>
    <n v="3"/>
    <n v="4"/>
    <n v="1"/>
    <n v="4"/>
    <n v="4"/>
    <x v="0"/>
    <n v="3"/>
    <n v="3"/>
    <n v="0"/>
    <n v="0"/>
    <n v="0"/>
    <n v="0"/>
    <n v="4"/>
    <n v="4"/>
    <n v="0"/>
    <n v="4"/>
    <n v="4"/>
    <n v="0"/>
    <n v="4"/>
    <n v="4"/>
    <n v="0"/>
    <n v="4"/>
    <n v="4"/>
    <n v="0"/>
    <n v="3"/>
    <n v="3"/>
    <n v="0"/>
    <n v="0"/>
    <s v="Tidak"/>
    <n v="0"/>
    <s v="Tidak"/>
    <n v="0"/>
    <s v="Tidak"/>
    <s v="DP5A"/>
    <s v="Informasi dari pegawai lembaga pemerintahan"/>
    <n v="2"/>
    <n v="3"/>
    <s v="Tidak ada"/>
    <s v="tidak ada"/>
    <s v="Tidak ada"/>
    <s v="tidak ada"/>
    <s v="Ditambahkan ruang tunggu atau tempat duduk untuk pelayanan dan disediakan bilik. Untuk konsultasi terkait pelayanan"/>
    <s v="kursi ditambah atau diperbaiki yang rusak"/>
    <s v="Tidak ada"/>
  </r>
  <r>
    <n v="327"/>
    <s v="Erni"/>
    <x v="0"/>
    <x v="5"/>
    <s v="Tidak"/>
    <s v="Tidak"/>
    <s v="Tidak"/>
    <s v="Tidak"/>
    <x v="0"/>
    <x v="4"/>
    <n v="30"/>
    <x v="1"/>
    <x v="0"/>
    <x v="0"/>
    <n v="4"/>
    <n v="4"/>
    <n v="0"/>
    <n v="4"/>
    <n v="4"/>
    <x v="0"/>
    <n v="4"/>
    <n v="4"/>
    <n v="0"/>
    <n v="0"/>
    <n v="0"/>
    <n v="0"/>
    <n v="4"/>
    <n v="4"/>
    <n v="0"/>
    <n v="4"/>
    <n v="4"/>
    <n v="0"/>
    <n v="4"/>
    <n v="4"/>
    <n v="0"/>
    <n v="4"/>
    <n v="4"/>
    <n v="0"/>
    <n v="4"/>
    <n v="4"/>
    <n v="0"/>
    <n v="0"/>
    <s v="Tidak"/>
    <n v="0"/>
    <s v="Ya"/>
    <n v="0"/>
    <s v="Tidak"/>
    <s v="Teman"/>
    <s v="Teman"/>
    <n v="3"/>
    <n v="2"/>
    <s v="Tetap amanah"/>
    <s v="sudah baik/bagus"/>
    <s v="Sudah cukup"/>
    <s v="sudah baik/bagus"/>
    <s v="Sudah cukup"/>
    <s v="sudah baik/bagus"/>
    <s v=""/>
  </r>
  <r>
    <n v="328"/>
    <s v="Darmayanti"/>
    <x v="0"/>
    <x v="5"/>
    <s v="Tidak"/>
    <s v="Tidak"/>
    <s v="Tidak"/>
    <s v="Tidak"/>
    <x v="0"/>
    <x v="4"/>
    <n v="60"/>
    <x v="5"/>
    <x v="1"/>
    <x v="6"/>
    <n v="3"/>
    <n v="3"/>
    <n v="0"/>
    <n v="3"/>
    <n v="3"/>
    <x v="0"/>
    <n v="4"/>
    <n v="4"/>
    <n v="0"/>
    <n v="0"/>
    <n v="0"/>
    <n v="0"/>
    <n v="3"/>
    <n v="3"/>
    <n v="0"/>
    <n v="3"/>
    <n v="3"/>
    <n v="0"/>
    <n v="4"/>
    <n v="4"/>
    <n v="0"/>
    <n v="4"/>
    <n v="4"/>
    <n v="0"/>
    <n v="3"/>
    <n v="3"/>
    <n v="0"/>
    <n v="0"/>
    <s v="Tidak"/>
    <n v="0"/>
    <s v="Tidak"/>
    <n v="0"/>
    <s v="Tidak"/>
    <s v="Orang lain/tetangga"/>
    <s v="Keluarga"/>
    <n v="3"/>
    <n v="2"/>
    <s v="Polisi lebih menyatu dengan rakyat"/>
    <s v="lebih ramah lagi"/>
    <s v="Sudah cepat"/>
    <s v="proses pelayanan cepat dan mudah"/>
    <s v="Lebih diperbanyak untuk petunjuk&quot; area atau ruangan agar mudah"/>
    <s v="diberikan petunjuk buka/tutup; ruangan atau arah untuk pengurusannya"/>
    <s v=""/>
  </r>
  <r>
    <n v="329"/>
    <s v="Khusnul"/>
    <x v="0"/>
    <x v="2"/>
    <s v="Tidak"/>
    <s v="Tidak"/>
    <s v="Tidak"/>
    <s v="Tidak"/>
    <x v="0"/>
    <x v="4"/>
    <n v="42"/>
    <x v="6"/>
    <x v="0"/>
    <x v="2"/>
    <n v="3"/>
    <n v="3"/>
    <n v="0"/>
    <n v="4"/>
    <n v="4"/>
    <x v="0"/>
    <n v="4"/>
    <n v="4"/>
    <n v="0"/>
    <n v="0"/>
    <n v="0"/>
    <n v="0"/>
    <n v="3"/>
    <n v="3"/>
    <n v="0"/>
    <n v="3"/>
    <n v="3"/>
    <n v="0"/>
    <n v="3"/>
    <n v="3"/>
    <n v="0"/>
    <n v="3"/>
    <n v="3"/>
    <n v="0"/>
    <n v="3"/>
    <n v="3"/>
    <n v="0"/>
    <n v="0"/>
    <s v="Tidak"/>
    <n v="0"/>
    <s v="Tidak"/>
    <n v="0"/>
    <s v="Tidak"/>
    <s v="Kepala desa"/>
    <s v="Informasi dari pegawai lembaga pemerintahan"/>
    <n v="1"/>
    <n v="4"/>
    <s v="Lebih semangat lagi dan lebih ditingkatkan"/>
    <s v="meningkatkan kinerja pelayanan"/>
    <s v="Sudah cepat tidak menunggu lama"/>
    <s v="proses pelayanan cepat dan mudah"/>
    <s v="Ruangan lebih diperluas"/>
    <s v="ruangan lebih memadai dan nyaman"/>
    <s v=""/>
  </r>
  <r>
    <n v="330"/>
    <s v="Yuni Wulansari Soedarno"/>
    <x v="0"/>
    <x v="2"/>
    <s v="Tidak"/>
    <s v="Tidak"/>
    <s v="Tidak"/>
    <s v="Tidak"/>
    <x v="0"/>
    <x v="4"/>
    <n v="38"/>
    <x v="4"/>
    <x v="0"/>
    <x v="2"/>
    <n v="4"/>
    <n v="4"/>
    <n v="0"/>
    <n v="4"/>
    <n v="4"/>
    <x v="0"/>
    <n v="4"/>
    <n v="4"/>
    <n v="0"/>
    <n v="0"/>
    <n v="0"/>
    <n v="0"/>
    <n v="4"/>
    <n v="4"/>
    <n v="0"/>
    <n v="4"/>
    <n v="4"/>
    <n v="0"/>
    <n v="4"/>
    <n v="4"/>
    <n v="0"/>
    <n v="4"/>
    <n v="4"/>
    <n v="0"/>
    <n v="4"/>
    <n v="4"/>
    <n v="0"/>
    <n v="4"/>
    <s v="Ya"/>
    <n v="0"/>
    <s v="Tidak"/>
    <n v="0"/>
    <s v="Tidak"/>
    <s v=""/>
    <s v="-"/>
    <n v="0"/>
    <n v="0"/>
    <s v="Dijaga untuk lebih baik lagi"/>
    <s v="meningkatkan kinerja pelayanan"/>
    <s v="Sudah cukup baik"/>
    <s v="sudah baik/bagus"/>
    <s v="Sudah baik"/>
    <s v="sudah baik/bagus"/>
    <s v=""/>
  </r>
  <r>
    <n v="331"/>
    <s v="Ratna"/>
    <x v="0"/>
    <x v="3"/>
    <s v="Tidak"/>
    <s v="Tidak"/>
    <s v="Tidak"/>
    <s v="Tidak"/>
    <x v="0"/>
    <x v="4"/>
    <n v="55"/>
    <x v="8"/>
    <x v="4"/>
    <x v="5"/>
    <n v="4"/>
    <n v="4"/>
    <n v="0"/>
    <n v="3"/>
    <n v="3"/>
    <x v="0"/>
    <n v="3"/>
    <n v="3"/>
    <n v="0"/>
    <n v="0"/>
    <n v="0"/>
    <n v="0"/>
    <n v="4"/>
    <n v="4"/>
    <n v="0"/>
    <n v="3"/>
    <n v="3"/>
    <n v="0"/>
    <n v="4"/>
    <n v="4"/>
    <n v="0"/>
    <n v="4"/>
    <n v="4"/>
    <n v="0"/>
    <n v="3"/>
    <n v="3"/>
    <n v="0"/>
    <n v="4"/>
    <s v="Ya"/>
    <n v="4"/>
    <s v="Ya"/>
    <n v="0"/>
    <s v="Tidak"/>
    <s v="Lawyer"/>
    <s v="Pegawai/Karyawan Swasta"/>
    <n v="2"/>
    <n v="3"/>
    <s v="Agar lebih ke jemput bola dan lebih terbuka u masyarakat agar masyarakat tidak takut (lebih edukasi/sosialisasi)"/>
    <s v="memberikan informasi yang lebih jelas dan mudah dipahami"/>
    <s v="Sudah cepat waktunya"/>
    <s v="proses pelayanan cepat dan mudah"/>
    <s v="Ada ruang khusus untuk konseling atau konsultasi agar lebih terjaga privasinya"/>
    <s v="ruangan lebih memadai dan nyaman"/>
    <s v=""/>
  </r>
  <r>
    <n v="332"/>
    <s v="Ian Rudolf Sandari"/>
    <x v="8"/>
    <x v="55"/>
    <s v="Tidak"/>
    <s v="Tidak"/>
    <s v="Tidak"/>
    <s v="Tidak"/>
    <x v="1"/>
    <x v="4"/>
    <n v="52"/>
    <x v="8"/>
    <x v="0"/>
    <x v="3"/>
    <n v="3"/>
    <n v="3"/>
    <n v="0"/>
    <n v="2"/>
    <n v="3"/>
    <x v="2"/>
    <n v="2"/>
    <n v="3"/>
    <n v="1"/>
    <n v="0"/>
    <n v="0"/>
    <n v="0"/>
    <n v="3"/>
    <n v="3"/>
    <n v="0"/>
    <n v="3"/>
    <n v="4"/>
    <n v="1"/>
    <n v="3"/>
    <n v="4"/>
    <n v="1"/>
    <n v="3"/>
    <n v="3"/>
    <n v="0"/>
    <n v="3"/>
    <n v="4"/>
    <n v="1"/>
    <n v="0"/>
    <s v="Tidak"/>
    <n v="0"/>
    <s v="Tidak"/>
    <n v="0"/>
    <s v="Tidak"/>
    <s v="Anak"/>
    <s v="Keluarga"/>
    <n v="2"/>
    <n v="3"/>
    <s v="Tidak Ada"/>
    <s v="tidak ada"/>
    <s v="Tidak Ada"/>
    <s v="tidak ada"/>
    <s v="Tidak Ada"/>
    <s v="tidak ada"/>
    <s v="Lebih fokus kepada kasus masyarakat, jangan mementingkan diri sendiri"/>
  </r>
  <r>
    <n v="333"/>
    <s v="Henry"/>
    <x v="0"/>
    <x v="1"/>
    <s v="Tidak"/>
    <s v="Tidak"/>
    <s v="Tidak"/>
    <s v="Tidak"/>
    <x v="1"/>
    <x v="4"/>
    <n v="37"/>
    <x v="4"/>
    <x v="1"/>
    <x v="0"/>
    <n v="3"/>
    <n v="3"/>
    <n v="0"/>
    <n v="3"/>
    <n v="3"/>
    <x v="0"/>
    <n v="3"/>
    <n v="3"/>
    <n v="0"/>
    <n v="0"/>
    <n v="0"/>
    <n v="0"/>
    <n v="3"/>
    <n v="3"/>
    <n v="0"/>
    <n v="3"/>
    <n v="3"/>
    <n v="0"/>
    <n v="3"/>
    <n v="3"/>
    <n v="0"/>
    <n v="4"/>
    <n v="4"/>
    <n v="0"/>
    <n v="4"/>
    <n v="4"/>
    <n v="0"/>
    <n v="0"/>
    <s v="Tidak"/>
    <n v="3"/>
    <s v="Ya"/>
    <n v="0"/>
    <s v="Tidak"/>
    <s v=""/>
    <s v="-"/>
    <n v="0"/>
    <n v="0"/>
    <s v="Sudah bagus"/>
    <s v="sudah baik/bagus"/>
    <s v="Sudah bagus"/>
    <s v="sudah baik/bagus"/>
    <s v="Sudah bagus"/>
    <s v="sudah baik/bagus"/>
    <s v=""/>
  </r>
  <r>
    <n v="334"/>
    <s v="Nurul istidaiyah"/>
    <x v="0"/>
    <x v="5"/>
    <s v="Tidak"/>
    <s v="Tidak"/>
    <s v="Tidak"/>
    <s v="Tidak"/>
    <x v="0"/>
    <x v="4"/>
    <n v="50"/>
    <x v="7"/>
    <x v="3"/>
    <x v="2"/>
    <n v="4"/>
    <n v="4"/>
    <n v="0"/>
    <n v="4"/>
    <n v="4"/>
    <x v="0"/>
    <n v="4"/>
    <n v="4"/>
    <n v="0"/>
    <n v="0"/>
    <n v="0"/>
    <n v="0"/>
    <n v="4"/>
    <n v="4"/>
    <n v="0"/>
    <n v="4"/>
    <n v="4"/>
    <n v="0"/>
    <n v="4"/>
    <n v="4"/>
    <n v="0"/>
    <n v="4"/>
    <n v="4"/>
    <n v="0"/>
    <n v="4"/>
    <n v="4"/>
    <n v="0"/>
    <n v="0"/>
    <s v="Tidak"/>
    <n v="3"/>
    <s v="Ya"/>
    <n v="0"/>
    <s v="Tidak"/>
    <s v=""/>
    <s v="-"/>
    <n v="0"/>
    <n v="0"/>
    <s v="Sudah bagus"/>
    <s v="sudah baik/bagus"/>
    <s v="Sudah bagus"/>
    <s v="sudah baik/bagus"/>
    <s v="Air mineral ditambah"/>
    <s v="menyediakan air mineral"/>
    <s v=""/>
  </r>
  <r>
    <n v="335"/>
    <s v="Yahya"/>
    <x v="0"/>
    <x v="5"/>
    <s v="Tidak"/>
    <s v="Tidak"/>
    <s v="Tidak"/>
    <s v="Tidak"/>
    <x v="1"/>
    <x v="4"/>
    <n v="27"/>
    <x v="1"/>
    <x v="0"/>
    <x v="0"/>
    <n v="4"/>
    <n v="3"/>
    <n v="-1"/>
    <n v="4"/>
    <n v="3"/>
    <x v="1"/>
    <n v="4"/>
    <n v="4"/>
    <n v="0"/>
    <n v="0"/>
    <n v="0"/>
    <n v="0"/>
    <n v="4"/>
    <n v="4"/>
    <n v="0"/>
    <n v="4"/>
    <n v="4"/>
    <n v="0"/>
    <n v="4"/>
    <n v="4"/>
    <n v="0"/>
    <n v="4"/>
    <n v="3"/>
    <n v="-1"/>
    <n v="3"/>
    <n v="3"/>
    <n v="0"/>
    <n v="4"/>
    <s v="Ya"/>
    <n v="0"/>
    <s v="Tidak"/>
    <n v="0"/>
    <s v="Tidak"/>
    <s v=""/>
    <s v="-"/>
    <n v="0"/>
    <n v="0"/>
    <s v="Tidak ada"/>
    <s v="tidak ada"/>
    <s v="Tidak ada"/>
    <s v="tidak ada"/>
    <s v="Tidak ada"/>
    <s v="tidak ada"/>
    <s v="Tidak ada"/>
  </r>
  <r>
    <n v="336"/>
    <s v="Octavia"/>
    <x v="0"/>
    <x v="1"/>
    <s v="Tidak"/>
    <s v="Tidak"/>
    <s v="Tidak"/>
    <s v="Tidak"/>
    <x v="0"/>
    <x v="4"/>
    <n v="32"/>
    <x v="2"/>
    <x v="0"/>
    <x v="2"/>
    <n v="3"/>
    <n v="4"/>
    <n v="1"/>
    <n v="3"/>
    <n v="4"/>
    <x v="2"/>
    <n v="4"/>
    <n v="4"/>
    <n v="0"/>
    <n v="0"/>
    <n v="0"/>
    <n v="0"/>
    <n v="4"/>
    <n v="4"/>
    <n v="0"/>
    <n v="3"/>
    <n v="4"/>
    <n v="1"/>
    <n v="4"/>
    <n v="4"/>
    <n v="0"/>
    <n v="3"/>
    <n v="4"/>
    <n v="1"/>
    <n v="3"/>
    <n v="4"/>
    <n v="1"/>
    <n v="0"/>
    <s v="Tidak"/>
    <n v="0"/>
    <s v="Tidak"/>
    <n v="0"/>
    <s v="Tidak"/>
    <s v="Pengacara"/>
    <s v="Pegawai/Karyawan Swasta"/>
    <n v="1"/>
    <n v="4"/>
    <s v="Tidak ada"/>
    <s v="tidak ada"/>
    <s v="Tidak ada"/>
    <s v="tidak ada"/>
    <s v="Tidak ada"/>
    <s v="tidak ada"/>
    <s v="Tidak ada"/>
  </r>
  <r>
    <n v="337"/>
    <s v="Zidni"/>
    <x v="0"/>
    <x v="0"/>
    <s v="Tidak"/>
    <s v="Tidak"/>
    <s v="Tidak"/>
    <s v="Tidak"/>
    <x v="0"/>
    <x v="4"/>
    <n v="39"/>
    <x v="4"/>
    <x v="2"/>
    <x v="2"/>
    <n v="4"/>
    <n v="4"/>
    <n v="0"/>
    <n v="4"/>
    <n v="4"/>
    <x v="0"/>
    <n v="3"/>
    <n v="3"/>
    <n v="0"/>
    <n v="0"/>
    <n v="0"/>
    <n v="0"/>
    <n v="3"/>
    <n v="4"/>
    <n v="1"/>
    <n v="4"/>
    <n v="4"/>
    <n v="0"/>
    <n v="4"/>
    <n v="4"/>
    <n v="0"/>
    <n v="4"/>
    <n v="4"/>
    <n v="0"/>
    <n v="3"/>
    <n v="3"/>
    <n v="0"/>
    <n v="0"/>
    <s v="Tidak"/>
    <n v="0"/>
    <s v="Tidak"/>
    <n v="4"/>
    <s v="Tidak"/>
    <s v=""/>
    <s v="-"/>
    <n v="0"/>
    <n v="0"/>
    <s v="Tidak ada"/>
    <s v="tidak ada"/>
    <s v="Tidak ada"/>
    <s v="tidak ada"/>
    <s v="Perlu di perlebar untuk ruangan dan juga di tambahkan tempat duduk dan fasilitas AC nya"/>
    <s v="kursi ditambah atau diperbaiki yang rusak"/>
    <s v="Tidak ada"/>
  </r>
  <r>
    <n v="338"/>
    <s v="Revi"/>
    <x v="0"/>
    <x v="1"/>
    <s v="Tidak"/>
    <s v="Tidak"/>
    <s v="Tidak"/>
    <s v="Tidak"/>
    <x v="0"/>
    <x v="4"/>
    <n v="36"/>
    <x v="4"/>
    <x v="0"/>
    <x v="7"/>
    <n v="4"/>
    <n v="4"/>
    <n v="0"/>
    <n v="4"/>
    <n v="4"/>
    <x v="0"/>
    <n v="4"/>
    <n v="4"/>
    <n v="0"/>
    <n v="0"/>
    <n v="0"/>
    <n v="0"/>
    <n v="4"/>
    <n v="4"/>
    <n v="0"/>
    <n v="4"/>
    <n v="4"/>
    <n v="0"/>
    <n v="4"/>
    <n v="4"/>
    <n v="0"/>
    <n v="4"/>
    <n v="4"/>
    <n v="0"/>
    <n v="4"/>
    <n v="4"/>
    <n v="0"/>
    <n v="0"/>
    <s v="Tidak"/>
    <n v="0"/>
    <s v="Tidak"/>
    <n v="3"/>
    <s v="Ya"/>
    <s v=""/>
    <s v="-"/>
    <n v="0"/>
    <n v="0"/>
    <s v="Tidak ada"/>
    <s v="tidak ada"/>
    <s v="Tidak ada"/>
    <s v="tidak ada"/>
    <s v="Tidak ada"/>
    <s v="tidak ada"/>
    <s v="Tidak ada"/>
  </r>
  <r>
    <n v="339"/>
    <s v="Sukrul amin"/>
    <x v="0"/>
    <x v="4"/>
    <s v="Tidak"/>
    <s v="Tidak"/>
    <s v="Tidak"/>
    <s v="Tidak"/>
    <x v="1"/>
    <x v="4"/>
    <n v="41"/>
    <x v="6"/>
    <x v="3"/>
    <x v="2"/>
    <n v="3"/>
    <n v="4"/>
    <n v="1"/>
    <n v="3"/>
    <n v="3"/>
    <x v="0"/>
    <n v="3"/>
    <n v="3"/>
    <n v="0"/>
    <n v="0"/>
    <n v="0"/>
    <n v="0"/>
    <n v="3"/>
    <n v="3"/>
    <n v="0"/>
    <n v="3"/>
    <n v="3"/>
    <n v="0"/>
    <n v="3"/>
    <n v="3"/>
    <n v="0"/>
    <n v="3"/>
    <n v="3"/>
    <n v="0"/>
    <n v="3"/>
    <n v="3"/>
    <n v="0"/>
    <n v="0"/>
    <s v="Tidak"/>
    <n v="0"/>
    <s v="Tidak"/>
    <n v="3"/>
    <s v="Ya"/>
    <s v=""/>
    <s v="-"/>
    <n v="0"/>
    <n v="0"/>
    <s v="Tidak ada"/>
    <s v="tidak ada"/>
    <s v="Tidak ada"/>
    <s v="tidak ada"/>
    <s v="Tidak ada"/>
    <s v="tidak ada"/>
    <s v="Tidak ada"/>
  </r>
  <r>
    <n v="340"/>
    <s v="Yosep"/>
    <x v="8"/>
    <x v="37"/>
    <s v="Tidak"/>
    <s v="Tidak"/>
    <s v="Tidak"/>
    <s v="Tidak"/>
    <x v="1"/>
    <x v="4"/>
    <n v="50"/>
    <x v="7"/>
    <x v="1"/>
    <x v="0"/>
    <n v="4"/>
    <n v="4"/>
    <n v="0"/>
    <n v="3"/>
    <n v="3"/>
    <x v="0"/>
    <n v="4"/>
    <n v="4"/>
    <n v="0"/>
    <n v="0"/>
    <n v="0"/>
    <n v="0"/>
    <n v="4"/>
    <n v="4"/>
    <n v="0"/>
    <n v="4"/>
    <n v="4"/>
    <n v="0"/>
    <n v="3"/>
    <n v="3"/>
    <n v="0"/>
    <n v="4"/>
    <n v="4"/>
    <n v="0"/>
    <n v="4"/>
    <n v="4"/>
    <n v="0"/>
    <n v="4"/>
    <s v="Ya"/>
    <n v="0"/>
    <s v="Tidak"/>
    <n v="0"/>
    <s v="Tidak"/>
    <s v=""/>
    <s v="-"/>
    <n v="0"/>
    <n v="0"/>
    <s v="Tidak ada, sudah bagus"/>
    <s v="tidak ada"/>
    <s v="Sudah bagus"/>
    <s v="sudah baik/bagus"/>
    <s v="Toilet masih kurang"/>
    <s v="menambah toilet"/>
    <s v=""/>
  </r>
  <r>
    <n v="341"/>
    <s v="Vita Nova"/>
    <x v="0"/>
    <x v="0"/>
    <s v="Tidak"/>
    <s v="Tidak"/>
    <s v="Tidak"/>
    <s v="Tidak"/>
    <x v="0"/>
    <x v="4"/>
    <n v="42"/>
    <x v="6"/>
    <x v="0"/>
    <x v="0"/>
    <n v="3"/>
    <n v="4"/>
    <n v="1"/>
    <n v="3"/>
    <n v="4"/>
    <x v="2"/>
    <n v="4"/>
    <n v="4"/>
    <n v="0"/>
    <n v="0"/>
    <n v="0"/>
    <n v="0"/>
    <n v="3"/>
    <n v="4"/>
    <n v="1"/>
    <n v="3"/>
    <n v="3"/>
    <n v="0"/>
    <n v="3"/>
    <n v="3"/>
    <n v="0"/>
    <n v="3"/>
    <n v="3"/>
    <n v="0"/>
    <n v="3"/>
    <n v="3"/>
    <n v="0"/>
    <n v="0"/>
    <s v="Tidak"/>
    <n v="0"/>
    <s v="Tidak"/>
    <n v="4"/>
    <s v="Ya"/>
    <s v=""/>
    <s v="-"/>
    <n v="0"/>
    <n v="0"/>
    <s v="Tidak ada"/>
    <s v="tidak ada"/>
    <s v="Tidak ada"/>
    <s v="tidak ada"/>
    <s v="Tidak ada"/>
    <s v="tidak ada"/>
    <s v="Tidak ada"/>
  </r>
  <r>
    <n v="342"/>
    <s v="Ika sulistya"/>
    <x v="0"/>
    <x v="2"/>
    <s v="Tidak"/>
    <s v="Tidak"/>
    <s v="Tidak"/>
    <s v="Tidak"/>
    <x v="0"/>
    <x v="4"/>
    <n v="32"/>
    <x v="2"/>
    <x v="0"/>
    <x v="7"/>
    <n v="3"/>
    <n v="3"/>
    <n v="0"/>
    <n v="3"/>
    <n v="3"/>
    <x v="0"/>
    <n v="3"/>
    <n v="3"/>
    <n v="0"/>
    <n v="0"/>
    <n v="0"/>
    <n v="0"/>
    <n v="3"/>
    <n v="3"/>
    <n v="0"/>
    <n v="3"/>
    <n v="3"/>
    <n v="0"/>
    <n v="3"/>
    <n v="3"/>
    <n v="0"/>
    <n v="3"/>
    <n v="3"/>
    <n v="0"/>
    <n v="3"/>
    <n v="3"/>
    <n v="0"/>
    <n v="0"/>
    <s v="Tidak"/>
    <n v="0"/>
    <s v="Tidak"/>
    <n v="3"/>
    <s v="Ya"/>
    <s v=""/>
    <s v="-"/>
    <n v="0"/>
    <n v="0"/>
    <s v="Harus bisa menyelesaikan perkara sampai tuntas dan selesai"/>
    <s v="selesaikan perkara sampai tuntas"/>
    <s v="Tidak ada"/>
    <s v="tidak ada"/>
    <s v="Tidak ada"/>
    <s v="tidak ada"/>
    <s v="Tidak ada"/>
  </r>
  <r>
    <n v="343"/>
    <s v="Lukman"/>
    <x v="23"/>
    <x v="58"/>
    <s v="Tidak"/>
    <s v="Tidak"/>
    <s v="Tidak"/>
    <s v="Tidak"/>
    <x v="1"/>
    <x v="4"/>
    <n v="51"/>
    <x v="8"/>
    <x v="0"/>
    <x v="2"/>
    <n v="4"/>
    <n v="4"/>
    <n v="0"/>
    <n v="4"/>
    <n v="4"/>
    <x v="0"/>
    <n v="4"/>
    <n v="4"/>
    <n v="0"/>
    <n v="0"/>
    <n v="0"/>
    <n v="0"/>
    <n v="4"/>
    <n v="4"/>
    <n v="0"/>
    <n v="4"/>
    <n v="4"/>
    <n v="0"/>
    <n v="4"/>
    <n v="4"/>
    <n v="0"/>
    <n v="4"/>
    <n v="4"/>
    <n v="0"/>
    <n v="4"/>
    <n v="4"/>
    <n v="0"/>
    <n v="0"/>
    <s v="Tidak"/>
    <n v="0"/>
    <s v="Tidak"/>
    <n v="4"/>
    <s v="Ya"/>
    <s v=""/>
    <s v="-"/>
    <n v="0"/>
    <n v="0"/>
    <s v="Tidak ada"/>
    <s v="tidak ada"/>
    <s v="Tidak ada"/>
    <s v="tidak ada"/>
    <s v="Tidak ada"/>
    <s v="tidak ada"/>
    <s v="Tidak ada"/>
  </r>
  <r>
    <n v="344"/>
    <s v="Hidayatul maulidya"/>
    <x v="16"/>
    <x v="59"/>
    <s v="Tidak"/>
    <s v="Tidak"/>
    <s v="Tidak"/>
    <s v="Tidak"/>
    <x v="0"/>
    <x v="4"/>
    <n v="25"/>
    <x v="0"/>
    <x v="0"/>
    <x v="2"/>
    <n v="4"/>
    <n v="4"/>
    <n v="0"/>
    <n v="4"/>
    <n v="4"/>
    <x v="0"/>
    <n v="4"/>
    <n v="4"/>
    <n v="0"/>
    <n v="0"/>
    <n v="0"/>
    <n v="0"/>
    <n v="4"/>
    <n v="4"/>
    <n v="0"/>
    <n v="4"/>
    <n v="4"/>
    <n v="0"/>
    <n v="4"/>
    <n v="4"/>
    <n v="0"/>
    <n v="4"/>
    <n v="4"/>
    <n v="0"/>
    <n v="4"/>
    <n v="4"/>
    <n v="0"/>
    <n v="0"/>
    <s v="Tidak"/>
    <n v="0"/>
    <s v="Tidak"/>
    <n v="3"/>
    <s v="Ya"/>
    <s v=""/>
    <s v="-"/>
    <n v="0"/>
    <n v="0"/>
    <s v="Tidak ada , sudah bagus"/>
    <s v="tidak ada"/>
    <s v="Sudah cukup"/>
    <s v="sudah baik/bagus"/>
    <s v="Sudah cukup"/>
    <s v="sudah baik/bagus"/>
    <s v=""/>
  </r>
  <r>
    <n v="345"/>
    <s v="Tika Titiana asri"/>
    <x v="0"/>
    <x v="60"/>
    <s v="Tidak"/>
    <s v="Tidak"/>
    <s v="Tidak"/>
    <s v="Tidak"/>
    <x v="0"/>
    <x v="4"/>
    <n v="40"/>
    <x v="4"/>
    <x v="2"/>
    <x v="2"/>
    <n v="4"/>
    <n v="4"/>
    <n v="0"/>
    <n v="4"/>
    <n v="4"/>
    <x v="0"/>
    <n v="4"/>
    <n v="4"/>
    <n v="0"/>
    <n v="0"/>
    <n v="0"/>
    <n v="0"/>
    <n v="4"/>
    <n v="4"/>
    <n v="0"/>
    <n v="4"/>
    <n v="4"/>
    <n v="0"/>
    <n v="4"/>
    <n v="4"/>
    <n v="0"/>
    <n v="4"/>
    <n v="4"/>
    <n v="0"/>
    <n v="4"/>
    <n v="4"/>
    <n v="0"/>
    <n v="0"/>
    <s v="Tidak"/>
    <n v="0"/>
    <s v="Tidak"/>
    <n v="0"/>
    <s v="Tidak"/>
    <s v="Dekat rumah"/>
    <s v="Mengetahui sendiri"/>
    <n v="1"/>
    <n v="4"/>
    <s v="Sudah cukup"/>
    <s v="sudah baik/bagus"/>
    <s v="Sudah cukup"/>
    <s v="sudah baik/bagus"/>
    <s v="Parkir perlu ditambah"/>
    <s v="harus ada petugas yang menata parkiran"/>
    <s v=""/>
  </r>
  <r>
    <n v="346"/>
    <s v="Tri sayekti"/>
    <x v="0"/>
    <x v="17"/>
    <s v="Tidak"/>
    <s v="Tidak"/>
    <s v="Tidak"/>
    <s v="Tidak"/>
    <x v="0"/>
    <x v="4"/>
    <n v="50"/>
    <x v="7"/>
    <x v="3"/>
    <x v="0"/>
    <n v="4"/>
    <n v="4"/>
    <n v="0"/>
    <n v="4"/>
    <n v="4"/>
    <x v="0"/>
    <n v="3"/>
    <n v="3"/>
    <n v="0"/>
    <n v="0"/>
    <n v="0"/>
    <n v="0"/>
    <n v="3"/>
    <n v="3"/>
    <n v="0"/>
    <n v="3"/>
    <n v="3"/>
    <n v="0"/>
    <n v="4"/>
    <n v="4"/>
    <n v="0"/>
    <n v="3"/>
    <n v="3"/>
    <n v="0"/>
    <n v="4"/>
    <n v="4"/>
    <n v="0"/>
    <n v="0"/>
    <s v="Tidak"/>
    <n v="0"/>
    <s v="Tidak"/>
    <n v="0"/>
    <s v="Tidak"/>
    <s v="Dari teman"/>
    <s v="Teman"/>
    <n v="2"/>
    <n v="3"/>
    <s v="Sudah cukup"/>
    <s v="sudah baik/bagus"/>
    <s v="Sudah cukup"/>
    <s v="sudah baik/bagus"/>
    <s v="Sudah cukup"/>
    <s v="sudah baik/bagus"/>
    <s v=""/>
  </r>
  <r>
    <n v="347"/>
    <s v="Jihantsumia"/>
    <x v="8"/>
    <x v="61"/>
    <s v="Tidak"/>
    <s v="Tidak"/>
    <s v="Tidak"/>
    <s v="Tidak"/>
    <x v="0"/>
    <x v="4"/>
    <n v="29"/>
    <x v="1"/>
    <x v="1"/>
    <x v="2"/>
    <n v="3"/>
    <n v="3"/>
    <n v="0"/>
    <n v="3"/>
    <n v="3"/>
    <x v="0"/>
    <n v="4"/>
    <n v="4"/>
    <n v="0"/>
    <n v="0"/>
    <n v="0"/>
    <n v="0"/>
    <n v="3"/>
    <n v="3"/>
    <n v="0"/>
    <n v="4"/>
    <n v="4"/>
    <n v="0"/>
    <n v="4"/>
    <n v="4"/>
    <n v="0"/>
    <n v="4"/>
    <n v="4"/>
    <n v="0"/>
    <n v="4"/>
    <n v="4"/>
    <n v="0"/>
    <n v="4"/>
    <s v="Ya"/>
    <n v="0"/>
    <s v="Tidak"/>
    <n v="4"/>
    <s v="Tidak"/>
    <s v=""/>
    <s v="-"/>
    <n v="0"/>
    <n v="0"/>
    <s v="Udah bagus dan puas kinerja sudah sesuai harapan di tingkatkan saja kedepannya"/>
    <s v="meningkatkan kinerja pelayanan"/>
    <s v="Sudah bagus"/>
    <s v="sudah baik/bagus"/>
    <s v="Tidak Ada"/>
    <s v="tidak ada"/>
    <s v=""/>
  </r>
  <r>
    <n v="348"/>
    <s v="Johana dwiastuti"/>
    <x v="24"/>
    <x v="62"/>
    <s v="Tidak"/>
    <s v="Tidak"/>
    <s v="Tidak"/>
    <s v="Tidak"/>
    <x v="0"/>
    <x v="4"/>
    <n v="49"/>
    <x v="7"/>
    <x v="1"/>
    <x v="2"/>
    <n v="3"/>
    <n v="3"/>
    <n v="0"/>
    <n v="3"/>
    <n v="3"/>
    <x v="0"/>
    <n v="4"/>
    <n v="4"/>
    <n v="0"/>
    <n v="0"/>
    <n v="0"/>
    <n v="0"/>
    <n v="4"/>
    <n v="4"/>
    <n v="0"/>
    <n v="4"/>
    <n v="4"/>
    <n v="0"/>
    <n v="4"/>
    <n v="4"/>
    <n v="0"/>
    <n v="4"/>
    <n v="4"/>
    <n v="0"/>
    <n v="3"/>
    <n v="3"/>
    <n v="0"/>
    <n v="0"/>
    <s v="Tidak"/>
    <n v="0"/>
    <s v="Tidak"/>
    <n v="3"/>
    <s v="Ya"/>
    <s v=""/>
    <s v="-"/>
    <n v="0"/>
    <n v="0"/>
    <s v="Sudah tidak ada"/>
    <s v="tidak ada"/>
    <s v="Waktunya kalau hari libur selaulu melayani"/>
    <s v="menambah jam pelayanan"/>
    <s v="Tidak ada"/>
    <s v="tidak ada"/>
    <s v=""/>
  </r>
  <r>
    <n v="349"/>
    <s v="Ahmad Ghozin shodiqin"/>
    <x v="0"/>
    <x v="0"/>
    <s v="Tidak"/>
    <s v="Tidak"/>
    <s v="Tidak"/>
    <s v="Tidak"/>
    <x v="1"/>
    <x v="4"/>
    <n v="31"/>
    <x v="2"/>
    <x v="4"/>
    <x v="2"/>
    <n v="3"/>
    <n v="4"/>
    <n v="1"/>
    <n v="4"/>
    <n v="3"/>
    <x v="1"/>
    <n v="3"/>
    <n v="4"/>
    <n v="1"/>
    <n v="0"/>
    <n v="0"/>
    <n v="0"/>
    <n v="3"/>
    <n v="3"/>
    <n v="0"/>
    <n v="3"/>
    <n v="3"/>
    <n v="0"/>
    <n v="3"/>
    <n v="3"/>
    <n v="0"/>
    <n v="4"/>
    <n v="4"/>
    <n v="0"/>
    <n v="3"/>
    <n v="3"/>
    <n v="0"/>
    <n v="3"/>
    <s v="Ya"/>
    <n v="0"/>
    <s v="Tidak"/>
    <n v="0"/>
    <s v="Tidak"/>
    <s v=""/>
    <s v="-"/>
    <n v="0"/>
    <n v="0"/>
    <s v="Lebih baik lagi pemberitahun papan pelayanan di perjelas lagi karena kurng jelas"/>
    <s v="meningkatkan kinerja pelayanan"/>
    <s v="Sudah sangat baik"/>
    <s v="sudah baik/bagus"/>
    <s v="Untk ruangan anaknya kurang besar karena banyak yg pelapor dan bawa banyak anak"/>
    <s v="menambah tempat bermain anak"/>
    <s v=""/>
  </r>
  <r>
    <n v="350"/>
    <s v="Safitri Anggraini Dewi"/>
    <x v="0"/>
    <x v="36"/>
    <s v="Tidak"/>
    <s v="Tidak"/>
    <s v="Tidak"/>
    <s v="Tidak"/>
    <x v="0"/>
    <x v="4"/>
    <n v="28"/>
    <x v="1"/>
    <x v="0"/>
    <x v="2"/>
    <n v="4"/>
    <n v="4"/>
    <n v="0"/>
    <n v="4"/>
    <n v="4"/>
    <x v="0"/>
    <n v="4"/>
    <n v="4"/>
    <n v="0"/>
    <n v="0"/>
    <n v="0"/>
    <n v="0"/>
    <n v="4"/>
    <n v="4"/>
    <n v="0"/>
    <n v="4"/>
    <n v="4"/>
    <n v="0"/>
    <n v="4"/>
    <n v="4"/>
    <n v="0"/>
    <n v="4"/>
    <n v="4"/>
    <n v="0"/>
    <n v="4"/>
    <n v="4"/>
    <n v="0"/>
    <n v="0"/>
    <s v="Tidak"/>
    <n v="0"/>
    <s v="Tidak"/>
    <n v="0"/>
    <s v="Tidak"/>
    <s v="Sodara"/>
    <s v="Keluarga"/>
    <n v="1"/>
    <n v="4"/>
    <s v="Sangat cepat"/>
    <s v="sudah baik/bagus"/>
    <s v="Sangat cepat pelayanan"/>
    <s v="proses pelayanan cepat dan mudah"/>
    <s v="Cepat"/>
    <s v="sudah baik/bagus"/>
    <s v="Harus aja seperti itu cepat dan tanggap agar masyarakat tidak kecewa"/>
  </r>
  <r>
    <n v="351"/>
    <s v="Yohanita wulndari"/>
    <x v="24"/>
    <x v="61"/>
    <s v="Tidak"/>
    <s v="Tidak"/>
    <s v="Tidak"/>
    <s v="Tidak"/>
    <x v="0"/>
    <x v="4"/>
    <n v="48"/>
    <x v="7"/>
    <x v="1"/>
    <x v="2"/>
    <n v="3"/>
    <n v="3"/>
    <n v="0"/>
    <n v="3"/>
    <n v="3"/>
    <x v="0"/>
    <n v="3"/>
    <n v="3"/>
    <n v="0"/>
    <n v="0"/>
    <n v="0"/>
    <n v="0"/>
    <n v="3"/>
    <n v="3"/>
    <n v="0"/>
    <n v="3"/>
    <n v="3"/>
    <n v="0"/>
    <n v="3"/>
    <n v="3"/>
    <n v="0"/>
    <n v="3"/>
    <n v="3"/>
    <n v="0"/>
    <n v="4"/>
    <n v="4"/>
    <n v="0"/>
    <n v="0"/>
    <s v="Tidak"/>
    <n v="0"/>
    <s v="Tidak"/>
    <n v="3"/>
    <s v="Ya"/>
    <s v=""/>
    <s v="-"/>
    <n v="0"/>
    <n v="0"/>
    <s v="Sudah cukup baik"/>
    <s v="sudah baik/bagus"/>
    <s v="Tidak ada"/>
    <s v="tidak ada"/>
    <s v="Sudah cukup bagus, namun lebih pengen lebih privat saja, jadi kalau ada orang membicarkan permasalahan tidak fokus karena terdengar dengan yg lain"/>
    <s v="ruangan lebih memadai dan nyaman"/>
    <s v=""/>
  </r>
  <r>
    <n v="352"/>
    <s v="Maulana Khusna"/>
    <x v="1"/>
    <x v="63"/>
    <s v="Tidak"/>
    <s v="Tidak"/>
    <s v="Tidak"/>
    <s v="Tidak"/>
    <x v="1"/>
    <x v="5"/>
    <n v="37"/>
    <x v="4"/>
    <x v="1"/>
    <x v="2"/>
    <n v="3"/>
    <n v="3"/>
    <n v="0"/>
    <n v="3"/>
    <n v="3"/>
    <x v="0"/>
    <n v="3"/>
    <n v="3"/>
    <n v="0"/>
    <n v="0"/>
    <n v="0"/>
    <n v="0"/>
    <n v="3"/>
    <n v="3"/>
    <n v="0"/>
    <n v="3"/>
    <n v="3"/>
    <n v="0"/>
    <n v="3"/>
    <n v="3"/>
    <n v="0"/>
    <n v="3"/>
    <n v="3"/>
    <n v="0"/>
    <n v="3"/>
    <n v="3"/>
    <n v="0"/>
    <n v="0"/>
    <s v="Tidak"/>
    <n v="3"/>
    <s v="Ya"/>
    <n v="0"/>
    <s v="Tidak"/>
    <s v=""/>
    <s v="-"/>
    <n v="0"/>
    <n v="0"/>
    <s v="Untk perilaku sdh cukup pelayanan sudah cukup"/>
    <s v="sudah baik/bagus"/>
    <s v="Hanya saja proses dalam waktu prosudural perizinan itu kami menyarakan di persingkat kalau bisa dalam satu pintu."/>
    <s v="mempercepat waktu pelayanan"/>
    <s v="Tidak ada cukup"/>
    <s v="tidak ada"/>
    <s v=""/>
  </r>
  <r>
    <n v="353"/>
    <s v="Hari Seo"/>
    <x v="19"/>
    <x v="51"/>
    <s v="Tidak"/>
    <s v=""/>
    <s v="Tidak"/>
    <s v="Tidak"/>
    <x v="1"/>
    <x v="5"/>
    <n v="52"/>
    <x v="8"/>
    <x v="1"/>
    <x v="0"/>
    <n v="4"/>
    <n v="4"/>
    <n v="0"/>
    <n v="4"/>
    <n v="4"/>
    <x v="0"/>
    <n v="4"/>
    <n v="4"/>
    <n v="0"/>
    <n v="0"/>
    <n v="0"/>
    <n v="0"/>
    <n v="4"/>
    <n v="4"/>
    <n v="0"/>
    <n v="4"/>
    <n v="4"/>
    <n v="0"/>
    <n v="4"/>
    <n v="4"/>
    <n v="0"/>
    <n v="4"/>
    <n v="4"/>
    <n v="0"/>
    <n v="4"/>
    <n v="4"/>
    <n v="0"/>
    <n v="0"/>
    <s v="Tidak"/>
    <n v="0"/>
    <s v="Tidak"/>
    <n v="0"/>
    <s v="Tidak"/>
    <s v="Datang langsung"/>
    <s v="Mengetahui sendiri"/>
    <n v="2"/>
    <n v="3"/>
    <s v="Tidak ada sudah cukup"/>
    <s v="tidak ada"/>
    <s v="Sudah baik"/>
    <s v="sudah baik/bagus"/>
    <s v="Sudah bagus"/>
    <s v="sudah baik/bagus"/>
    <s v=""/>
  </r>
  <r>
    <n v="354"/>
    <s v="Santi"/>
    <x v="0"/>
    <x v="0"/>
    <s v="Tidak"/>
    <s v="Tidak"/>
    <s v="Tidak"/>
    <s v="Tidak"/>
    <x v="0"/>
    <x v="5"/>
    <n v="47"/>
    <x v="7"/>
    <x v="0"/>
    <x v="2"/>
    <n v="3"/>
    <n v="4"/>
    <n v="1"/>
    <n v="4"/>
    <n v="4"/>
    <x v="0"/>
    <n v="3"/>
    <n v="3"/>
    <n v="0"/>
    <n v="0"/>
    <n v="0"/>
    <n v="0"/>
    <n v="4"/>
    <n v="4"/>
    <n v="0"/>
    <n v="4"/>
    <n v="4"/>
    <n v="0"/>
    <n v="4"/>
    <n v="3"/>
    <n v="-1"/>
    <n v="3"/>
    <n v="3"/>
    <n v="0"/>
    <n v="3"/>
    <n v="4"/>
    <n v="1"/>
    <n v="0"/>
    <s v="Tidak"/>
    <n v="0"/>
    <s v="Tidak"/>
    <n v="3"/>
    <s v="Ya"/>
    <s v=""/>
    <s v="-"/>
    <n v="0"/>
    <n v="0"/>
    <s v="Perlu di tambahkan lagi petugas pelayanan"/>
    <s v="menambah petugas pelayanan"/>
    <s v="Tidak ada"/>
    <s v="tidak ada"/>
    <s v="Tidak ada"/>
    <s v="tidak ada"/>
    <s v="Tidak ada"/>
  </r>
  <r>
    <n v="355"/>
    <s v="Abdul Ghofur"/>
    <x v="0"/>
    <x v="13"/>
    <s v="Tidak"/>
    <s v="Tidak"/>
    <s v="Tidak"/>
    <s v="Tidak"/>
    <x v="1"/>
    <x v="4"/>
    <n v="48"/>
    <x v="7"/>
    <x v="1"/>
    <x v="2"/>
    <n v="4"/>
    <n v="3"/>
    <n v="-1"/>
    <n v="4"/>
    <n v="3"/>
    <x v="1"/>
    <n v="3"/>
    <n v="3"/>
    <n v="0"/>
    <n v="0"/>
    <n v="0"/>
    <n v="0"/>
    <n v="3"/>
    <n v="3"/>
    <n v="0"/>
    <n v="4"/>
    <n v="4"/>
    <n v="0"/>
    <n v="4"/>
    <n v="4"/>
    <n v="0"/>
    <n v="4"/>
    <n v="4"/>
    <n v="0"/>
    <n v="4"/>
    <n v="4"/>
    <n v="0"/>
    <n v="0"/>
    <s v="Tidak"/>
    <n v="0"/>
    <s v="Tidak"/>
    <n v="4"/>
    <s v="Ya"/>
    <s v=""/>
    <s v="-"/>
    <n v="0"/>
    <n v="0"/>
    <s v="sudah bagus tpi lebih di tingkatkan"/>
    <s v="sudah baik/bagus"/>
    <s v="lbih di percepat"/>
    <s v="mempercepat waktu pelayanan"/>
    <s v="cukup"/>
    <s v="sudah baik/bagus"/>
    <s v=""/>
  </r>
  <r>
    <n v="356"/>
    <s v="Adi"/>
    <x v="0"/>
    <x v="0"/>
    <s v="Tidak"/>
    <s v="Tidak"/>
    <s v="Tidak"/>
    <s v="Tidak"/>
    <x v="1"/>
    <x v="4"/>
    <n v="44"/>
    <x v="6"/>
    <x v="2"/>
    <x v="2"/>
    <n v="3"/>
    <n v="4"/>
    <n v="1"/>
    <n v="4"/>
    <n v="4"/>
    <x v="0"/>
    <n v="3"/>
    <n v="4"/>
    <n v="1"/>
    <n v="0"/>
    <n v="0"/>
    <n v="0"/>
    <n v="3"/>
    <n v="3"/>
    <n v="0"/>
    <n v="3"/>
    <n v="3"/>
    <n v="0"/>
    <n v="4"/>
    <n v="4"/>
    <n v="0"/>
    <n v="4"/>
    <n v="4"/>
    <n v="0"/>
    <n v="3"/>
    <n v="3"/>
    <n v="0"/>
    <n v="0"/>
    <s v="Tidak"/>
    <n v="0"/>
    <s v="Tidak"/>
    <n v="3"/>
    <s v="Ya"/>
    <s v=""/>
    <s v="-"/>
    <n v="0"/>
    <n v="0"/>
    <s v="Tidak ada"/>
    <s v="tidak ada"/>
    <s v="Tidak ada"/>
    <s v="tidak ada"/>
    <s v="Banyak nyamuknya di depan ruangan reskrim perlu di beri alat penghilang nyamuk atau di perbaiki ruangannya agar tertutup"/>
    <s v="ruangan lebih memadai dan nyaman"/>
    <s v=""/>
  </r>
  <r>
    <n v="357"/>
    <s v="Leli siswati"/>
    <x v="0"/>
    <x v="6"/>
    <s v="Tidak"/>
    <s v="Tidak"/>
    <s v="Tidak"/>
    <s v="Tidak"/>
    <x v="0"/>
    <x v="4"/>
    <n v="36"/>
    <x v="4"/>
    <x v="3"/>
    <x v="2"/>
    <n v="4"/>
    <n v="4"/>
    <n v="0"/>
    <n v="4"/>
    <n v="4"/>
    <x v="0"/>
    <n v="4"/>
    <n v="4"/>
    <n v="0"/>
    <n v="0"/>
    <n v="0"/>
    <n v="0"/>
    <n v="4"/>
    <n v="4"/>
    <n v="0"/>
    <n v="4"/>
    <n v="4"/>
    <n v="0"/>
    <n v="4"/>
    <n v="4"/>
    <n v="0"/>
    <n v="4"/>
    <n v="4"/>
    <n v="0"/>
    <n v="4"/>
    <n v="4"/>
    <n v="0"/>
    <n v="0"/>
    <s v="Tidak"/>
    <n v="0"/>
    <s v="Tidak"/>
    <n v="0"/>
    <s v="Tidak"/>
    <s v=""/>
    <s v="-"/>
    <n v="0"/>
    <n v="0"/>
    <s v="cukup"/>
    <s v="sudah baik/bagus"/>
    <s v="cukup"/>
    <s v="sudah baik/bagus"/>
    <s v="cukup"/>
    <s v="sudah baik/bagus"/>
    <s v=""/>
  </r>
  <r>
    <n v="358"/>
    <s v="Siti masrukha"/>
    <x v="0"/>
    <x v="17"/>
    <s v="Tidak"/>
    <s v="Tidak"/>
    <s v="Tidak"/>
    <s v="Tidak"/>
    <x v="0"/>
    <x v="4"/>
    <n v="47"/>
    <x v="7"/>
    <x v="0"/>
    <x v="7"/>
    <n v="4"/>
    <n v="4"/>
    <n v="0"/>
    <n v="4"/>
    <n v="4"/>
    <x v="0"/>
    <n v="3"/>
    <n v="4"/>
    <n v="1"/>
    <n v="0"/>
    <n v="0"/>
    <n v="0"/>
    <n v="4"/>
    <n v="4"/>
    <n v="0"/>
    <n v="4"/>
    <n v="4"/>
    <n v="0"/>
    <n v="4"/>
    <n v="4"/>
    <n v="0"/>
    <n v="4"/>
    <n v="4"/>
    <n v="0"/>
    <n v="4"/>
    <n v="4"/>
    <n v="0"/>
    <n v="0"/>
    <s v="Tidak"/>
    <n v="0"/>
    <s v="Tidak"/>
    <n v="0"/>
    <s v="Ya"/>
    <s v=""/>
    <s v="-"/>
    <n v="0"/>
    <n v="0"/>
    <s v="cukup"/>
    <s v="sudah baik/bagus"/>
    <s v="cukup"/>
    <s v="sudah baik/bagus"/>
    <s v="cukup"/>
    <s v="sudah baik/bagus"/>
    <s v=""/>
  </r>
  <r>
    <n v="359"/>
    <s v="Fenny"/>
    <x v="0"/>
    <x v="3"/>
    <s v="Tidak"/>
    <s v="Tidak"/>
    <s v="Tidak"/>
    <s v="Tidak"/>
    <x v="0"/>
    <x v="4"/>
    <n v="23"/>
    <x v="0"/>
    <x v="0"/>
    <x v="0"/>
    <n v="3"/>
    <n v="3"/>
    <n v="0"/>
    <n v="3"/>
    <n v="3"/>
    <x v="0"/>
    <n v="3"/>
    <n v="3"/>
    <n v="0"/>
    <n v="4"/>
    <n v="4"/>
    <n v="0"/>
    <n v="3"/>
    <n v="3"/>
    <n v="0"/>
    <n v="3"/>
    <n v="3"/>
    <n v="0"/>
    <n v="3"/>
    <n v="3"/>
    <n v="0"/>
    <n v="3"/>
    <n v="3"/>
    <n v="0"/>
    <n v="3"/>
    <n v="3"/>
    <n v="0"/>
    <n v="3"/>
    <s v="Ya"/>
    <n v="0"/>
    <s v="Tidak"/>
    <n v="0"/>
    <s v="Tidak"/>
    <s v=""/>
    <s v="-"/>
    <n v="0"/>
    <n v="0"/>
    <s v="Tidak ada"/>
    <s v="tidak ada"/>
    <s v="Tidak ada"/>
    <s v="tidak ada"/>
    <s v="Tidak ada"/>
    <s v="tidak ada"/>
    <s v="Tidak ada"/>
  </r>
  <r>
    <n v="360"/>
    <s v="Romi"/>
    <x v="8"/>
    <x v="64"/>
    <s v="Tidak"/>
    <s v="Tidak"/>
    <s v="Tidak"/>
    <s v="Tidak"/>
    <x v="1"/>
    <x v="5"/>
    <n v="27"/>
    <x v="1"/>
    <x v="1"/>
    <x v="0"/>
    <n v="3"/>
    <n v="3"/>
    <n v="0"/>
    <n v="3"/>
    <n v="3"/>
    <x v="0"/>
    <n v="4"/>
    <n v="3"/>
    <n v="-1"/>
    <n v="0"/>
    <n v="0"/>
    <n v="0"/>
    <n v="3"/>
    <n v="3"/>
    <n v="0"/>
    <n v="3"/>
    <n v="3"/>
    <n v="0"/>
    <n v="3"/>
    <n v="3"/>
    <n v="0"/>
    <n v="3"/>
    <n v="3"/>
    <n v="0"/>
    <n v="3"/>
    <n v="3"/>
    <n v="0"/>
    <n v="0"/>
    <s v="Tidak"/>
    <n v="0"/>
    <s v="Tidak"/>
    <n v="0"/>
    <s v="Tidak"/>
    <s v="Teman di polda jatim"/>
    <s v="Teman"/>
    <n v="1"/>
    <n v="4"/>
    <s v="Tidak ada"/>
    <s v="tidak ada"/>
    <s v="Tidak ada"/>
    <s v="tidak ada"/>
    <s v="Tidak ada"/>
    <s v="tidak ada"/>
    <s v="Tidak ada"/>
  </r>
  <r>
    <n v="361"/>
    <s v="Devi"/>
    <x v="0"/>
    <x v="5"/>
    <s v="Tidak"/>
    <s v="Tidak"/>
    <s v="Tidak"/>
    <s v="Tidak"/>
    <x v="0"/>
    <x v="4"/>
    <n v="26"/>
    <x v="1"/>
    <x v="0"/>
    <x v="0"/>
    <n v="4"/>
    <n v="4"/>
    <n v="0"/>
    <n v="4"/>
    <n v="4"/>
    <x v="0"/>
    <n v="4"/>
    <n v="4"/>
    <n v="0"/>
    <n v="4"/>
    <n v="4"/>
    <n v="0"/>
    <n v="4"/>
    <n v="4"/>
    <n v="0"/>
    <n v="4"/>
    <n v="4"/>
    <n v="0"/>
    <n v="4"/>
    <n v="4"/>
    <n v="0"/>
    <n v="4"/>
    <n v="4"/>
    <n v="0"/>
    <n v="4"/>
    <n v="4"/>
    <n v="0"/>
    <n v="3"/>
    <s v="Ya"/>
    <n v="0"/>
    <s v="Tidak"/>
    <n v="0"/>
    <s v="Tidak"/>
    <s v=""/>
    <s v="-"/>
    <n v="0"/>
    <n v="0"/>
    <s v="Tidak ada"/>
    <s v="tidak ada"/>
    <s v="Tidak ada"/>
    <s v="tidak ada"/>
    <s v="Tidak ada"/>
    <s v="tidak ada"/>
    <s v="Tidak ada"/>
  </r>
  <r>
    <n v="362"/>
    <s v="NILAM SARI WAHYUNINGSIH"/>
    <x v="0"/>
    <x v="3"/>
    <s v="Tidak"/>
    <s v="Tidak"/>
    <s v="Tidak"/>
    <s v="Tidak"/>
    <x v="0"/>
    <x v="4"/>
    <n v="42"/>
    <x v="6"/>
    <x v="0"/>
    <x v="7"/>
    <n v="3"/>
    <n v="4"/>
    <n v="1"/>
    <n v="4"/>
    <n v="4"/>
    <x v="0"/>
    <n v="4"/>
    <n v="4"/>
    <n v="0"/>
    <n v="0"/>
    <n v="0"/>
    <n v="0"/>
    <n v="4"/>
    <n v="4"/>
    <n v="0"/>
    <n v="3"/>
    <n v="4"/>
    <n v="1"/>
    <n v="3"/>
    <n v="4"/>
    <n v="1"/>
    <n v="3"/>
    <n v="4"/>
    <n v="1"/>
    <n v="4"/>
    <n v="4"/>
    <n v="0"/>
    <n v="0"/>
    <s v="Tidak"/>
    <n v="0"/>
    <s v="Tidak"/>
    <n v="4"/>
    <s v="Ya"/>
    <s v=""/>
    <s v="-"/>
    <n v="0"/>
    <n v="0"/>
    <s v="Sudah baik"/>
    <s v="sudah baik/bagus"/>
    <s v="Sudah baik"/>
    <s v="sudah baik/bagus"/>
    <s v="Sudah baik"/>
    <s v="sudah baik/bagus"/>
    <s v="Polisi seharusnya berempati kepada pelapor sebagai korban"/>
  </r>
  <r>
    <n v="363"/>
    <s v="FAQTUR ROHMAN PRAYOGA"/>
    <x v="0"/>
    <x v="1"/>
    <s v="Tidak"/>
    <s v="Tidak"/>
    <s v="Tidak"/>
    <s v="Tidak"/>
    <x v="1"/>
    <x v="4"/>
    <n v="23"/>
    <x v="0"/>
    <x v="3"/>
    <x v="0"/>
    <n v="3"/>
    <n v="3"/>
    <n v="0"/>
    <n v="3"/>
    <n v="3"/>
    <x v="0"/>
    <n v="3"/>
    <n v="3"/>
    <n v="0"/>
    <n v="0"/>
    <n v="0"/>
    <n v="0"/>
    <n v="3"/>
    <n v="3"/>
    <n v="0"/>
    <n v="3"/>
    <n v="3"/>
    <n v="0"/>
    <n v="3"/>
    <n v="3"/>
    <n v="0"/>
    <n v="3"/>
    <n v="3"/>
    <n v="0"/>
    <n v="3"/>
    <n v="3"/>
    <n v="0"/>
    <n v="0"/>
    <s v="Tidak"/>
    <n v="0"/>
    <s v="Tidak"/>
    <n v="0"/>
    <s v="Tidak"/>
    <s v="Tokoh sesepuh desa"/>
    <s v="Tokoh desa"/>
    <n v="2"/>
    <n v="3"/>
    <s v="Dipertahankan yang sdh baik"/>
    <s v="sudah baik/bagus"/>
    <s v="Sudah baik"/>
    <s v="sudah baik/bagus"/>
    <s v="Sudah baik"/>
    <s v="sudah baik/bagus"/>
    <s v="---"/>
  </r>
  <r>
    <n v="364"/>
    <s v="Alya"/>
    <x v="0"/>
    <x v="1"/>
    <s v="Tidak"/>
    <s v="Tidak"/>
    <s v="Tidak"/>
    <s v="Tidak"/>
    <x v="0"/>
    <x v="4"/>
    <n v="19"/>
    <x v="3"/>
    <x v="0"/>
    <x v="0"/>
    <n v="4"/>
    <n v="4"/>
    <n v="0"/>
    <n v="4"/>
    <n v="4"/>
    <x v="0"/>
    <n v="4"/>
    <n v="4"/>
    <n v="0"/>
    <n v="4"/>
    <n v="4"/>
    <n v="0"/>
    <n v="4"/>
    <n v="4"/>
    <n v="0"/>
    <n v="4"/>
    <n v="4"/>
    <n v="0"/>
    <n v="4"/>
    <n v="4"/>
    <n v="0"/>
    <n v="4"/>
    <n v="4"/>
    <n v="0"/>
    <n v="4"/>
    <n v="4"/>
    <n v="0"/>
    <n v="4"/>
    <s v="Ya"/>
    <n v="0"/>
    <s v="Tidak"/>
    <n v="0"/>
    <s v="Tidak"/>
    <s v=""/>
    <s v="-"/>
    <n v="0"/>
    <n v="0"/>
    <s v="Tidak ada"/>
    <s v="tidak ada"/>
    <s v="Tidak ada"/>
    <s v="tidak ada"/>
    <s v="Tidak ada"/>
    <s v="tidak ada"/>
    <s v="Tidak ada"/>
  </r>
  <r>
    <n v="365"/>
    <s v="Hj. ELIYA NUSHA"/>
    <x v="0"/>
    <x v="10"/>
    <s v="Tidak"/>
    <s v="Tidak"/>
    <s v="Tidak"/>
    <s v="Tidak"/>
    <x v="0"/>
    <x v="4"/>
    <n v="55"/>
    <x v="8"/>
    <x v="3"/>
    <x v="7"/>
    <n v="3"/>
    <n v="4"/>
    <n v="1"/>
    <n v="2"/>
    <n v="4"/>
    <x v="3"/>
    <n v="2"/>
    <n v="4"/>
    <n v="2"/>
    <n v="0"/>
    <n v="0"/>
    <n v="0"/>
    <n v="3"/>
    <n v="4"/>
    <n v="1"/>
    <n v="3"/>
    <n v="3"/>
    <n v="0"/>
    <n v="3"/>
    <n v="4"/>
    <n v="1"/>
    <n v="3"/>
    <n v="3"/>
    <n v="0"/>
    <n v="1"/>
    <n v="4"/>
    <n v="3"/>
    <n v="0"/>
    <s v="Tidak"/>
    <n v="0"/>
    <s v="Tidak"/>
    <n v="0"/>
    <s v="Tidak"/>
    <s v="Tokoh desa"/>
    <s v="Tokoh desa"/>
    <n v="2"/>
    <n v="3"/>
    <s v="Tidak ada"/>
    <s v="tidak ada"/>
    <s v="Tidak ada"/>
    <s v="tidak ada"/>
    <s v="Tidak ada"/>
    <s v="tidak ada"/>
    <s v="Tidak ada"/>
  </r>
  <r>
    <n v="366"/>
    <s v="Zedin"/>
    <x v="0"/>
    <x v="0"/>
    <s v="Tidak"/>
    <s v="Tidak"/>
    <s v="Tidak"/>
    <s v="Tidak"/>
    <x v="1"/>
    <x v="4"/>
    <n v="44"/>
    <x v="6"/>
    <x v="0"/>
    <x v="2"/>
    <n v="3"/>
    <n v="3"/>
    <n v="0"/>
    <n v="3"/>
    <n v="3"/>
    <x v="0"/>
    <n v="3"/>
    <n v="3"/>
    <n v="0"/>
    <n v="0"/>
    <n v="0"/>
    <n v="0"/>
    <n v="3"/>
    <n v="3"/>
    <n v="0"/>
    <n v="3"/>
    <n v="3"/>
    <n v="0"/>
    <n v="3"/>
    <n v="3"/>
    <n v="0"/>
    <n v="3"/>
    <n v="3"/>
    <n v="0"/>
    <n v="3"/>
    <n v="3"/>
    <n v="0"/>
    <n v="0"/>
    <s v="Tidak"/>
    <n v="0"/>
    <s v="Tidak"/>
    <n v="4"/>
    <s v="Ya"/>
    <s v=""/>
    <s v="-"/>
    <n v="0"/>
    <n v="0"/>
    <s v="Tidak ada"/>
    <s v="tidak ada"/>
    <s v="Tidak ada"/>
    <s v="tidak ada"/>
    <s v="Tidak ada"/>
    <s v="tidak ada"/>
    <s v="Perlu di buatkan tempat parkir dan di beri penutup atap agar kendaraan tidak terkena sinar matahari langsung"/>
  </r>
  <r>
    <n v="367"/>
    <s v="Bella"/>
    <x v="0"/>
    <x v="31"/>
    <s v="Tidak"/>
    <s v="Tidak"/>
    <s v="Tidak"/>
    <s v="Tidak"/>
    <x v="0"/>
    <x v="4"/>
    <n v="24"/>
    <x v="0"/>
    <x v="1"/>
    <x v="0"/>
    <n v="3"/>
    <n v="3"/>
    <n v="0"/>
    <n v="3"/>
    <n v="4"/>
    <x v="2"/>
    <n v="3"/>
    <n v="4"/>
    <n v="1"/>
    <n v="4"/>
    <n v="4"/>
    <n v="0"/>
    <n v="4"/>
    <n v="4"/>
    <n v="0"/>
    <n v="3"/>
    <n v="4"/>
    <n v="1"/>
    <n v="3"/>
    <n v="4"/>
    <n v="1"/>
    <n v="3"/>
    <n v="4"/>
    <n v="1"/>
    <n v="3"/>
    <n v="4"/>
    <n v="1"/>
    <n v="4"/>
    <s v="Tidak"/>
    <n v="0"/>
    <s v="Tidak"/>
    <n v="0"/>
    <s v="Tidak"/>
    <s v=""/>
    <s v="-"/>
    <n v="0"/>
    <n v="0"/>
    <s v="Tidak ada"/>
    <s v="tidak ada"/>
    <s v="Tidak ada"/>
    <s v="tidak ada"/>
    <s v="Tidak ada"/>
    <s v="tidak ada"/>
    <s v="Meningkatkan kemampuan dalam kasus, Memperkuat kerja sama dengan masyarakat"/>
  </r>
  <r>
    <n v="368"/>
    <s v="Mella"/>
    <x v="0"/>
    <x v="16"/>
    <s v="Tidak"/>
    <s v="Tidak"/>
    <s v="Tidak"/>
    <s v="Tidak"/>
    <x v="0"/>
    <x v="4"/>
    <n v="27"/>
    <x v="1"/>
    <x v="1"/>
    <x v="0"/>
    <n v="4"/>
    <n v="4"/>
    <n v="0"/>
    <n v="4"/>
    <n v="4"/>
    <x v="0"/>
    <n v="3"/>
    <n v="3"/>
    <n v="0"/>
    <n v="4"/>
    <n v="4"/>
    <n v="0"/>
    <n v="4"/>
    <n v="4"/>
    <n v="0"/>
    <n v="4"/>
    <n v="4"/>
    <n v="0"/>
    <n v="4"/>
    <n v="4"/>
    <n v="0"/>
    <n v="3"/>
    <n v="3"/>
    <n v="0"/>
    <n v="4"/>
    <n v="4"/>
    <n v="0"/>
    <n v="0"/>
    <s v="Tidak"/>
    <n v="3"/>
    <s v="Ya"/>
    <n v="0"/>
    <s v="Tidak"/>
    <s v=""/>
    <s v="-"/>
    <n v="0"/>
    <n v="0"/>
    <s v="Tidak ada"/>
    <s v="tidak ada"/>
    <s v="Tidak ada"/>
    <s v="tidak ada"/>
    <s v="Tidak ada"/>
    <s v="tidak ada"/>
    <s v="Lebih ditingkatkan lagi kepercayaan kepada masyarakat"/>
  </r>
  <r>
    <n v="369"/>
    <s v="Nasikhin"/>
    <x v="0"/>
    <x v="31"/>
    <s v="Tidak"/>
    <s v="Tidak"/>
    <s v="Tidak"/>
    <s v="Tidak"/>
    <x v="1"/>
    <x v="4"/>
    <n v="34"/>
    <x v="2"/>
    <x v="1"/>
    <x v="2"/>
    <n v="3"/>
    <n v="3"/>
    <n v="0"/>
    <n v="3"/>
    <n v="3"/>
    <x v="0"/>
    <n v="4"/>
    <n v="4"/>
    <n v="0"/>
    <n v="4"/>
    <n v="4"/>
    <n v="0"/>
    <n v="4"/>
    <n v="4"/>
    <n v="0"/>
    <n v="4"/>
    <n v="4"/>
    <n v="0"/>
    <n v="4"/>
    <n v="4"/>
    <n v="0"/>
    <n v="3"/>
    <n v="3"/>
    <n v="0"/>
    <n v="4"/>
    <n v="4"/>
    <n v="0"/>
    <n v="0"/>
    <s v="Tidak"/>
    <n v="3"/>
    <s v="Ya"/>
    <n v="0"/>
    <s v="Tidak"/>
    <s v=""/>
    <s v="-"/>
    <n v="0"/>
    <n v="0"/>
    <s v="Tidak ada"/>
    <s v="tidak ada"/>
    <s v="Tidak ada"/>
    <s v="tidak ada"/>
    <s v="Tidak ada"/>
    <s v="tidak ada"/>
    <s v="Tidak ada"/>
  </r>
  <r>
    <n v="370"/>
    <s v="Chandra"/>
    <x v="0"/>
    <x v="1"/>
    <s v="Tidak"/>
    <s v="Tidak"/>
    <s v="Tidak"/>
    <s v="Tidak"/>
    <x v="1"/>
    <x v="4"/>
    <n v="27"/>
    <x v="1"/>
    <x v="0"/>
    <x v="0"/>
    <n v="3"/>
    <n v="3"/>
    <n v="0"/>
    <n v="3"/>
    <n v="3"/>
    <x v="0"/>
    <n v="3"/>
    <n v="3"/>
    <n v="0"/>
    <n v="3"/>
    <n v="3"/>
    <n v="0"/>
    <n v="3"/>
    <n v="3"/>
    <n v="0"/>
    <n v="3"/>
    <n v="3"/>
    <n v="0"/>
    <n v="3"/>
    <n v="3"/>
    <n v="0"/>
    <n v="3"/>
    <n v="3"/>
    <n v="0"/>
    <n v="3"/>
    <n v="3"/>
    <n v="0"/>
    <n v="0"/>
    <s v="Tidak"/>
    <n v="3"/>
    <s v="Ya"/>
    <n v="0"/>
    <s v="Tidak"/>
    <s v=""/>
    <s v="-"/>
    <n v="0"/>
    <n v="0"/>
    <s v="Tidak ada"/>
    <s v="tidak ada"/>
    <s v="Tidak ada"/>
    <s v="tidak ada"/>
    <s v="Tidak ada"/>
    <s v="tidak ada"/>
    <s v="Tetap dipertahankan dalam melayani dengan baik"/>
  </r>
  <r>
    <n v="371"/>
    <s v="Frida"/>
    <x v="0"/>
    <x v="1"/>
    <s v="Tidak"/>
    <s v="Tidak"/>
    <s v="Tidak"/>
    <s v="Tidak"/>
    <x v="0"/>
    <x v="4"/>
    <n v="25"/>
    <x v="0"/>
    <x v="1"/>
    <x v="0"/>
    <n v="3"/>
    <n v="3"/>
    <n v="0"/>
    <n v="4"/>
    <n v="4"/>
    <x v="0"/>
    <n v="4"/>
    <n v="4"/>
    <n v="0"/>
    <n v="4"/>
    <n v="4"/>
    <n v="0"/>
    <n v="4"/>
    <n v="4"/>
    <n v="0"/>
    <n v="4"/>
    <n v="4"/>
    <n v="0"/>
    <n v="4"/>
    <n v="4"/>
    <n v="0"/>
    <n v="4"/>
    <n v="4"/>
    <n v="0"/>
    <n v="4"/>
    <n v="4"/>
    <n v="0"/>
    <n v="3"/>
    <s v="Ya"/>
    <n v="0"/>
    <s v="Tidak"/>
    <n v="0"/>
    <s v="Tidak"/>
    <s v=""/>
    <s v="-"/>
    <n v="0"/>
    <n v="0"/>
    <s v="Tidak ada"/>
    <s v="tidak ada"/>
    <s v="Tidak ada"/>
    <s v="tidak ada"/>
    <s v="Tidak ada"/>
    <s v="tidak ada"/>
    <s v="Tidak ada"/>
  </r>
  <r>
    <n v="372"/>
    <s v="Arini"/>
    <x v="19"/>
    <x v="65"/>
    <s v="Tidak"/>
    <s v="Tidak"/>
    <s v="Tidak"/>
    <s v="Tidak"/>
    <x v="0"/>
    <x v="4"/>
    <n v="23"/>
    <x v="0"/>
    <x v="1"/>
    <x v="0"/>
    <n v="3"/>
    <n v="4"/>
    <n v="1"/>
    <n v="4"/>
    <n v="4"/>
    <x v="0"/>
    <n v="3"/>
    <n v="4"/>
    <n v="1"/>
    <n v="4"/>
    <n v="4"/>
    <n v="0"/>
    <n v="4"/>
    <n v="4"/>
    <n v="0"/>
    <n v="4"/>
    <n v="4"/>
    <n v="0"/>
    <n v="3"/>
    <n v="3"/>
    <n v="0"/>
    <n v="4"/>
    <n v="4"/>
    <n v="0"/>
    <n v="4"/>
    <n v="4"/>
    <n v="0"/>
    <n v="4"/>
    <s v="Ya"/>
    <n v="0"/>
    <s v="Tidak"/>
    <n v="0"/>
    <s v="Tidak"/>
    <s v=""/>
    <s v="-"/>
    <n v="0"/>
    <n v="0"/>
    <s v="Tidak ada"/>
    <s v="tidak ada"/>
    <s v="Tidak ada"/>
    <s v="tidak ada"/>
    <s v="Tidak ada"/>
    <s v="tidak ada"/>
    <s v="untuk penanganannya menjadi lebih baik lagi. semoga polres semakin jaya, tingkatkan kepercayaan kepada masyarakat, semoga semakin baik hubungan polisi dengan masyarakat"/>
  </r>
  <r>
    <n v="373"/>
    <s v="Farzah rizka abdiana"/>
    <x v="0"/>
    <x v="10"/>
    <s v="Tidak"/>
    <s v="Tidak"/>
    <s v="Tidak"/>
    <s v="Tidak"/>
    <x v="1"/>
    <x v="5"/>
    <n v="40"/>
    <x v="4"/>
    <x v="1"/>
    <x v="0"/>
    <n v="4"/>
    <n v="4"/>
    <n v="0"/>
    <n v="4"/>
    <n v="4"/>
    <x v="0"/>
    <n v="4"/>
    <n v="4"/>
    <n v="0"/>
    <n v="4"/>
    <n v="4"/>
    <n v="0"/>
    <n v="4"/>
    <n v="4"/>
    <n v="0"/>
    <n v="4"/>
    <n v="4"/>
    <n v="0"/>
    <n v="4"/>
    <n v="4"/>
    <n v="0"/>
    <n v="3"/>
    <n v="3"/>
    <n v="0"/>
    <n v="4"/>
    <n v="4"/>
    <n v="0"/>
    <n v="0"/>
    <s v="Tidak"/>
    <n v="0"/>
    <s v="Tidak"/>
    <n v="0"/>
    <s v="Tidak"/>
    <s v="Teman"/>
    <s v="Teman"/>
    <n v="2"/>
    <n v="3"/>
    <s v="Tidak ada"/>
    <s v="tidak ada"/>
    <s v="Tidak ada"/>
    <s v="tidak ada"/>
    <s v="Tidak ada"/>
    <s v="tidak ada"/>
    <s v="jika ada pengurusan perizinan lebih dipercepat lagi"/>
  </r>
  <r>
    <n v="374"/>
    <s v="Rindaoedighea"/>
    <x v="0"/>
    <x v="0"/>
    <s v="Tidak"/>
    <s v="Tidak"/>
    <s v="Tidak"/>
    <s v="Tidak"/>
    <x v="0"/>
    <x v="5"/>
    <n v="49"/>
    <x v="7"/>
    <x v="1"/>
    <x v="0"/>
    <n v="4"/>
    <n v="4"/>
    <n v="0"/>
    <n v="4"/>
    <n v="4"/>
    <x v="0"/>
    <n v="4"/>
    <n v="4"/>
    <n v="0"/>
    <n v="4"/>
    <n v="4"/>
    <n v="0"/>
    <n v="4"/>
    <n v="4"/>
    <n v="0"/>
    <n v="3"/>
    <n v="3"/>
    <n v="0"/>
    <n v="4"/>
    <n v="4"/>
    <n v="0"/>
    <n v="4"/>
    <n v="4"/>
    <n v="0"/>
    <n v="3"/>
    <n v="3"/>
    <n v="0"/>
    <n v="0"/>
    <s v="Tidak"/>
    <n v="0"/>
    <s v="Tidak"/>
    <n v="0"/>
    <s v="Tidak"/>
    <s v="Diri sendiri"/>
    <s v="Mengetahui sendiri"/>
    <n v="2"/>
    <n v="3"/>
    <s v="Tidak ada"/>
    <s v="tidak ada"/>
    <s v="Tidak ada"/>
    <s v="tidak ada"/>
    <s v="Tidak ada"/>
    <s v="tidak ada"/>
    <s v="untuk jam pelayanan ditambahi dan untuk petugasnya standbay ditempat"/>
  </r>
  <r>
    <n v="375"/>
    <s v="Sulami"/>
    <x v="0"/>
    <x v="0"/>
    <s v="Tidak"/>
    <s v="Tidak"/>
    <s v="Tidak"/>
    <s v="Tidak"/>
    <x v="0"/>
    <x v="5"/>
    <n v="54"/>
    <x v="8"/>
    <x v="2"/>
    <x v="0"/>
    <n v="4"/>
    <n v="4"/>
    <n v="0"/>
    <n v="4"/>
    <n v="4"/>
    <x v="0"/>
    <n v="4"/>
    <n v="4"/>
    <n v="0"/>
    <n v="4"/>
    <n v="4"/>
    <n v="0"/>
    <n v="4"/>
    <n v="4"/>
    <n v="0"/>
    <n v="4"/>
    <n v="4"/>
    <n v="0"/>
    <n v="4"/>
    <n v="4"/>
    <n v="0"/>
    <n v="4"/>
    <n v="4"/>
    <n v="0"/>
    <n v="4"/>
    <n v="4"/>
    <n v="0"/>
    <n v="0"/>
    <s v="Tidak"/>
    <n v="3"/>
    <s v="Ya"/>
    <n v="0"/>
    <s v="Tidak"/>
    <s v=""/>
    <s v="-"/>
    <n v="0"/>
    <n v="0"/>
    <s v="Tidak ada"/>
    <s v="tidak ada"/>
    <s v="Tidak ada"/>
    <s v="tidak ada"/>
    <s v="Tidak ada"/>
    <s v="tidak ada"/>
    <s v="dipertahankan dalam melayani masyarakat dengan baik"/>
  </r>
  <r>
    <n v="376"/>
    <s v="Mochammad rifqi nur azizi"/>
    <x v="0"/>
    <x v="5"/>
    <s v="Tidak"/>
    <s v="Tidak"/>
    <s v="Tidak"/>
    <s v="Tidak"/>
    <x v="1"/>
    <x v="5"/>
    <n v="29"/>
    <x v="1"/>
    <x v="1"/>
    <x v="2"/>
    <n v="4"/>
    <n v="4"/>
    <n v="0"/>
    <n v="4"/>
    <n v="4"/>
    <x v="0"/>
    <n v="3"/>
    <n v="3"/>
    <n v="0"/>
    <n v="4"/>
    <n v="4"/>
    <n v="0"/>
    <n v="3"/>
    <n v="3"/>
    <n v="0"/>
    <n v="3"/>
    <n v="3"/>
    <n v="0"/>
    <n v="4"/>
    <n v="4"/>
    <n v="0"/>
    <n v="4"/>
    <n v="4"/>
    <n v="0"/>
    <n v="4"/>
    <n v="4"/>
    <n v="0"/>
    <n v="0"/>
    <s v="Tidak"/>
    <n v="0"/>
    <s v="Tidak"/>
    <n v="0"/>
    <s v="Tidak"/>
    <s v="Teman"/>
    <s v="Teman"/>
    <n v="1"/>
    <n v="4"/>
    <s v="Tidak ada"/>
    <s v="tidak ada"/>
    <s v="Tidak ada"/>
    <s v="tidak ada"/>
    <s v="Tidak ada"/>
    <s v="tidak ada"/>
    <s v="Tidak ada"/>
  </r>
  <r>
    <n v="377"/>
    <s v="DIan"/>
    <x v="12"/>
    <x v="66"/>
    <s v="Tidak"/>
    <s v="Tidak"/>
    <s v="Tidak"/>
    <s v="Tidak"/>
    <x v="0"/>
    <x v="4"/>
    <n v="29"/>
    <x v="1"/>
    <x v="1"/>
    <x v="0"/>
    <n v="4"/>
    <n v="4"/>
    <n v="0"/>
    <n v="4"/>
    <n v="4"/>
    <x v="0"/>
    <n v="4"/>
    <n v="4"/>
    <n v="0"/>
    <n v="4"/>
    <n v="4"/>
    <n v="0"/>
    <n v="4"/>
    <n v="4"/>
    <n v="0"/>
    <n v="4"/>
    <n v="4"/>
    <n v="0"/>
    <n v="4"/>
    <n v="4"/>
    <n v="0"/>
    <n v="4"/>
    <n v="4"/>
    <n v="0"/>
    <n v="4"/>
    <n v="4"/>
    <n v="0"/>
    <n v="0"/>
    <s v="Tidak"/>
    <n v="4"/>
    <s v="Tidak"/>
    <n v="0"/>
    <s v="Tidak"/>
    <s v=""/>
    <s v="-"/>
    <n v="0"/>
    <n v="0"/>
    <s v="Tidak ada"/>
    <s v="tidak ada"/>
    <s v="Tidak ada"/>
    <s v="tidak ada"/>
    <s v="Tidak ada"/>
    <s v="tidak ada"/>
    <s v="Tidak ada"/>
  </r>
  <r>
    <n v="378"/>
    <s v="Ilyas"/>
    <x v="0"/>
    <x v="15"/>
    <s v="Tidak"/>
    <s v="Tidak"/>
    <s v="Tidak"/>
    <s v="Tidak"/>
    <x v="1"/>
    <x v="4"/>
    <n v="30"/>
    <x v="1"/>
    <x v="1"/>
    <x v="0"/>
    <n v="4"/>
    <n v="4"/>
    <n v="0"/>
    <n v="4"/>
    <n v="4"/>
    <x v="0"/>
    <n v="4"/>
    <n v="4"/>
    <n v="0"/>
    <n v="4"/>
    <n v="4"/>
    <n v="0"/>
    <n v="4"/>
    <n v="4"/>
    <n v="0"/>
    <n v="4"/>
    <n v="4"/>
    <n v="0"/>
    <n v="4"/>
    <n v="4"/>
    <n v="0"/>
    <n v="4"/>
    <n v="4"/>
    <n v="0"/>
    <n v="4"/>
    <n v="4"/>
    <n v="0"/>
    <n v="4"/>
    <s v="Ya"/>
    <n v="0"/>
    <s v="Tidak"/>
    <n v="0"/>
    <s v="Tidak"/>
    <s v=""/>
    <s v="-"/>
    <n v="0"/>
    <n v="0"/>
    <s v="Tidak ada"/>
    <s v="tidak ada"/>
    <s v="Tidak ada"/>
    <s v="tidak ada"/>
    <s v="Tidak ada"/>
    <s v="tidak ada"/>
    <s v="Tidak ada"/>
  </r>
  <r>
    <n v="379"/>
    <s v="Ani"/>
    <x v="12"/>
    <x v="66"/>
    <s v="Tidak"/>
    <s v="Tidak"/>
    <s v="Tidak"/>
    <s v="Tidak"/>
    <x v="0"/>
    <x v="4"/>
    <n v="30"/>
    <x v="1"/>
    <x v="1"/>
    <x v="0"/>
    <n v="3"/>
    <n v="3"/>
    <n v="0"/>
    <n v="3"/>
    <n v="3"/>
    <x v="0"/>
    <n v="3"/>
    <n v="3"/>
    <n v="0"/>
    <n v="3"/>
    <n v="3"/>
    <n v="0"/>
    <n v="4"/>
    <n v="4"/>
    <n v="0"/>
    <n v="3"/>
    <n v="3"/>
    <n v="0"/>
    <n v="3"/>
    <n v="3"/>
    <n v="0"/>
    <n v="3"/>
    <n v="3"/>
    <n v="0"/>
    <n v="4"/>
    <n v="4"/>
    <n v="0"/>
    <n v="3"/>
    <s v="Ya"/>
    <n v="0"/>
    <s v="Tidak"/>
    <n v="0"/>
    <s v="Tidak"/>
    <s v=""/>
    <s v="-"/>
    <n v="0"/>
    <n v="0"/>
    <s v="Tidak ada"/>
    <s v="tidak ada"/>
    <s v="Tidak ada"/>
    <s v="tidak ada"/>
    <s v="Tidak ada"/>
    <s v="tidak ada"/>
    <s v="Tidak ada"/>
  </r>
  <r>
    <n v="380"/>
    <s v="Heny"/>
    <x v="12"/>
    <x v="31"/>
    <s v="Tidak"/>
    <s v="Tidak"/>
    <s v="Tidak"/>
    <s v="Tidak"/>
    <x v="0"/>
    <x v="4"/>
    <n v="34"/>
    <x v="2"/>
    <x v="0"/>
    <x v="10"/>
    <n v="4"/>
    <n v="4"/>
    <n v="0"/>
    <n v="3"/>
    <n v="3"/>
    <x v="0"/>
    <n v="3"/>
    <n v="3"/>
    <n v="0"/>
    <n v="3"/>
    <n v="3"/>
    <n v="0"/>
    <n v="3"/>
    <n v="3"/>
    <n v="0"/>
    <n v="4"/>
    <n v="4"/>
    <n v="0"/>
    <n v="4"/>
    <n v="4"/>
    <n v="0"/>
    <n v="3"/>
    <n v="3"/>
    <n v="0"/>
    <n v="3"/>
    <n v="3"/>
    <n v="0"/>
    <n v="4"/>
    <s v="Ya"/>
    <n v="0"/>
    <s v="Tidak"/>
    <n v="0"/>
    <s v="Tidak"/>
    <s v=""/>
    <s v="-"/>
    <n v="0"/>
    <n v="0"/>
    <s v="untuk petugasnya lebih ramah lagi"/>
    <s v="lebih ramah lagi"/>
    <s v="Tidak ada"/>
    <s v="tidak ada"/>
    <s v="Tidak ada"/>
    <s v="tidak ada"/>
    <s v="Tidak ada"/>
  </r>
  <r>
    <n v="381"/>
    <s v="Bella"/>
    <x v="0"/>
    <x v="67"/>
    <s v="Tidak"/>
    <s v="Tidak"/>
    <s v="Tidak"/>
    <s v="Tidak"/>
    <x v="0"/>
    <x v="4"/>
    <n v="31"/>
    <x v="2"/>
    <x v="1"/>
    <x v="2"/>
    <n v="4"/>
    <n v="4"/>
    <n v="0"/>
    <n v="4"/>
    <n v="4"/>
    <x v="0"/>
    <n v="4"/>
    <n v="4"/>
    <n v="0"/>
    <n v="4"/>
    <n v="4"/>
    <n v="0"/>
    <n v="4"/>
    <n v="4"/>
    <n v="0"/>
    <n v="4"/>
    <n v="4"/>
    <n v="0"/>
    <n v="4"/>
    <n v="4"/>
    <n v="0"/>
    <n v="4"/>
    <n v="4"/>
    <n v="0"/>
    <n v="4"/>
    <n v="4"/>
    <n v="0"/>
    <n v="0"/>
    <s v="Tidak"/>
    <n v="0"/>
    <s v="Tidak"/>
    <n v="4"/>
    <s v="Ya"/>
    <s v=""/>
    <s v="-"/>
    <n v="0"/>
    <n v="0"/>
    <s v="Tidak ada"/>
    <s v="tidak ada"/>
    <s v="Tidak ada"/>
    <s v="tidak ada"/>
    <s v="Tidak ada"/>
    <s v="tidak ada"/>
    <s v="Tidak ada"/>
  </r>
  <r>
    <n v="382"/>
    <s v="Via"/>
    <x v="0"/>
    <x v="10"/>
    <s v="Tidak"/>
    <s v="Tidak"/>
    <s v="Tidak"/>
    <s v="Tidak"/>
    <x v="0"/>
    <x v="4"/>
    <n v="22"/>
    <x v="0"/>
    <x v="0"/>
    <x v="0"/>
    <n v="4"/>
    <n v="4"/>
    <n v="0"/>
    <n v="4"/>
    <n v="4"/>
    <x v="0"/>
    <n v="4"/>
    <n v="4"/>
    <n v="0"/>
    <n v="4"/>
    <n v="4"/>
    <n v="0"/>
    <n v="4"/>
    <n v="4"/>
    <n v="0"/>
    <n v="4"/>
    <n v="4"/>
    <n v="0"/>
    <n v="4"/>
    <n v="4"/>
    <n v="0"/>
    <n v="4"/>
    <n v="4"/>
    <n v="0"/>
    <n v="4"/>
    <n v="4"/>
    <n v="0"/>
    <n v="4"/>
    <s v="Ya"/>
    <n v="0"/>
    <s v="Tidak"/>
    <n v="0"/>
    <s v="Tidak"/>
    <s v=""/>
    <s v="-"/>
    <n v="0"/>
    <n v="0"/>
    <s v="Tidak ada"/>
    <s v="tidak ada"/>
    <s v="Tidak ada"/>
    <s v="tidak ada"/>
    <s v="Tidak ada"/>
    <s v="tidak ada"/>
    <s v="Tidak ada"/>
  </r>
  <r>
    <n v="383"/>
    <s v="Tina"/>
    <x v="0"/>
    <x v="68"/>
    <s v="Tidak"/>
    <s v="Tidak"/>
    <s v="Tidak"/>
    <s v="Tidak"/>
    <x v="0"/>
    <x v="4"/>
    <n v="25"/>
    <x v="0"/>
    <x v="1"/>
    <x v="8"/>
    <n v="3"/>
    <n v="3"/>
    <n v="0"/>
    <n v="3"/>
    <n v="3"/>
    <x v="0"/>
    <n v="3"/>
    <n v="3"/>
    <n v="0"/>
    <n v="3"/>
    <n v="3"/>
    <n v="0"/>
    <n v="3"/>
    <n v="3"/>
    <n v="0"/>
    <n v="3"/>
    <n v="3"/>
    <n v="0"/>
    <n v="3"/>
    <n v="3"/>
    <n v="0"/>
    <n v="3"/>
    <n v="3"/>
    <n v="0"/>
    <n v="3"/>
    <n v="3"/>
    <n v="0"/>
    <n v="3"/>
    <s v="Ya"/>
    <n v="0"/>
    <s v="Tidak"/>
    <n v="0"/>
    <s v="Tidak"/>
    <s v=""/>
    <s v="-"/>
    <n v="0"/>
    <n v="0"/>
    <s v="Tidak ada"/>
    <s v="tidak ada"/>
    <s v="Tidak ada"/>
    <s v="tidak ada"/>
    <s v="Tidak ada"/>
    <s v="tidak ada"/>
    <s v="untuk informasinya lebih update lagi di medsos"/>
  </r>
  <r>
    <n v="384"/>
    <s v="Rosa"/>
    <x v="0"/>
    <x v="20"/>
    <s v="Tidak"/>
    <s v="Tidak"/>
    <s v="Tidak"/>
    <s v="Tidak"/>
    <x v="0"/>
    <x v="4"/>
    <n v="27"/>
    <x v="1"/>
    <x v="1"/>
    <x v="0"/>
    <n v="4"/>
    <n v="4"/>
    <n v="0"/>
    <n v="4"/>
    <n v="4"/>
    <x v="0"/>
    <n v="3"/>
    <n v="3"/>
    <n v="0"/>
    <n v="3"/>
    <n v="3"/>
    <n v="0"/>
    <n v="4"/>
    <n v="4"/>
    <n v="0"/>
    <n v="3"/>
    <n v="4"/>
    <n v="1"/>
    <n v="4"/>
    <n v="4"/>
    <n v="0"/>
    <n v="4"/>
    <n v="4"/>
    <n v="0"/>
    <n v="4"/>
    <n v="4"/>
    <n v="0"/>
    <n v="4"/>
    <s v="Ya"/>
    <n v="0"/>
    <s v="Tidak"/>
    <n v="0"/>
    <s v="Tidak"/>
    <s v=""/>
    <s v="-"/>
    <n v="0"/>
    <n v="0"/>
    <s v="Tidak ada"/>
    <s v="tidak ada"/>
    <s v="TIdak ada"/>
    <s v="tidak ada"/>
    <s v="Tidak ada"/>
    <s v="tidak ada"/>
    <s v="Tidak ada"/>
  </r>
  <r>
    <n v="385"/>
    <s v="Yuying"/>
    <x v="0"/>
    <x v="4"/>
    <s v="Tidak"/>
    <s v="Tidak"/>
    <s v="Tidak"/>
    <s v="Tidak"/>
    <x v="0"/>
    <x v="4"/>
    <n v="28"/>
    <x v="1"/>
    <x v="1"/>
    <x v="7"/>
    <n v="3"/>
    <n v="4"/>
    <n v="1"/>
    <n v="4"/>
    <n v="4"/>
    <x v="0"/>
    <n v="4"/>
    <n v="4"/>
    <n v="0"/>
    <n v="0"/>
    <n v="0"/>
    <n v="0"/>
    <n v="4"/>
    <n v="4"/>
    <n v="0"/>
    <n v="4"/>
    <n v="4"/>
    <n v="0"/>
    <n v="4"/>
    <n v="4"/>
    <n v="0"/>
    <n v="4"/>
    <n v="4"/>
    <n v="0"/>
    <n v="3"/>
    <n v="4"/>
    <n v="1"/>
    <n v="0"/>
    <s v="Tidak"/>
    <n v="0"/>
    <s v="Tidak"/>
    <n v="4"/>
    <s v="Ya"/>
    <s v=""/>
    <s v="-"/>
    <n v="0"/>
    <n v="0"/>
    <s v="Sudah bagus"/>
    <s v="sudah baik/bagus"/>
    <s v="Sudah bagus"/>
    <s v="sudah baik/bagus"/>
    <s v="Sudah bagus"/>
    <s v="sudah baik/bagus"/>
    <s v=""/>
  </r>
  <r>
    <n v="386"/>
    <s v="Yudi"/>
    <x v="0"/>
    <x v="69"/>
    <s v="Tidak"/>
    <s v="Tidak"/>
    <s v="Tidak"/>
    <s v="Tidak"/>
    <x v="1"/>
    <x v="4"/>
    <n v="35"/>
    <x v="2"/>
    <x v="0"/>
    <x v="2"/>
    <n v="3"/>
    <n v="4"/>
    <n v="1"/>
    <n v="4"/>
    <n v="4"/>
    <x v="0"/>
    <n v="4"/>
    <n v="4"/>
    <n v="0"/>
    <n v="0"/>
    <n v="0"/>
    <n v="0"/>
    <n v="4"/>
    <n v="4"/>
    <n v="0"/>
    <n v="4"/>
    <n v="4"/>
    <n v="0"/>
    <n v="4"/>
    <n v="4"/>
    <n v="0"/>
    <n v="4"/>
    <n v="4"/>
    <n v="0"/>
    <n v="4"/>
    <n v="4"/>
    <n v="0"/>
    <n v="0"/>
    <s v="Tidak"/>
    <n v="0"/>
    <s v="Tidak"/>
    <n v="0"/>
    <s v="Tidak"/>
    <s v="Teman"/>
    <s v="Teman"/>
    <n v="3"/>
    <n v="2"/>
    <s v="Sudah cukup bagus"/>
    <s v="sudah baik/bagus"/>
    <s v="Sudah cukup bagus"/>
    <s v="sudah baik/bagus"/>
    <s v="Sudah cukup bagus"/>
    <s v="sudah baik/bagus"/>
    <s v=""/>
  </r>
  <r>
    <n v="387"/>
    <s v="Alex"/>
    <x v="0"/>
    <x v="1"/>
    <s v="Tidak"/>
    <s v="Tidak"/>
    <s v="Tidak"/>
    <s v="Tidak"/>
    <x v="1"/>
    <x v="4"/>
    <n v="31"/>
    <x v="2"/>
    <x v="1"/>
    <x v="0"/>
    <n v="3"/>
    <n v="3"/>
    <n v="0"/>
    <n v="3"/>
    <n v="4"/>
    <x v="2"/>
    <n v="3"/>
    <n v="3"/>
    <n v="0"/>
    <n v="0"/>
    <n v="0"/>
    <n v="0"/>
    <n v="3"/>
    <n v="3"/>
    <n v="0"/>
    <n v="3"/>
    <n v="3"/>
    <n v="0"/>
    <n v="4"/>
    <n v="3"/>
    <n v="-1"/>
    <n v="3"/>
    <n v="3"/>
    <n v="0"/>
    <n v="4"/>
    <n v="3"/>
    <n v="-1"/>
    <n v="0"/>
    <s v="Tidak"/>
    <n v="0"/>
    <s v="Tidak"/>
    <n v="3"/>
    <s v="Tidak"/>
    <s v=""/>
    <s v="-"/>
    <n v="0"/>
    <n v="0"/>
    <s v="Sudah bagus"/>
    <s v="sudah baik/bagus"/>
    <s v="Sudah bagus"/>
    <s v="sudah baik/bagus"/>
    <s v="Sudah bagus"/>
    <s v="sudah baik/bagus"/>
    <s v=""/>
  </r>
  <r>
    <n v="388"/>
    <s v="Intan"/>
    <x v="5"/>
    <x v="0"/>
    <s v="Tidak"/>
    <s v="Tidak"/>
    <s v="Tidak"/>
    <s v="Tidak"/>
    <x v="0"/>
    <x v="4"/>
    <n v="31"/>
    <x v="2"/>
    <x v="1"/>
    <x v="7"/>
    <n v="4"/>
    <n v="4"/>
    <n v="0"/>
    <n v="4"/>
    <n v="4"/>
    <x v="0"/>
    <n v="4"/>
    <n v="4"/>
    <n v="0"/>
    <n v="0"/>
    <n v="0"/>
    <n v="0"/>
    <n v="4"/>
    <n v="4"/>
    <n v="0"/>
    <n v="4"/>
    <n v="4"/>
    <n v="0"/>
    <n v="4"/>
    <n v="4"/>
    <n v="0"/>
    <n v="4"/>
    <n v="4"/>
    <n v="0"/>
    <n v="4"/>
    <n v="4"/>
    <n v="0"/>
    <n v="0"/>
    <s v="Tidak"/>
    <n v="0"/>
    <s v="Tidak"/>
    <n v="4"/>
    <s v="Ya"/>
    <s v=""/>
    <s v="-"/>
    <n v="0"/>
    <n v="0"/>
    <s v="Sudah baik"/>
    <s v="sudah baik/bagus"/>
    <s v="Sudah cepat"/>
    <s v="proses pelayanan cepat dan mudah"/>
    <s v="Sudah bagus AC dingin"/>
    <s v="sudah baik/bagus"/>
    <s v=""/>
  </r>
  <r>
    <n v="389"/>
    <s v="Alvi"/>
    <x v="0"/>
    <x v="0"/>
    <s v="Tidak"/>
    <s v="Tidak"/>
    <s v="Tidak"/>
    <s v="Tidak"/>
    <x v="0"/>
    <x v="4"/>
    <n v="28"/>
    <x v="1"/>
    <x v="1"/>
    <x v="7"/>
    <n v="3"/>
    <n v="4"/>
    <n v="1"/>
    <n v="4"/>
    <n v="4"/>
    <x v="0"/>
    <n v="3"/>
    <n v="3"/>
    <n v="0"/>
    <n v="0"/>
    <n v="0"/>
    <n v="0"/>
    <n v="4"/>
    <n v="4"/>
    <n v="0"/>
    <n v="4"/>
    <n v="4"/>
    <n v="0"/>
    <n v="3"/>
    <n v="4"/>
    <n v="1"/>
    <n v="4"/>
    <n v="4"/>
    <n v="0"/>
    <n v="3"/>
    <n v="4"/>
    <n v="1"/>
    <n v="0"/>
    <s v="Tidak"/>
    <n v="0"/>
    <s v="Tidak"/>
    <n v="4"/>
    <s v="Ya"/>
    <s v=""/>
    <s v="-"/>
    <n v="0"/>
    <n v="0"/>
    <s v="Semoga semakin bagus pelayananya kedepan"/>
    <s v="meningkatkan kinerja pelayanan"/>
    <s v="Sudah cukup bagus"/>
    <s v="sudah baik/bagus"/>
    <s v="Sudah bagus"/>
    <s v="sudah baik/bagus"/>
    <s v=""/>
  </r>
  <r>
    <n v="390"/>
    <s v="Erik"/>
    <x v="0"/>
    <x v="3"/>
    <s v="Tidak"/>
    <s v="Tidak"/>
    <s v="Tidak"/>
    <s v="Tidak"/>
    <x v="1"/>
    <x v="5"/>
    <n v="43"/>
    <x v="6"/>
    <x v="1"/>
    <x v="0"/>
    <n v="3"/>
    <n v="3"/>
    <n v="0"/>
    <n v="3"/>
    <n v="3"/>
    <x v="0"/>
    <n v="4"/>
    <n v="4"/>
    <n v="0"/>
    <n v="0"/>
    <n v="0"/>
    <n v="0"/>
    <n v="3"/>
    <n v="3"/>
    <n v="0"/>
    <n v="3"/>
    <n v="3"/>
    <n v="0"/>
    <n v="4"/>
    <n v="4"/>
    <n v="0"/>
    <n v="3"/>
    <n v="3"/>
    <n v="0"/>
    <n v="3"/>
    <n v="3"/>
    <n v="0"/>
    <n v="0"/>
    <s v="Tidak"/>
    <n v="0"/>
    <s v="Tidak"/>
    <n v="0"/>
    <s v="Tidak"/>
    <s v="Teman perusaan tempat bekerja"/>
    <s v="Teman"/>
    <n v="1"/>
    <n v="4"/>
    <s v="Sudah baik"/>
    <s v="sudah baik/bagus"/>
    <s v="Sudah baik"/>
    <s v="sudah baik/bagus"/>
    <s v="Tempat duduk ruang tunggu perlu ditambah, karena kalau yang menunggu antrian banyak samapi tidak data Temat duduk"/>
    <s v="kursi ditambah atau diperbaiki yang rusak"/>
    <s v=""/>
  </r>
  <r>
    <n v="391"/>
    <s v="Rinda"/>
    <x v="9"/>
    <x v="70"/>
    <s v="Tidak"/>
    <s v="Tidak"/>
    <s v="Tidak"/>
    <s v="Tidak"/>
    <x v="0"/>
    <x v="5"/>
    <n v="49"/>
    <x v="7"/>
    <x v="1"/>
    <x v="0"/>
    <n v="4"/>
    <n v="4"/>
    <n v="0"/>
    <n v="4"/>
    <n v="4"/>
    <x v="0"/>
    <n v="4"/>
    <n v="4"/>
    <n v="0"/>
    <n v="0"/>
    <n v="0"/>
    <n v="0"/>
    <n v="4"/>
    <n v="4"/>
    <n v="0"/>
    <n v="4"/>
    <n v="4"/>
    <n v="0"/>
    <n v="4"/>
    <n v="4"/>
    <n v="0"/>
    <n v="4"/>
    <n v="4"/>
    <n v="0"/>
    <n v="4"/>
    <n v="4"/>
    <n v="0"/>
    <n v="0"/>
    <s v="Tidak"/>
    <n v="0"/>
    <s v="Tidak"/>
    <n v="0"/>
    <s v="Tidak"/>
    <s v="Prosedur perizinan, inisiatif sendiri"/>
    <s v="Mengetahui sendiri"/>
    <n v="1"/>
    <n v="4"/>
    <s v="Untuk perizinan bisa melalui tlp, jadi ada no telp dari perizinan yang di publikasikan di media"/>
    <s v="memberi kontak yang bisa dihubungi"/>
    <s v="Jam pelayanan ditambahi Sampek jam 8 malam"/>
    <s v="menambah jam pelayanan"/>
    <s v="Sudah cukup bagus"/>
    <s v="sudah baik/bagus"/>
    <s v=""/>
  </r>
  <r>
    <n v="392"/>
    <s v="Yusuf Maulana"/>
    <x v="0"/>
    <x v="10"/>
    <s v="Tidak"/>
    <s v="Tidak"/>
    <s v="Tidak"/>
    <s v="Tidak"/>
    <x v="1"/>
    <x v="5"/>
    <n v="29"/>
    <x v="1"/>
    <x v="0"/>
    <x v="0"/>
    <n v="4"/>
    <n v="3"/>
    <n v="-1"/>
    <n v="4"/>
    <n v="4"/>
    <x v="0"/>
    <n v="4"/>
    <n v="3"/>
    <n v="-1"/>
    <n v="0"/>
    <n v="0"/>
    <n v="0"/>
    <n v="4"/>
    <n v="3"/>
    <n v="-1"/>
    <n v="4"/>
    <n v="3"/>
    <n v="-1"/>
    <n v="4"/>
    <n v="3"/>
    <n v="-1"/>
    <n v="4"/>
    <n v="3"/>
    <n v="-1"/>
    <n v="4"/>
    <n v="3"/>
    <n v="-1"/>
    <n v="0"/>
    <s v="Tidak"/>
    <n v="0"/>
    <s v="Tidak"/>
    <n v="4"/>
    <s v="Ya"/>
    <s v=""/>
    <s v="-"/>
    <n v="0"/>
    <n v="0"/>
    <s v="Tidak ada"/>
    <s v="tidak ada"/>
    <s v="Tidak ada"/>
    <s v="tidak ada"/>
    <s v="Tidak ada"/>
    <s v="tidak ada"/>
    <s v="Tidak ada"/>
  </r>
  <r>
    <n v="393"/>
    <s v="Aditya Rahman"/>
    <x v="0"/>
    <x v="0"/>
    <s v="Tidak"/>
    <s v="Tidak"/>
    <s v="Tidak"/>
    <s v="Tidak"/>
    <x v="1"/>
    <x v="4"/>
    <n v="33"/>
    <x v="2"/>
    <x v="1"/>
    <x v="2"/>
    <n v="3"/>
    <n v="3"/>
    <n v="0"/>
    <n v="4"/>
    <n v="4"/>
    <x v="0"/>
    <n v="4"/>
    <n v="4"/>
    <n v="0"/>
    <n v="0"/>
    <n v="0"/>
    <n v="0"/>
    <n v="4"/>
    <n v="4"/>
    <n v="0"/>
    <n v="4"/>
    <n v="4"/>
    <n v="0"/>
    <n v="4"/>
    <n v="4"/>
    <n v="0"/>
    <n v="3"/>
    <n v="3"/>
    <n v="0"/>
    <n v="4"/>
    <n v="4"/>
    <n v="0"/>
    <n v="0"/>
    <s v="Tidak"/>
    <n v="0"/>
    <s v="Tidak"/>
    <n v="0"/>
    <s v="Tidak"/>
    <s v="Dari teman"/>
    <s v="Teman"/>
    <n v="1"/>
    <n v="4"/>
    <s v="Dipertahankan dan lbh ditingkatkan"/>
    <s v="meningkatkan kinerja pelayanan"/>
    <s v="Sudah cukup"/>
    <s v="sudah baik/bagus"/>
    <s v="Kursinya perlu ditambah"/>
    <s v="kursi ditambah atau diperbaiki yang rusak"/>
    <s v=""/>
  </r>
  <r>
    <n v="394"/>
    <s v="Yudo Handoko"/>
    <x v="25"/>
    <x v="71"/>
    <s v="Tidak"/>
    <s v="Tidak"/>
    <s v="Tidak"/>
    <s v="Tidak"/>
    <x v="1"/>
    <x v="4"/>
    <n v="51"/>
    <x v="8"/>
    <x v="4"/>
    <x v="2"/>
    <n v="4"/>
    <n v="4"/>
    <n v="0"/>
    <n v="4"/>
    <n v="4"/>
    <x v="0"/>
    <n v="4"/>
    <n v="4"/>
    <n v="0"/>
    <n v="0"/>
    <n v="0"/>
    <n v="0"/>
    <n v="4"/>
    <n v="4"/>
    <n v="0"/>
    <n v="4"/>
    <n v="4"/>
    <n v="0"/>
    <n v="4"/>
    <n v="4"/>
    <n v="0"/>
    <n v="4"/>
    <n v="4"/>
    <n v="0"/>
    <n v="3"/>
    <n v="3"/>
    <n v="0"/>
    <n v="0"/>
    <s v="Tidak"/>
    <n v="0"/>
    <s v="Tidak"/>
    <n v="0"/>
    <s v="Tidak"/>
    <s v="Kejadian ada di wilayah sidoarjo, itu sebabnya laporannya ke polresta sidoarjo"/>
    <s v="Mengetahui sendiri"/>
    <n v="1"/>
    <n v="4"/>
    <s v="Sudah cukup"/>
    <s v="sudah baik/bagus"/>
    <s v="Sudah cukup"/>
    <s v="sudah baik/bagus"/>
    <s v="Lebih dibersihkan"/>
    <s v="ruangan lebih memadai dan nyaman"/>
    <s v=""/>
  </r>
  <r>
    <n v="395"/>
    <s v="Amelia Puspasari"/>
    <x v="0"/>
    <x v="2"/>
    <s v="Tidak"/>
    <s v="Tidak"/>
    <s v="Tidak"/>
    <s v="Tidak"/>
    <x v="0"/>
    <x v="5"/>
    <n v="42"/>
    <x v="6"/>
    <x v="0"/>
    <x v="2"/>
    <n v="4"/>
    <n v="3"/>
    <n v="-1"/>
    <n v="3"/>
    <n v="3"/>
    <x v="0"/>
    <n v="4"/>
    <n v="4"/>
    <n v="0"/>
    <n v="3"/>
    <n v="3"/>
    <n v="0"/>
    <n v="4"/>
    <n v="4"/>
    <n v="0"/>
    <n v="4"/>
    <n v="4"/>
    <n v="0"/>
    <n v="4"/>
    <n v="4"/>
    <n v="0"/>
    <n v="4"/>
    <n v="4"/>
    <n v="0"/>
    <n v="3"/>
    <n v="3"/>
    <n v="0"/>
    <n v="4"/>
    <s v="Ya"/>
    <n v="0"/>
    <s v="Tidak"/>
    <n v="0"/>
    <s v="Tidak"/>
    <s v=""/>
    <s v="-"/>
    <n v="0"/>
    <n v="0"/>
    <s v="Sudah cukup"/>
    <s v="sudah baik/bagus"/>
    <s v="Sudah cukup"/>
    <s v="sudah baik/bagus"/>
    <s v="Lbh dibersihkan aja"/>
    <s v="ruangan lebih memadai dan nyaman"/>
    <s v=""/>
  </r>
  <r>
    <n v="396"/>
    <s v="H Aji Yusup"/>
    <x v="0"/>
    <x v="31"/>
    <s v="Tidak"/>
    <s v="Tidak"/>
    <s v="Tidak"/>
    <s v="Tidak"/>
    <x v="1"/>
    <x v="5"/>
    <n v="41"/>
    <x v="6"/>
    <x v="0"/>
    <x v="2"/>
    <n v="4"/>
    <n v="4"/>
    <n v="0"/>
    <n v="4"/>
    <n v="4"/>
    <x v="0"/>
    <n v="4"/>
    <n v="4"/>
    <n v="0"/>
    <n v="4"/>
    <n v="4"/>
    <n v="0"/>
    <n v="4"/>
    <n v="4"/>
    <n v="0"/>
    <n v="4"/>
    <n v="4"/>
    <n v="0"/>
    <n v="4"/>
    <n v="4"/>
    <n v="0"/>
    <n v="4"/>
    <n v="4"/>
    <n v="0"/>
    <n v="4"/>
    <n v="4"/>
    <n v="0"/>
    <n v="0"/>
    <s v="Tidak"/>
    <n v="0"/>
    <s v="Tidak"/>
    <n v="0"/>
    <s v="Tidak"/>
    <s v="Sering ke polres sidoarjo"/>
    <s v="Mengetahui sendiri"/>
    <n v="1"/>
    <n v="4"/>
    <s v="Dipertahankan saja"/>
    <s v="sudah baik/bagus"/>
    <s v="Sudah cukup"/>
    <s v="sudah baik/bagus"/>
    <s v="Sudah cukup"/>
    <s v="sudah baik/bagus"/>
    <s v=""/>
  </r>
  <r>
    <n v="397"/>
    <s v="Liem Agus Budiman Wijaya"/>
    <x v="0"/>
    <x v="5"/>
    <s v="Tidak"/>
    <s v="Tidak"/>
    <s v="Tidak"/>
    <s v="Tidak"/>
    <x v="1"/>
    <x v="5"/>
    <n v="34"/>
    <x v="2"/>
    <x v="1"/>
    <x v="2"/>
    <n v="3"/>
    <n v="3"/>
    <n v="0"/>
    <n v="3"/>
    <n v="3"/>
    <x v="0"/>
    <n v="3"/>
    <n v="3"/>
    <n v="0"/>
    <n v="3"/>
    <n v="3"/>
    <n v="0"/>
    <n v="4"/>
    <n v="4"/>
    <n v="0"/>
    <n v="4"/>
    <n v="4"/>
    <n v="0"/>
    <n v="4"/>
    <n v="4"/>
    <n v="0"/>
    <n v="4"/>
    <n v="4"/>
    <n v="0"/>
    <n v="4"/>
    <n v="4"/>
    <n v="0"/>
    <n v="0"/>
    <s v="Ya"/>
    <n v="0"/>
    <s v="Tidak"/>
    <n v="4"/>
    <s v="Tidak"/>
    <s v=""/>
    <s v="-"/>
    <n v="0"/>
    <n v="0"/>
    <s v="Sudah cukup"/>
    <s v="sudah baik/bagus"/>
    <s v="Sudah cukup"/>
    <s v="sudah baik/bagus"/>
    <s v="Sudah cukup"/>
    <s v="sudah baik/bagus"/>
    <m/>
  </r>
  <r>
    <n v="398"/>
    <s v="Nanak"/>
    <x v="2"/>
    <x v="32"/>
    <s v="Tidak"/>
    <s v="Tidak"/>
    <s v="Tidak"/>
    <s v="Tidak"/>
    <x v="1"/>
    <x v="4"/>
    <n v="33"/>
    <x v="2"/>
    <x v="0"/>
    <x v="2"/>
    <n v="4"/>
    <n v="3"/>
    <n v="-1"/>
    <n v="3"/>
    <n v="4"/>
    <x v="2"/>
    <n v="2"/>
    <n v="3"/>
    <n v="1"/>
    <n v="0"/>
    <n v="0"/>
    <n v="0"/>
    <n v="3"/>
    <n v="3"/>
    <n v="0"/>
    <n v="3"/>
    <n v="4"/>
    <n v="1"/>
    <n v="4"/>
    <n v="4"/>
    <n v="0"/>
    <n v="3"/>
    <n v="3"/>
    <n v="0"/>
    <n v="4"/>
    <n v="4"/>
    <n v="0"/>
    <n v="4"/>
    <s v="Tidak"/>
    <n v="0"/>
    <s v="Tidak"/>
    <n v="0"/>
    <s v="Tidak"/>
    <s v=""/>
    <s v="-"/>
    <n v="0"/>
    <n v="0"/>
    <s v="Tidak Ada"/>
    <s v="tidak ada"/>
    <s v="Lebih ontime  dan lebih jelas lagi memberi informasi"/>
    <s v="mempercepat waktu pelayanan"/>
    <s v="Tidak Ada"/>
    <s v="tidak ada"/>
    <m/>
  </r>
  <r>
    <n v="399"/>
    <s v="Vito"/>
    <x v="0"/>
    <x v="0"/>
    <s v="Tidak"/>
    <s v="Tidak"/>
    <s v="Tidak"/>
    <s v="Tidak"/>
    <x v="1"/>
    <x v="5"/>
    <n v="23"/>
    <x v="0"/>
    <x v="0"/>
    <x v="0"/>
    <n v="3"/>
    <n v="4"/>
    <n v="1"/>
    <n v="4"/>
    <n v="4"/>
    <x v="0"/>
    <n v="4"/>
    <n v="4"/>
    <n v="0"/>
    <n v="0"/>
    <n v="0"/>
    <n v="0"/>
    <n v="3"/>
    <n v="3"/>
    <n v="0"/>
    <n v="4"/>
    <n v="4"/>
    <n v="0"/>
    <n v="4"/>
    <n v="4"/>
    <n v="0"/>
    <n v="4"/>
    <n v="4"/>
    <n v="0"/>
    <n v="4"/>
    <n v="4"/>
    <n v="0"/>
    <n v="0"/>
    <s v="Tidak"/>
    <n v="0"/>
    <s v="Tidak"/>
    <n v="4"/>
    <s v="Tidak"/>
    <s v=""/>
    <s v="-"/>
    <n v="0"/>
    <n v="0"/>
    <s v="Tidak Ada"/>
    <s v="tidak ada"/>
    <s v="Tidak Ada"/>
    <s v="tidak ada"/>
    <s v="Tidak Ada"/>
    <s v="tidak ada"/>
    <m/>
  </r>
  <r>
    <n v="400"/>
    <s v="Gumelar"/>
    <x v="0"/>
    <x v="0"/>
    <s v="Tidak"/>
    <s v="Tidak"/>
    <s v="Tidak"/>
    <s v="Tidak"/>
    <x v="1"/>
    <x v="5"/>
    <n v="31"/>
    <x v="2"/>
    <x v="0"/>
    <x v="0"/>
    <n v="4"/>
    <n v="4"/>
    <n v="0"/>
    <n v="4"/>
    <n v="4"/>
    <x v="0"/>
    <n v="4"/>
    <n v="4"/>
    <n v="0"/>
    <n v="0"/>
    <n v="0"/>
    <n v="0"/>
    <n v="4"/>
    <n v="4"/>
    <n v="0"/>
    <n v="4"/>
    <n v="4"/>
    <n v="0"/>
    <n v="4"/>
    <n v="4"/>
    <n v="0"/>
    <n v="4"/>
    <n v="4"/>
    <n v="0"/>
    <n v="4"/>
    <n v="4"/>
    <n v="0"/>
    <n v="0"/>
    <s v="Tidak"/>
    <n v="0"/>
    <s v="Tidak"/>
    <n v="0"/>
    <s v="Tidak"/>
    <s v="Teman"/>
    <s v="Teman"/>
    <n v="1"/>
    <n v="4"/>
    <s v="Dipertahankan lagi untuk kompetensi petugasnya"/>
    <s v="meningkatkan kinerja pelayanan"/>
    <s v="Di pertahankan lagi untuk pelayanannya"/>
    <s v="meningkatkan kinerja pelayanan"/>
    <s v="Sudah cukup"/>
    <s v="sudah baik/bagus"/>
    <m/>
  </r>
  <r>
    <n v="401"/>
    <s v="Fajar"/>
    <x v="0"/>
    <x v="6"/>
    <s v="Tidak"/>
    <s v="Tidak"/>
    <s v="Tidak"/>
    <s v="Tidak"/>
    <x v="1"/>
    <x v="5"/>
    <n v="38"/>
    <x v="4"/>
    <x v="0"/>
    <x v="0"/>
    <n v="4"/>
    <n v="4"/>
    <n v="0"/>
    <n v="4"/>
    <n v="4"/>
    <x v="0"/>
    <n v="4"/>
    <n v="4"/>
    <n v="0"/>
    <n v="0"/>
    <n v="0"/>
    <n v="0"/>
    <n v="4"/>
    <n v="4"/>
    <n v="0"/>
    <n v="4"/>
    <n v="4"/>
    <n v="0"/>
    <n v="4"/>
    <n v="4"/>
    <n v="0"/>
    <n v="4"/>
    <n v="4"/>
    <n v="0"/>
    <n v="4"/>
    <n v="4"/>
    <n v="0"/>
    <n v="4"/>
    <s v="Tidak"/>
    <n v="0"/>
    <s v="Ya"/>
    <n v="0"/>
    <s v="Tidak"/>
    <s v=""/>
    <s v="-"/>
    <n v="0"/>
    <n v="0"/>
    <s v="Tidak Ada"/>
    <s v="tidak ada"/>
    <s v="Tidak Ada"/>
    <s v="tidak ada"/>
    <s v="Tidak Ada"/>
    <s v="tidak ada"/>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63F8D-762B-440F-ACE4-71DEF0E19166}" name="Usia"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5">
  <location ref="D3:E7" firstHeaderRow="1" firstDataRow="1" firstDataCol="1"/>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axis="axisRow" dataField="1" showAll="0">
      <items count="10">
        <item x="3"/>
        <item x="0"/>
        <item x="1"/>
        <item x="2"/>
        <item x="4"/>
        <item x="6"/>
        <item x="7"/>
        <item x="8"/>
        <item x="5"/>
        <item t="default"/>
      </items>
    </pivotField>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v="2"/>
    </i>
    <i>
      <x v="4"/>
    </i>
    <i>
      <x v="5"/>
    </i>
    <i t="grand">
      <x/>
    </i>
  </rowItems>
  <colItems count="1">
    <i/>
  </colItems>
  <dataFields count="1">
    <dataField name="Hitung dari Koding Usia "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CF19D-BDEC-4113-9AB6-5BCE78116894}" name="Kecamata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D28:E33" firstHeaderRow="1" firstDataRow="1" firstDataCol="1"/>
  <pivotFields count="58">
    <pivotField showAll="0"/>
    <pivotField showAll="0"/>
    <pivotField showAll="0"/>
    <pivotField axis="axisRow" dataField="1" showAll="0">
      <items count="73">
        <item x="21"/>
        <item x="65"/>
        <item x="44"/>
        <item x="40"/>
        <item x="5"/>
        <item x="67"/>
        <item x="1"/>
        <item x="41"/>
        <item x="22"/>
        <item x="32"/>
        <item x="46"/>
        <item x="20"/>
        <item x="50"/>
        <item x="28"/>
        <item x="29"/>
        <item x="61"/>
        <item x="62"/>
        <item x="31"/>
        <item x="27"/>
        <item x="38"/>
        <item x="60"/>
        <item x="53"/>
        <item x="35"/>
        <item x="26"/>
        <item x="48"/>
        <item x="25"/>
        <item x="14"/>
        <item x="39"/>
        <item x="64"/>
        <item x="16"/>
        <item x="6"/>
        <item x="12"/>
        <item x="56"/>
        <item x="57"/>
        <item x="70"/>
        <item x="7"/>
        <item x="30"/>
        <item x="51"/>
        <item x="34"/>
        <item x="54"/>
        <item x="59"/>
        <item x="52"/>
        <item x="63"/>
        <item x="9"/>
        <item x="66"/>
        <item x="71"/>
        <item x="13"/>
        <item x="0"/>
        <item x="24"/>
        <item x="37"/>
        <item x="58"/>
        <item x="18"/>
        <item x="3"/>
        <item x="19"/>
        <item x="36"/>
        <item x="69"/>
        <item x="33"/>
        <item x="10"/>
        <item x="55"/>
        <item x="47"/>
        <item x="4"/>
        <item x="68"/>
        <item x="45"/>
        <item x="8"/>
        <item x="42"/>
        <item x="43"/>
        <item x="2"/>
        <item x="15"/>
        <item x="49"/>
        <item x="17"/>
        <item x="23"/>
        <item x="11"/>
        <item t="default"/>
      </items>
    </pivotField>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v="11"/>
    </i>
    <i>
      <x v="20"/>
    </i>
    <i>
      <x v="47"/>
    </i>
    <i>
      <x v="57"/>
    </i>
    <i t="grand">
      <x/>
    </i>
  </rowItems>
  <colItems count="1">
    <i/>
  </colItems>
  <dataFields count="1">
    <dataField name="Hitung dari Kecamat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76F597-2AC5-41C9-9CEE-969EAE6A6BDC}" name="Nilai_Kepuasa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74:O75" firstHeaderRow="0" firstDataRow="1" firstDataCol="0"/>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9">
    <i>
      <x/>
    </i>
    <i i="1">
      <x v="1"/>
    </i>
    <i i="2">
      <x v="2"/>
    </i>
    <i i="3">
      <x v="3"/>
    </i>
    <i i="4">
      <x v="4"/>
    </i>
    <i i="5">
      <x v="5"/>
    </i>
    <i i="6">
      <x v="6"/>
    </i>
    <i i="7">
      <x v="7"/>
    </i>
    <i i="8">
      <x v="8"/>
    </i>
  </colItems>
  <dataFields count="9">
    <dataField name="Rata-rata dari Nilai Kepuasan Dimensi Persyaratan" fld="14" subtotal="average" baseField="0" baseItem="0"/>
    <dataField name="Rata-rata dari Nilai Kepuasan Dimensi Prosedur" fld="17" subtotal="average" baseField="0" baseItem="1"/>
    <dataField name="Rata-rata dari Nilai Kepuasan Dimensi Waktu Pelayanan/Penyelesaian" fld="20" subtotal="average" baseField="0" baseItem="1"/>
    <dataField name="Rata-rata dari Nilai Kepuasan Dimensi Tarif / Biaya" fld="23" subtotal="average" baseField="0" baseItem="1"/>
    <dataField name="Rata-rata dari Nilai Kepuasan Dimensi Produk Spesifikasi Jenis Layanan" fld="26" subtotal="average" baseField="0" baseItem="1"/>
    <dataField name="Rata-rata dari Nilai Kepuasan Dimensi Kompetensi Pelaksana" fld="29" subtotal="average" baseField="0" baseItem="1"/>
    <dataField name="Rata-rata dari Nilai Kepuasan Dimensi Perilaku Pelaksana" fld="32" subtotal="average" baseField="0" baseItem="1"/>
    <dataField name="Rata-rata dari Nilai Kepuasan Dimensi Penanganan Pengaduan, Saran &amp; Masukan" fld="35" subtotal="average" baseField="0" baseItem="1"/>
    <dataField name="Rata-rata dari Nilai Kepuasan Dimensi Kualitas Sarana dan Prasarana" fld="3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FE6919-DE62-4D01-B9C0-9482166B9389}" name="Kabupate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28:B55" firstHeaderRow="1" firstDataRow="1" firstDataCol="1"/>
  <pivotFields count="58">
    <pivotField showAll="0"/>
    <pivotField showAll="0"/>
    <pivotField axis="axisRow" dataField="1" showAll="0">
      <items count="27">
        <item x="23"/>
        <item x="5"/>
        <item x="21"/>
        <item x="2"/>
        <item x="25"/>
        <item x="7"/>
        <item x="22"/>
        <item x="10"/>
        <item x="15"/>
        <item x="11"/>
        <item x="16"/>
        <item x="9"/>
        <item x="3"/>
        <item x="19"/>
        <item x="1"/>
        <item x="13"/>
        <item x="4"/>
        <item x="12"/>
        <item x="0"/>
        <item x="20"/>
        <item x="8"/>
        <item x="24"/>
        <item x="18"/>
        <item x="6"/>
        <item x="17"/>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Hitung dari Kabupate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2611BB-4E46-47B6-9D78-0F7682FCE73B}" name="Jenis_Layana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9:B16" firstHeaderRow="1" firstDataRow="1" firstDataCol="1"/>
  <pivotFields count="58">
    <pivotField showAll="0"/>
    <pivotField showAll="0"/>
    <pivotField showAll="0"/>
    <pivotField showAll="0"/>
    <pivotField showAll="0"/>
    <pivotField showAll="0"/>
    <pivotField showAll="0"/>
    <pivotField showAll="0"/>
    <pivotField showAll="0">
      <items count="3">
        <item x="1"/>
        <item x="0"/>
        <item t="default"/>
      </items>
    </pivotField>
    <pivotField axis="axisRow" dataField="1" showAll="0">
      <items count="7">
        <item x="2"/>
        <item x="3"/>
        <item x="4"/>
        <item x="5"/>
        <item x="0"/>
        <item x="1"/>
        <item t="default"/>
      </items>
    </pivotField>
    <pivotField showAll="0"/>
    <pivotField showAll="0"/>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Hitung dari Jenis layanan yang pernah Anda dapatkan di Polresta Sidoarjo?"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6AAF0B-6D1E-4D1F-92AF-37E9856E8540}" name="Total_Responde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J97:J98" firstHeaderRow="1" firstDataRow="1" firstDataCol="0"/>
  <pivotFields count="58">
    <pivotField showAll="0"/>
    <pivotField dataField="1"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Hitung dari Nama Responde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8519CB-21E1-48C7-B2D5-FBCAAFCAC7C5}" name="Gap_Dimensi"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78:O79" firstHeaderRow="0" firstDataRow="1" firstDataCol="0"/>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9">
    <i>
      <x/>
    </i>
    <i i="1">
      <x v="1"/>
    </i>
    <i i="2">
      <x v="2"/>
    </i>
    <i i="3">
      <x v="3"/>
    </i>
    <i i="4">
      <x v="4"/>
    </i>
    <i i="5">
      <x v="5"/>
    </i>
    <i i="6">
      <x v="6"/>
    </i>
    <i i="7">
      <x v="7"/>
    </i>
    <i i="8">
      <x v="8"/>
    </i>
  </colItems>
  <dataFields count="9">
    <dataField name="Rata-rata dari Gap Dimensi Persyaratan" fld="16" subtotal="average" baseField="0" baseItem="0"/>
    <dataField name="Rata-rata dari Gap Dimensi Prosedur" fld="19" subtotal="average" baseField="0" baseItem="1"/>
    <dataField name="Rata-rata dari Gap Dimensi Waktu Pelayanan/Penyelesaian" fld="22" subtotal="average" baseField="0" baseItem="1"/>
    <dataField name="Rata-rata dari Gap Dimensi Tarif/Biaya" fld="25" subtotal="average" baseField="0" baseItem="1"/>
    <dataField name="Rata-rata dari Gap Dimensi Produk Spesifikasi Jenis Layanan" fld="28" subtotal="average" baseField="0" baseItem="1"/>
    <dataField name="Rata-rata dari Gap Dimensi Kompetemsi Pelaksana" fld="31" subtotal="average" baseField="0" baseItem="1"/>
    <dataField name="Rata-rata dari Gap Dimensi Perilaku Pelaksana" fld="34" subtotal="average" baseField="0" baseItem="1"/>
    <dataField name="Rata-rata dari Gap Dimensi Penanganan Pengaduan, Saran &amp; Masukan" fld="37" subtotal="average" baseField="0" baseItem="1"/>
    <dataField name="Rata-rata dari Gap Dimensi Kualitas Sarana dan Prasarana" fld="4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67C904-3D74-4334-AFDB-D747B100E919}" name="Pendidikan_Terakhir"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19:B25" firstHeaderRow="1" firstDataRow="1" firstDataCol="1"/>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axis="axisRow" dataField="1" showAll="0">
      <items count="6">
        <item x="2"/>
        <item x="4"/>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Hitung dari Pendidikan Terakhir "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76EE1C-CF08-4CC5-B1B6-1952637455BC}" name="Pekerjaa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3:H7" firstHeaderRow="1" firstDataRow="1" firstDataCol="1"/>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axis="axisRow" dataField="1" showAll="0">
      <items count="14">
        <item x="3"/>
        <item x="11"/>
        <item x="8"/>
        <item x="4"/>
        <item x="7"/>
        <item x="10"/>
        <item x="1"/>
        <item x="5"/>
        <item x="0"/>
        <item x="6"/>
        <item x="9"/>
        <item x="12"/>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4">
    <i>
      <x v="7"/>
    </i>
    <i>
      <x v="8"/>
    </i>
    <i>
      <x v="12"/>
    </i>
    <i t="grand">
      <x/>
    </i>
  </rowItems>
  <colItems count="1">
    <i/>
  </colItems>
  <dataFields count="1">
    <dataField name="Hitung dari Koding Pekerjaan"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244C38-83D5-4478-9935-1FFBCA71BD3E}" name="Jenis_Kelami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B6" firstHeaderRow="1" firstDataRow="1" firstDataCol="1"/>
  <pivotFields count="58">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Hitung dari Jenis Kelami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1039D5-5481-4E08-B108-83187490B703}" name="Nilai_Kepentingan"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32:O33" firstHeaderRow="0" firstDataRow="1" firstDataCol="0"/>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9">
    <i>
      <x/>
    </i>
    <i i="1">
      <x v="1"/>
    </i>
    <i i="2">
      <x v="2"/>
    </i>
    <i i="3">
      <x v="3"/>
    </i>
    <i i="4">
      <x v="4"/>
    </i>
    <i i="5">
      <x v="5"/>
    </i>
    <i i="6">
      <x v="6"/>
    </i>
    <i i="7">
      <x v="7"/>
    </i>
    <i i="8">
      <x v="8"/>
    </i>
  </colItems>
  <dataFields count="9">
    <dataField name="Rata-rata dari Nilai Kepentingan Dimensi Persyaratan" fld="15" subtotal="average" baseField="0" baseItem="0"/>
    <dataField name="Rata-rata dari Nilai Kepentingan Dimensi Prosedur" fld="18" subtotal="average" baseField="0" baseItem="1"/>
    <dataField name="Rata-rata dari Nilai Kepentingan Dimensi Waktu Pelayanan/Penyelesaian" fld="21" subtotal="average" baseField="0" baseItem="1"/>
    <dataField name="Rata-rata dari Nilai Kepentingan Dimensi Tarif/ Biaya" fld="24" subtotal="average" baseField="0" baseItem="1"/>
    <dataField name="Rata-rata dari Nilai Kepentingan Dimensi Produk Spesifikasi Jenis Layanan" fld="27" subtotal="average" baseField="0" baseItem="1"/>
    <dataField name="Rata-rata dari Nilai Kepentingan Dimensi Kompetensi Pelaksana" fld="30" subtotal="average" baseField="0" baseItem="1"/>
    <dataField name="Rata-rata dari Nilai Kepentingan Dimensi Perilaku Pelaksana" fld="33" subtotal="average" baseField="0" baseItem="1"/>
    <dataField name="Rata-rata dari Nilai Kepentingan Dimensi Penanganan Pengaduan, Saran &amp; Masukan" fld="36" subtotal="average" baseField="0" baseItem="1"/>
    <dataField name="Rata-rata dari Nilai Kepentingan Dimensi Kualitas Sarana dan Prasarana" fld="3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571D6E-6D34-4D3C-A62D-B6F0882D4C36}" name="Media_Informasi" cacheId="98"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93:J94" firstHeaderRow="0" firstDataRow="1" firstDataCol="0"/>
  <pivotFields count="58">
    <pivotField showAll="0"/>
    <pivotField showAll="0"/>
    <pivotField showAll="0"/>
    <pivotField showAll="0"/>
    <pivotField showAll="0"/>
    <pivotField showAll="0"/>
    <pivotField showAll="0"/>
    <pivotField showAll="0"/>
    <pivotField showAll="0">
      <items count="3">
        <item x="1"/>
        <item x="0"/>
        <item t="default"/>
      </items>
    </pivotField>
    <pivotField showAll="0">
      <items count="7">
        <item h="1" x="2"/>
        <item h="1" x="3"/>
        <item x="4"/>
        <item h="1" x="5"/>
        <item h="1" x="0"/>
        <item h="1" x="1"/>
        <item t="default"/>
      </items>
    </pivotField>
    <pivotField showAll="0"/>
    <pivotField showAll="0"/>
    <pivotField showAll="0">
      <items count="6">
        <item x="2"/>
        <item h="1" x="4"/>
        <item h="1"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Jumlah dari Konversi Media Sosial2" fld="41" baseField="0" baseItem="0"/>
    <dataField name="Jumlah dari Konversi Website" fld="43" baseField="0" baseItem="0"/>
    <dataField name="Jumlah dari Konversi Pegawai" fld="45" baseField="0" baseItem="0"/>
    <dataField name="Jumlah dari Konversi Lainnya" fld="5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enis_Kelamin" xr10:uid="{BCB76C66-879A-4A63-BCA6-0C5BBBDC9D05}" sourceName="Jenis Kelamin">
  <pivotTables>
    <pivotTable tabId="5" name="Total_Responden"/>
    <pivotTable tabId="5" name="Gap_Dimensi"/>
    <pivotTable tabId="5" name="Jenis_Layanan"/>
    <pivotTable tabId="5" name="Kecamatan"/>
    <pivotTable tabId="5" name="Media_Informasi"/>
    <pivotTable tabId="5" name="Nilai_Kepentingan"/>
    <pivotTable tabId="5" name="Nilai_Kepuasan"/>
    <pivotTable tabId="5" name="Pekerjaan"/>
    <pivotTable tabId="5" name="Pendidikan_Terakhir"/>
    <pivotTable tabId="5" name="Usia"/>
  </pivotTables>
  <data>
    <tabular pivotCacheId="166734570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enis_layanan_yang_pernah_Anda_dapatkan_di_Polresta_Sidoarjo?" xr10:uid="{73CCAE3E-16CC-41F4-84E2-648B7A096F3C}" sourceName="Jenis layanan yang pernah Anda dapatkan di Polresta Sidoarjo?">
  <pivotTables>
    <pivotTable tabId="5" name="Total_Responden"/>
    <pivotTable tabId="5" name="Gap_Dimensi"/>
    <pivotTable tabId="5" name="Jenis_Kelamin"/>
    <pivotTable tabId="5" name="Kecamatan"/>
    <pivotTable tabId="5" name="Media_Informasi"/>
    <pivotTable tabId="5" name="Nilai_Kepentingan"/>
    <pivotTable tabId="5" name="Nilai_Kepuasan"/>
    <pivotTable tabId="5" name="Pekerjaan"/>
    <pivotTable tabId="5" name="Pendidikan_Terakhir"/>
    <pivotTable tabId="5" name="Usia"/>
  </pivotTables>
  <data>
    <tabular pivotCacheId="1667345700">
      <items count="6">
        <i x="2"/>
        <i x="3"/>
        <i x="4" s="1"/>
        <i x="5"/>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Pendidikan_Terakhir" xr10:uid="{05DD78BA-37CC-4E63-A18F-2AB441297D1D}" sourceName="Pendidikan Terakhir ">
  <pivotTables>
    <pivotTable tabId="5" name="Total_Responden"/>
    <pivotTable tabId="5" name="Gap_Dimensi"/>
    <pivotTable tabId="5" name="Jenis_Kelamin"/>
    <pivotTable tabId="5" name="Jenis_Layanan"/>
    <pivotTable tabId="5" name="Kecamatan"/>
    <pivotTable tabId="5" name="Media_Informasi"/>
    <pivotTable tabId="5" name="Nilai_Kepentingan"/>
    <pivotTable tabId="5" name="Nilai_Kepuasan"/>
    <pivotTable tabId="5" name="Pekerjaan"/>
    <pivotTable tabId="5" name="Usia"/>
  </pivotTables>
  <data>
    <tabular pivotCacheId="1667345700">
      <items count="5">
        <i x="2" s="1"/>
        <i x="4"/>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xr10:uid="{36233256-7BED-4319-9AD1-D02B152BD026}" cache="Pemotong_Jenis_Kelamin" caption="Jenis Kelamin" showCaption="0" rowHeight="251883"/>
  <slicer name="Jenis layanan yang pernah Anda dapatkan di Polresta Sidoarjo?" xr10:uid="{9E1C82C8-B796-47AA-BA2B-F3EEDD94AB36}" cache="Pemotong_Jenis_layanan_yang_pernah_Anda_dapatkan_di_Polresta_Sidoarjo?" caption="Jenis layanan yang pernah Anda dapatkan di Polresta Sidoarjo?" showCaption="0" rowHeight="251883"/>
  <slicer name="Pendidikan Terakhir " xr10:uid="{7774B51F-DD36-4B9E-90B0-D0BC441A844E}" cache="Pemotong_Pendidikan_Terakhir" caption="Pendidikan Terakhir " columnCount="3"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A5A892-D747-43E1-B7CD-DFFEFC07297C}" name="data" displayName="data" ref="A1:BF402" totalsRowShown="0" headerRowDxfId="61" headerRowBorderDxfId="60" tableBorderDxfId="59" totalsRowBorderDxfId="58">
  <autoFilter ref="A1:BF402" xr:uid="{99272AED-0ED6-4C1D-8A60-C21E63FD6182}"/>
  <tableColumns count="58">
    <tableColumn id="1" xr3:uid="{E9DD8B8A-DF24-43F5-8F36-0FFC0EE9CAD1}" name="No" dataDxfId="57"/>
    <tableColumn id="2" xr3:uid="{A9E0F31B-A540-45A7-A4CD-B2DCED217487}" name="Nama Responden" dataDxfId="56"/>
    <tableColumn id="3" xr3:uid="{813DD754-7130-49E6-800F-B0C1F6B3898A}" name="Kabupaten" dataDxfId="55"/>
    <tableColumn id="4" xr3:uid="{0C805BBC-B0E1-465A-80EC-23A1E5B0C1E7}" name="Kecamatan" dataDxfId="54"/>
    <tableColumn id="5" xr3:uid="{D82F604B-D80A-4168-99B3-537756D86870}" name="Apakah anggota keluarga Anda (yang tinggal serumah) bekerja di salah satu bidang berikut?   [Bekerja di Perusahaan Riset Pemasaran]" dataDxfId="53"/>
    <tableColumn id="6" xr3:uid="{1FD0DAF6-5BDF-4250-BC85-19D2635799D4}" name="Apakah anggota keluarga Anda (yang tinggal serumah) bekerja di salah satu bidang berikut?   [Perusahaan Periklanan / Agen Periklanan]" dataDxfId="52"/>
    <tableColumn id="7" xr3:uid="{D7438202-4BE5-4A28-881D-65A338F29ED5}" name="Apakah anggota keluarga Anda (yang tinggal serumah) bekerja di salah satu bidang berikut?   [Media massa (TV, Radio, Surat kabar, Majalah, Tabloid)]" dataDxfId="51"/>
    <tableColumn id="8" xr3:uid="{7BF6814C-01F3-4155-97B0-837FB7E17B70}" name="Apakah anggota keluarga Anda (yang tinggal serumah) bekerja di salah satu bidang berikut?   [Pegawai Polresta Sidoarjo]" dataDxfId="50"/>
    <tableColumn id="9" xr3:uid="{F9349E8B-60AD-4F4F-8DFD-F10B88DF3FC4}" name="Jenis Kelamin" dataDxfId="49"/>
    <tableColumn id="10" xr3:uid="{13501383-4BB8-4E15-944F-18B22F5F8A00}" name="Jenis layanan yang pernah Anda dapatkan di Polresta Sidoarjo?" dataDxfId="48"/>
    <tableColumn id="11" xr3:uid="{62CCBDDF-74D3-4585-AC01-BF6694C6C52B}" name="Usia " dataDxfId="47"/>
    <tableColumn id="12" xr3:uid="{EAC9A362-BE2C-4852-885E-6EB507A9EB47}" name="Koding Usia " dataDxfId="46"/>
    <tableColumn id="13" xr3:uid="{D62CF594-008E-497C-B871-C1BD2CDA22BF}" name="Pendidikan Terakhir " dataDxfId="45"/>
    <tableColumn id="14" xr3:uid="{BC48F1B1-8675-4998-AB4D-8D94B3F7899B}" name="Koding Pekerjaan" dataDxfId="44"/>
    <tableColumn id="15" xr3:uid="{BF71BA58-4A12-4409-9C30-5D48BAF6B8D8}" name="Nilai Kepuasan Dimensi Persyaratan" dataDxfId="43"/>
    <tableColumn id="16" xr3:uid="{180F99FC-D094-454C-B31C-5725BD8F7427}" name="Nilai Kepentingan Dimensi Persyaratan" dataDxfId="42"/>
    <tableColumn id="50" xr3:uid="{14D4429B-AEB7-4E60-9CBC-13957398C64E}" name="Gap Dimensi Persyaratan" dataDxfId="41">
      <calculatedColumnFormula>data[[#This Row],[Nilai Kepentingan Dimensi Persyaratan]]-data[[#This Row],[Nilai Kepuasan Dimensi Persyaratan]]</calculatedColumnFormula>
    </tableColumn>
    <tableColumn id="17" xr3:uid="{6C50750D-F9EF-4BFD-AFEA-C66570A4761A}" name="Nilai Kepuasan Dimensi Prosedur" dataDxfId="40"/>
    <tableColumn id="18" xr3:uid="{EA36AC17-A2B9-4A30-8131-663CDA615947}" name="Nilai Kepentingan Dimensi Prosedur" dataDxfId="39"/>
    <tableColumn id="51" xr3:uid="{7C49E1DE-6FDC-4C4D-91AB-3992C1BFFD6D}" name="Gap Dimensi Prosedur" dataDxfId="38">
      <calculatedColumnFormula>data[[#This Row],[Nilai Kepentingan Dimensi Prosedur]]-data[[#This Row],[Nilai Kepuasan Dimensi Prosedur]]</calculatedColumnFormula>
    </tableColumn>
    <tableColumn id="19" xr3:uid="{E508621F-F2F1-4334-B22F-9071B0E59695}" name="Nilai Kepuasan Dimensi Waktu Pelayanan/Penyelesaian" dataDxfId="37"/>
    <tableColumn id="20" xr3:uid="{11E67A72-058B-41CC-B80C-536829A731A4}" name="Nilai Kepentingan Dimensi Waktu Pelayanan/Penyelesaian" dataDxfId="36"/>
    <tableColumn id="52" xr3:uid="{2DB9D5AA-3CBC-4EDD-A113-194077B9C5DE}" name="Gap Dimensi Waktu Pelayanan/Penyelesaian" dataDxfId="35">
      <calculatedColumnFormula>data[[#This Row],[Nilai Kepentingan Dimensi Waktu Pelayanan/Penyelesaian]]-data[[#This Row],[Nilai Kepuasan Dimensi Waktu Pelayanan/Penyelesaian]]</calculatedColumnFormula>
    </tableColumn>
    <tableColumn id="21" xr3:uid="{B2FEE720-6102-4C6E-9FF2-8338D780770D}" name="Nilai Kepuasan Dimensi Tarif / Biaya" dataDxfId="34"/>
    <tableColumn id="22" xr3:uid="{F57E7F70-D323-48C7-8F00-EB7C96F25895}" name="Nilai Kepentingan Dimensi Tarif/ Biaya" dataDxfId="33"/>
    <tableColumn id="53" xr3:uid="{76615A55-4450-4798-B65A-2A3ED10B53AA}" name="Gap Dimensi Tarif/Biaya" dataDxfId="32">
      <calculatedColumnFormula>data[[#This Row],[Nilai Kepentingan Dimensi Tarif/ Biaya]]-data[[#This Row],[Nilai Kepuasan Dimensi Tarif / Biaya]]</calculatedColumnFormula>
    </tableColumn>
    <tableColumn id="23" xr3:uid="{1A2ACB19-7294-485D-AD48-B5B628756633}" name="Nilai Kepuasan Dimensi Produk Spesifikasi Jenis Layanan" dataDxfId="31"/>
    <tableColumn id="24" xr3:uid="{83A80120-C7EC-44FA-B55B-B079C1DE5C2B}" name="Nilai Kepentingan Dimensi Produk Spesifikasi Jenis Layanan" dataDxfId="30"/>
    <tableColumn id="54" xr3:uid="{A2D00927-243D-4328-9406-A5671570A7F3}" name="Gap Dimensi Produk Spesifikasi Jenis Layanan" dataDxfId="29">
      <calculatedColumnFormula>data[[#This Row],[Nilai Kepentingan Dimensi Produk Spesifikasi Jenis Layanan]]-data[[#This Row],[Nilai Kepuasan Dimensi Produk Spesifikasi Jenis Layanan]]</calculatedColumnFormula>
    </tableColumn>
    <tableColumn id="25" xr3:uid="{ABC64DAD-9050-4CFD-BFE4-E316A7182CBB}" name="Nilai Kepuasan Dimensi Kompetensi Pelaksana" dataDxfId="28"/>
    <tableColumn id="26" xr3:uid="{31378E2B-112B-4DCE-95A1-CA56713DD9DF}" name="Nilai Kepentingan Dimensi Kompetensi Pelaksana" dataDxfId="27"/>
    <tableColumn id="55" xr3:uid="{D0C7EC1C-C02B-43EF-9BDA-31186983BF7F}" name="Gap Dimensi Kompetensi Pelaksana" dataDxfId="26">
      <calculatedColumnFormula>data[[#This Row],[Nilai Kepentingan Dimensi Kompetensi Pelaksana]]-data[[#This Row],[Nilai Kepuasan Dimensi Kompetensi Pelaksana]]</calculatedColumnFormula>
    </tableColumn>
    <tableColumn id="27" xr3:uid="{2E4970DE-3BB1-4417-84CA-CBD92D507B81}" name="Nilai Kepuasan Dimensi Perilaku Pelaksana" dataDxfId="25"/>
    <tableColumn id="28" xr3:uid="{997A6431-ED5E-458E-AA09-E7F75A63E9AF}" name="Nilai Kepentingan Dimensi Perilaku Pelaksana" dataDxfId="24"/>
    <tableColumn id="56" xr3:uid="{0C0F9CDD-6AA7-4C43-932E-BB7C3E7DCDCF}" name="Gap Dimensi Perilaku Pelaksana" dataDxfId="23">
      <calculatedColumnFormula>data[[#This Row],[Nilai Kepentingan Dimensi Perilaku Pelaksana]]-data[[#This Row],[Nilai Kepuasan Dimensi Perilaku Pelaksana]]</calculatedColumnFormula>
    </tableColumn>
    <tableColumn id="29" xr3:uid="{B4BF88A4-8600-42A1-86DA-3A8BC356A954}" name="Nilai Kepuasan Dimensi Penanganan Pengaduan, Saran &amp; Masukan" dataDxfId="22"/>
    <tableColumn id="30" xr3:uid="{43AF0FEF-1C80-479C-BFAC-439FA3649B88}" name="Nilai Kepentingan Dimensi Penanganan Pengaduan, Saran &amp; Masukan" dataDxfId="21"/>
    <tableColumn id="57" xr3:uid="{25786650-A21A-48E7-9048-49C2C2EC9562}" name="Gap Dimensi Penanganan Pengaduan, Saran &amp; Masukan" dataDxfId="20">
      <calculatedColumnFormula>data[[#This Row],[Nilai Kepentingan Dimensi Penanganan Pengaduan, Saran &amp; Masukan]]-data[[#This Row],[Nilai Kepuasan Dimensi Penanganan Pengaduan, Saran &amp; Masukan]]</calculatedColumnFormula>
    </tableColumn>
    <tableColumn id="31" xr3:uid="{9A45F767-CB13-449C-921D-D268272EAF8D}" name="Nilai Kepuasan Dimensi Kualitas Sarana dan Prasarana" dataDxfId="19"/>
    <tableColumn id="32" xr3:uid="{FEE51FA2-478E-44FD-A071-5D971C670E35}" name="Nilai Kepentingan Dimensi Kualitas Sarana dan Prasarana" dataDxfId="18"/>
    <tableColumn id="58" xr3:uid="{18C1232A-8FD2-499B-A6D0-37E3820C21FA}" name="Gap Dimensi Kualitas Sarana dan Prasarana" dataDxfId="17">
      <calculatedColumnFormula>data[[#This Row],[Nilai Kepentingan Dimensi Kualitas Sarana dan Prasarana]]-data[[#This Row],[Nilai Kepuasan Dimensi Kualitas Sarana dan Prasarana]]</calculatedColumnFormula>
    </tableColumn>
    <tableColumn id="33" xr3:uid="{2541F703-2B09-4FC8-BD3D-797FB34A28BD}" name="Konversi Media Sosial2" dataDxfId="16"/>
    <tableColumn id="34" xr3:uid="{2CE5915B-033A-4396-A2F3-31D3031DF2DA}" name="Koding Media Sosial" dataDxfId="15"/>
    <tableColumn id="35" xr3:uid="{0595D8B7-28B4-4F90-86C3-5F12C393DF21}" name="Konversi Website" dataDxfId="14"/>
    <tableColumn id="36" xr3:uid="{9226F52F-F0D0-48C7-85BB-FC6266157C7E}" name="Koding Website Polresta Sidoarjo" dataDxfId="13"/>
    <tableColumn id="37" xr3:uid="{A823CEFA-5E87-4D7D-BAF1-9548C95859C1}" name="Konversi Pegawai" dataDxfId="12"/>
    <tableColumn id="38" xr3:uid="{D3E2FCCE-800E-4055-B906-4CDCF651E61C}" name="Koding Pegawai Polresta Sidoarjo" dataDxfId="11"/>
    <tableColumn id="39" xr3:uid="{27526E84-AFCA-4D47-A4D6-34296FA35B90}" name="Lainnya" dataDxfId="10"/>
    <tableColumn id="40" xr3:uid="{96A73385-B30A-4719-BEF1-2C46F9083B02}" name="Koding Lainnya" dataDxfId="9"/>
    <tableColumn id="41" xr3:uid="{0F138972-9210-45DB-B777-EABE7B9A557E}" name="Column 50" dataDxfId="8"/>
    <tableColumn id="42" xr3:uid="{F3D0251B-37CA-4D07-9387-37A6FE6202DA}" name="Konversi Lainnya" dataDxfId="7"/>
    <tableColumn id="43" xr3:uid="{81868D55-F6EE-4611-875C-75BA0E9234A2}" name="People(Contoh: perilaku dan kompetensi petugas dalam melayani, dll)" dataDxfId="6"/>
    <tableColumn id="44" xr3:uid="{B1B769BA-3B70-40D8-ABBB-F17C16F26533}" name="Koding People" dataDxfId="5"/>
    <tableColumn id="45" xr3:uid="{5B7C29CE-3164-4BA0-ABA7-E76A64B04FE7}" name="Process(Contoh: Kemudahan dan waktu pelayanan, dll)" dataDxfId="4"/>
    <tableColumn id="46" xr3:uid="{C9E91107-6F40-4781-AA2B-A54A974CC597}" name="Koding Process" dataDxfId="3"/>
    <tableColumn id="47" xr3:uid="{B68AFD1B-A306-4C8C-A59E-0167EEE30E82}" name="Physical Evidence(Contoh: Ruangan pelayanan, dll)" dataDxfId="2"/>
    <tableColumn id="48" xr3:uid="{21C16855-C0AB-4787-836D-B626D7AFD0D8}" name="Koding Physical Evidence" dataDxfId="1"/>
    <tableColumn id="49" xr3:uid="{F2053D46-6660-4A09-AB68-4EAF401BB8C8}" name="Lainnya jika ada…" dataDxfId="0"/>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ctrlProp" Target="../ctrlProps/ctrlProp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trlProp" Target="../ctrlProps/ctrlProp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1.xml"/><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E9CB-9FE0-4452-9AA9-777E42E779B3}">
  <dimension ref="A1:BG402"/>
  <sheetViews>
    <sheetView topLeftCell="Q1" workbookViewId="0">
      <selection activeCell="X1" sqref="X1"/>
    </sheetView>
  </sheetViews>
  <sheetFormatPr defaultRowHeight="14.5" x14ac:dyDescent="0.35"/>
  <sheetData>
    <row r="1" spans="1:5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2407</v>
      </c>
      <c r="Y1" s="2" t="s">
        <v>2408</v>
      </c>
      <c r="Z1" s="2" t="s">
        <v>2409</v>
      </c>
      <c r="AA1" s="2" t="s">
        <v>2410</v>
      </c>
      <c r="AB1" s="2" t="s">
        <v>2411</v>
      </c>
      <c r="AC1" s="2" t="s">
        <v>2412</v>
      </c>
      <c r="AD1" s="2" t="s">
        <v>2413</v>
      </c>
      <c r="AE1" s="2" t="s">
        <v>2414</v>
      </c>
      <c r="AF1" s="2" t="s">
        <v>2415</v>
      </c>
      <c r="AG1" s="2" t="s">
        <v>2416</v>
      </c>
      <c r="AH1" s="2" t="s">
        <v>2417</v>
      </c>
      <c r="AI1" s="2" t="s">
        <v>2418</v>
      </c>
      <c r="AJ1" s="2" t="s">
        <v>2419</v>
      </c>
      <c r="AK1" s="2" t="s">
        <v>2420</v>
      </c>
      <c r="AL1" s="2" t="s">
        <v>2421</v>
      </c>
      <c r="AM1" s="2" t="s">
        <v>2422</v>
      </c>
      <c r="AN1" s="2" t="s">
        <v>2423</v>
      </c>
      <c r="AO1" s="2" t="s">
        <v>2424</v>
      </c>
      <c r="AP1" s="2" t="s">
        <v>2425</v>
      </c>
      <c r="AQ1" s="2" t="s">
        <v>2426</v>
      </c>
      <c r="AR1" s="2" t="s">
        <v>2427</v>
      </c>
      <c r="AS1" s="2" t="s">
        <v>2428</v>
      </c>
      <c r="AT1" s="2" t="s">
        <v>2429</v>
      </c>
      <c r="AU1" s="2" t="s">
        <v>2430</v>
      </c>
      <c r="AV1" s="2" t="s">
        <v>2431</v>
      </c>
      <c r="AW1" s="2" t="s">
        <v>2432</v>
      </c>
      <c r="AX1" s="2" t="s">
        <v>2433</v>
      </c>
      <c r="AY1" s="2" t="s">
        <v>41</v>
      </c>
      <c r="AZ1" s="2" t="s">
        <v>44</v>
      </c>
      <c r="BA1" s="2" t="s">
        <v>47</v>
      </c>
      <c r="BB1" s="2" t="s">
        <v>50</v>
      </c>
      <c r="BC1" s="2" t="s">
        <v>52</v>
      </c>
      <c r="BD1" s="2" t="s">
        <v>54</v>
      </c>
      <c r="BE1" s="2" t="s">
        <v>56</v>
      </c>
      <c r="BF1" s="2" t="s">
        <v>58</v>
      </c>
      <c r="BG1" s="2" t="s">
        <v>60</v>
      </c>
    </row>
    <row r="2" spans="1:59" x14ac:dyDescent="0.35">
      <c r="A2" s="1">
        <v>1</v>
      </c>
      <c r="B2" s="1">
        <v>45838.676226851851</v>
      </c>
      <c r="C2" s="1" t="s">
        <v>61</v>
      </c>
      <c r="D2" s="1" t="s">
        <v>62</v>
      </c>
      <c r="E2" s="1" t="s">
        <v>63</v>
      </c>
      <c r="F2" s="1" t="s">
        <v>63</v>
      </c>
      <c r="G2" s="1" t="s">
        <v>64</v>
      </c>
      <c r="H2" s="1" t="s">
        <v>65</v>
      </c>
      <c r="I2" s="1" t="s">
        <v>66</v>
      </c>
      <c r="J2" s="1" t="s">
        <v>67</v>
      </c>
      <c r="K2" s="1" t="s">
        <v>68</v>
      </c>
      <c r="L2" s="1" t="s">
        <v>69</v>
      </c>
      <c r="M2" s="1" t="s">
        <v>69</v>
      </c>
      <c r="N2" s="1" t="s">
        <v>69</v>
      </c>
      <c r="O2" s="1" t="s">
        <v>69</v>
      </c>
      <c r="P2" s="1" t="s">
        <v>70</v>
      </c>
      <c r="Q2" s="1" t="s">
        <v>71</v>
      </c>
      <c r="R2" s="1" t="s">
        <v>2434</v>
      </c>
      <c r="S2" s="1">
        <v>23</v>
      </c>
      <c r="T2" s="1" t="s">
        <v>72</v>
      </c>
      <c r="U2" s="1" t="s">
        <v>73</v>
      </c>
      <c r="V2" s="1" t="s">
        <v>74</v>
      </c>
      <c r="W2" s="1" t="s">
        <v>74</v>
      </c>
      <c r="X2" s="1">
        <v>5</v>
      </c>
      <c r="Y2" s="1">
        <v>5</v>
      </c>
      <c r="Z2" s="1" t="s">
        <v>83</v>
      </c>
      <c r="AA2" s="1">
        <v>5</v>
      </c>
      <c r="AB2" s="1">
        <v>5</v>
      </c>
      <c r="AC2" s="1" t="s">
        <v>83</v>
      </c>
      <c r="AD2" s="1">
        <v>5</v>
      </c>
      <c r="AE2" s="1">
        <v>5</v>
      </c>
      <c r="AF2" s="1" t="s">
        <v>83</v>
      </c>
      <c r="AG2" s="1">
        <v>6</v>
      </c>
      <c r="AH2" s="1">
        <v>6</v>
      </c>
      <c r="AI2" s="1" t="s">
        <v>83</v>
      </c>
      <c r="AJ2" s="1">
        <v>5</v>
      </c>
      <c r="AK2" s="1">
        <v>6</v>
      </c>
      <c r="AL2" s="1" t="s">
        <v>83</v>
      </c>
      <c r="AM2" s="1">
        <v>6</v>
      </c>
      <c r="AN2" s="1">
        <v>6</v>
      </c>
      <c r="AO2" s="1" t="s">
        <v>83</v>
      </c>
      <c r="AP2" s="1">
        <v>6</v>
      </c>
      <c r="AQ2" s="1">
        <v>6</v>
      </c>
      <c r="AR2" s="1" t="s">
        <v>83</v>
      </c>
      <c r="AS2" s="1">
        <v>5</v>
      </c>
      <c r="AT2" s="1">
        <v>5</v>
      </c>
      <c r="AU2" s="1" t="s">
        <v>83</v>
      </c>
      <c r="AV2" s="1">
        <v>5</v>
      </c>
      <c r="AW2" s="1">
        <v>5</v>
      </c>
      <c r="AX2" s="1" t="s">
        <v>83</v>
      </c>
      <c r="AY2" s="1">
        <v>2</v>
      </c>
      <c r="AZ2" s="1">
        <v>3</v>
      </c>
      <c r="BA2" s="1">
        <v>3</v>
      </c>
      <c r="BB2" s="1" t="s">
        <v>76</v>
      </c>
      <c r="BC2" s="1">
        <v>2</v>
      </c>
      <c r="BD2" s="1" t="s">
        <v>78</v>
      </c>
      <c r="BE2" s="1" t="s">
        <v>80</v>
      </c>
      <c r="BF2" s="1" t="s">
        <v>82</v>
      </c>
      <c r="BG2" s="1" t="s">
        <v>83</v>
      </c>
    </row>
    <row r="3" spans="1:59" x14ac:dyDescent="0.35">
      <c r="A3" s="1">
        <v>2</v>
      </c>
      <c r="B3" s="1">
        <v>45838.787037037036</v>
      </c>
      <c r="C3" s="1" t="s">
        <v>84</v>
      </c>
      <c r="D3" s="1" t="s">
        <v>85</v>
      </c>
      <c r="E3" s="1" t="s">
        <v>63</v>
      </c>
      <c r="F3" s="1" t="s">
        <v>86</v>
      </c>
      <c r="G3" s="1" t="s">
        <v>87</v>
      </c>
      <c r="H3" s="1" t="s">
        <v>88</v>
      </c>
      <c r="I3" s="1" t="s">
        <v>89</v>
      </c>
      <c r="J3" s="1" t="s">
        <v>67</v>
      </c>
      <c r="K3" s="1" t="s">
        <v>90</v>
      </c>
      <c r="L3" s="1" t="s">
        <v>69</v>
      </c>
      <c r="M3" s="1" t="s">
        <v>69</v>
      </c>
      <c r="N3" s="1" t="s">
        <v>69</v>
      </c>
      <c r="O3" s="1" t="s">
        <v>69</v>
      </c>
      <c r="P3" s="1" t="s">
        <v>70</v>
      </c>
      <c r="Q3" s="1" t="s">
        <v>71</v>
      </c>
      <c r="R3" s="1" t="s">
        <v>91</v>
      </c>
      <c r="S3" s="1">
        <v>27</v>
      </c>
      <c r="T3" s="1" t="s">
        <v>92</v>
      </c>
      <c r="U3" s="1" t="s">
        <v>93</v>
      </c>
      <c r="V3" s="1" t="s">
        <v>94</v>
      </c>
      <c r="W3" s="1" t="s">
        <v>95</v>
      </c>
      <c r="X3" s="1">
        <v>5</v>
      </c>
      <c r="Y3" s="1">
        <v>5</v>
      </c>
      <c r="Z3" s="1" t="s">
        <v>83</v>
      </c>
      <c r="AA3" s="1">
        <v>6</v>
      </c>
      <c r="AB3" s="1">
        <v>5</v>
      </c>
      <c r="AC3" s="1" t="s">
        <v>83</v>
      </c>
      <c r="AD3" s="1">
        <v>5</v>
      </c>
      <c r="AE3" s="1">
        <v>6</v>
      </c>
      <c r="AF3" s="1" t="s">
        <v>83</v>
      </c>
      <c r="AG3" s="1">
        <v>6</v>
      </c>
      <c r="AH3" s="1">
        <v>6</v>
      </c>
      <c r="AI3" s="1" t="s">
        <v>83</v>
      </c>
      <c r="AJ3" s="1">
        <v>6</v>
      </c>
      <c r="AK3" s="1">
        <v>6</v>
      </c>
      <c r="AL3" s="1" t="s">
        <v>83</v>
      </c>
      <c r="AM3" s="1">
        <v>5</v>
      </c>
      <c r="AN3" s="1">
        <v>6</v>
      </c>
      <c r="AO3" s="1" t="s">
        <v>83</v>
      </c>
      <c r="AP3" s="1">
        <v>6</v>
      </c>
      <c r="AQ3" s="1">
        <v>5</v>
      </c>
      <c r="AR3" s="1" t="s">
        <v>83</v>
      </c>
      <c r="AS3" s="1">
        <v>6</v>
      </c>
      <c r="AT3" s="1">
        <v>6</v>
      </c>
      <c r="AU3" s="1" t="s">
        <v>83</v>
      </c>
      <c r="AV3" s="1">
        <v>6</v>
      </c>
      <c r="AW3" s="1">
        <v>6</v>
      </c>
      <c r="AX3" s="1" t="s">
        <v>83</v>
      </c>
      <c r="AY3" s="1">
        <v>2</v>
      </c>
      <c r="AZ3" s="1">
        <v>0</v>
      </c>
      <c r="BA3" s="1">
        <v>0</v>
      </c>
      <c r="BB3" s="1" t="s">
        <v>83</v>
      </c>
      <c r="BC3" s="1">
        <v>0</v>
      </c>
      <c r="BD3" s="1" t="s">
        <v>97</v>
      </c>
      <c r="BE3" s="1" t="s">
        <v>98</v>
      </c>
      <c r="BF3" s="1" t="s">
        <v>98</v>
      </c>
      <c r="BG3" s="1" t="s">
        <v>98</v>
      </c>
    </row>
    <row r="4" spans="1:59" x14ac:dyDescent="0.35">
      <c r="A4" s="1">
        <v>3</v>
      </c>
      <c r="B4" s="1">
        <v>45838.866041666668</v>
      </c>
      <c r="C4" s="1" t="s">
        <v>100</v>
      </c>
      <c r="D4" s="1" t="s">
        <v>101</v>
      </c>
      <c r="E4" s="1" t="s">
        <v>63</v>
      </c>
      <c r="F4" s="1" t="s">
        <v>63</v>
      </c>
      <c r="G4" s="1" t="s">
        <v>102</v>
      </c>
      <c r="H4" s="1" t="s">
        <v>103</v>
      </c>
      <c r="I4" s="1" t="s">
        <v>104</v>
      </c>
      <c r="J4" s="1" t="s">
        <v>67</v>
      </c>
      <c r="K4" s="1" t="s">
        <v>105</v>
      </c>
      <c r="L4" s="1" t="s">
        <v>69</v>
      </c>
      <c r="M4" s="1" t="s">
        <v>69</v>
      </c>
      <c r="N4" s="1" t="s">
        <v>69</v>
      </c>
      <c r="O4" s="1" t="s">
        <v>69</v>
      </c>
      <c r="P4" s="1" t="s">
        <v>106</v>
      </c>
      <c r="Q4" s="1" t="s">
        <v>107</v>
      </c>
      <c r="R4" s="1" t="s">
        <v>108</v>
      </c>
      <c r="S4" s="1">
        <v>32</v>
      </c>
      <c r="T4" s="1" t="s">
        <v>109</v>
      </c>
      <c r="U4" s="1" t="s">
        <v>73</v>
      </c>
      <c r="V4" s="1" t="s">
        <v>110</v>
      </c>
      <c r="W4" s="1" t="s">
        <v>110</v>
      </c>
      <c r="X4" s="1">
        <v>6</v>
      </c>
      <c r="Y4" s="1">
        <v>6</v>
      </c>
      <c r="Z4" s="1" t="s">
        <v>83</v>
      </c>
      <c r="AA4" s="1">
        <v>6</v>
      </c>
      <c r="AB4" s="1">
        <v>6</v>
      </c>
      <c r="AC4" s="1" t="s">
        <v>83</v>
      </c>
      <c r="AD4" s="1">
        <v>6</v>
      </c>
      <c r="AE4" s="1">
        <v>6</v>
      </c>
      <c r="AF4" s="1" t="s">
        <v>83</v>
      </c>
      <c r="AG4" s="1">
        <v>6</v>
      </c>
      <c r="AH4" s="1">
        <v>6</v>
      </c>
      <c r="AI4" s="1" t="s">
        <v>83</v>
      </c>
      <c r="AJ4" s="1">
        <v>6</v>
      </c>
      <c r="AK4" s="1">
        <v>6</v>
      </c>
      <c r="AL4" s="1" t="s">
        <v>83</v>
      </c>
      <c r="AM4" s="1">
        <v>6</v>
      </c>
      <c r="AN4" s="1">
        <v>6</v>
      </c>
      <c r="AO4" s="1" t="s">
        <v>83</v>
      </c>
      <c r="AP4" s="1">
        <v>6</v>
      </c>
      <c r="AQ4" s="1">
        <v>6</v>
      </c>
      <c r="AR4" s="1" t="s">
        <v>83</v>
      </c>
      <c r="AS4" s="1">
        <v>6</v>
      </c>
      <c r="AT4" s="1">
        <v>6</v>
      </c>
      <c r="AU4" s="1" t="s">
        <v>83</v>
      </c>
      <c r="AV4" s="1">
        <v>6</v>
      </c>
      <c r="AW4" s="1">
        <v>6</v>
      </c>
      <c r="AX4" s="1" t="s">
        <v>83</v>
      </c>
      <c r="AY4" s="1">
        <v>4</v>
      </c>
      <c r="AZ4" s="1">
        <v>0</v>
      </c>
      <c r="BA4" s="1">
        <v>0</v>
      </c>
      <c r="BB4" s="1" t="s">
        <v>83</v>
      </c>
      <c r="BC4" s="1">
        <v>0</v>
      </c>
      <c r="BD4" s="1" t="s">
        <v>111</v>
      </c>
      <c r="BE4" s="1" t="s">
        <v>113</v>
      </c>
      <c r="BF4" s="1" t="s">
        <v>114</v>
      </c>
      <c r="BG4" s="1" t="s">
        <v>83</v>
      </c>
    </row>
    <row r="5" spans="1:59" x14ac:dyDescent="0.35">
      <c r="A5" s="1">
        <v>4</v>
      </c>
      <c r="B5" s="1">
        <v>45838.794351851851</v>
      </c>
      <c r="C5" s="1" t="s">
        <v>115</v>
      </c>
      <c r="D5" s="1" t="s">
        <v>116</v>
      </c>
      <c r="E5" s="1" t="s">
        <v>63</v>
      </c>
      <c r="F5" s="1" t="s">
        <v>63</v>
      </c>
      <c r="G5" s="1" t="s">
        <v>117</v>
      </c>
      <c r="H5" s="1" t="s">
        <v>65</v>
      </c>
      <c r="I5" s="1" t="s">
        <v>66</v>
      </c>
      <c r="J5" s="1" t="s">
        <v>67</v>
      </c>
      <c r="K5" s="1" t="s">
        <v>118</v>
      </c>
      <c r="L5" s="1" t="s">
        <v>69</v>
      </c>
      <c r="M5" s="1" t="s">
        <v>69</v>
      </c>
      <c r="N5" s="1" t="s">
        <v>69</v>
      </c>
      <c r="O5" s="1" t="s">
        <v>69</v>
      </c>
      <c r="P5" s="1" t="s">
        <v>106</v>
      </c>
      <c r="Q5" s="1" t="s">
        <v>71</v>
      </c>
      <c r="R5" s="1" t="s">
        <v>2435</v>
      </c>
      <c r="S5" s="1">
        <v>27</v>
      </c>
      <c r="T5" s="1" t="s">
        <v>92</v>
      </c>
      <c r="U5" s="1" t="s">
        <v>73</v>
      </c>
      <c r="V5" s="1" t="s">
        <v>74</v>
      </c>
      <c r="W5" s="1" t="s">
        <v>74</v>
      </c>
      <c r="X5" s="1">
        <v>6</v>
      </c>
      <c r="Y5" s="1">
        <v>6</v>
      </c>
      <c r="Z5" s="1" t="s">
        <v>83</v>
      </c>
      <c r="AA5" s="1">
        <v>6</v>
      </c>
      <c r="AB5" s="1">
        <v>6</v>
      </c>
      <c r="AC5" s="1" t="s">
        <v>83</v>
      </c>
      <c r="AD5" s="1">
        <v>6</v>
      </c>
      <c r="AE5" s="1">
        <v>6</v>
      </c>
      <c r="AF5" s="1" t="s">
        <v>83</v>
      </c>
      <c r="AG5" s="1">
        <v>6</v>
      </c>
      <c r="AH5" s="1">
        <v>6</v>
      </c>
      <c r="AI5" s="1" t="s">
        <v>83</v>
      </c>
      <c r="AJ5" s="1">
        <v>6</v>
      </c>
      <c r="AK5" s="1">
        <v>6</v>
      </c>
      <c r="AL5" s="1" t="s">
        <v>83</v>
      </c>
      <c r="AM5" s="1">
        <v>6</v>
      </c>
      <c r="AN5" s="1">
        <v>6</v>
      </c>
      <c r="AO5" s="1" t="s">
        <v>83</v>
      </c>
      <c r="AP5" s="1">
        <v>6</v>
      </c>
      <c r="AQ5" s="1">
        <v>6</v>
      </c>
      <c r="AR5" s="1" t="s">
        <v>83</v>
      </c>
      <c r="AS5" s="1">
        <v>5</v>
      </c>
      <c r="AT5" s="1">
        <v>5</v>
      </c>
      <c r="AU5" s="1" t="s">
        <v>83</v>
      </c>
      <c r="AV5" s="1">
        <v>5</v>
      </c>
      <c r="AW5" s="1">
        <v>5</v>
      </c>
      <c r="AX5" s="1" t="s">
        <v>83</v>
      </c>
      <c r="AY5" s="1">
        <v>1</v>
      </c>
      <c r="AZ5" s="1">
        <v>0</v>
      </c>
      <c r="BA5" s="1">
        <v>0</v>
      </c>
      <c r="BB5" s="1" t="s">
        <v>83</v>
      </c>
      <c r="BC5" s="1">
        <v>0</v>
      </c>
      <c r="BD5" s="1" t="s">
        <v>119</v>
      </c>
      <c r="BE5" s="1" t="s">
        <v>120</v>
      </c>
      <c r="BF5" s="1" t="s">
        <v>121</v>
      </c>
      <c r="BG5" s="1" t="s">
        <v>122</v>
      </c>
    </row>
    <row r="6" spans="1:59" x14ac:dyDescent="0.35">
      <c r="A6" s="1">
        <v>5</v>
      </c>
      <c r="B6" s="1">
        <v>45838.798807870371</v>
      </c>
      <c r="C6" s="1" t="s">
        <v>123</v>
      </c>
      <c r="D6" s="1" t="s">
        <v>124</v>
      </c>
      <c r="E6" s="1" t="s">
        <v>63</v>
      </c>
      <c r="F6" s="1" t="s">
        <v>125</v>
      </c>
      <c r="G6" s="1" t="s">
        <v>126</v>
      </c>
      <c r="H6" s="1" t="s">
        <v>127</v>
      </c>
      <c r="I6" s="1" t="s">
        <v>128</v>
      </c>
      <c r="J6" s="1" t="s">
        <v>67</v>
      </c>
      <c r="K6" s="1" t="s">
        <v>129</v>
      </c>
      <c r="L6" s="1" t="s">
        <v>69</v>
      </c>
      <c r="M6" s="1" t="s">
        <v>69</v>
      </c>
      <c r="N6" s="1" t="s">
        <v>69</v>
      </c>
      <c r="O6" s="1" t="s">
        <v>69</v>
      </c>
      <c r="P6" s="1" t="s">
        <v>106</v>
      </c>
      <c r="Q6" s="1" t="s">
        <v>71</v>
      </c>
      <c r="R6" s="1" t="s">
        <v>130</v>
      </c>
      <c r="S6" s="1">
        <v>18</v>
      </c>
      <c r="T6" s="1" t="s">
        <v>131</v>
      </c>
      <c r="U6" s="1" t="s">
        <v>73</v>
      </c>
      <c r="V6" s="1" t="s">
        <v>132</v>
      </c>
      <c r="W6" s="1" t="s">
        <v>133</v>
      </c>
      <c r="X6" s="1">
        <v>5</v>
      </c>
      <c r="Y6" s="1">
        <v>5</v>
      </c>
      <c r="Z6" s="1" t="s">
        <v>83</v>
      </c>
      <c r="AA6" s="1">
        <v>6</v>
      </c>
      <c r="AB6" s="1">
        <v>6</v>
      </c>
      <c r="AC6" s="1" t="s">
        <v>83</v>
      </c>
      <c r="AD6" s="1">
        <v>5</v>
      </c>
      <c r="AE6" s="1">
        <v>5</v>
      </c>
      <c r="AF6" s="1" t="s">
        <v>83</v>
      </c>
      <c r="AG6" s="1">
        <v>6</v>
      </c>
      <c r="AH6" s="1">
        <v>6</v>
      </c>
      <c r="AI6" s="1" t="s">
        <v>83</v>
      </c>
      <c r="AJ6" s="1">
        <v>6</v>
      </c>
      <c r="AK6" s="1">
        <v>6</v>
      </c>
      <c r="AL6" s="1" t="s">
        <v>83</v>
      </c>
      <c r="AM6" s="1">
        <v>5</v>
      </c>
      <c r="AN6" s="1">
        <v>6</v>
      </c>
      <c r="AO6" s="1" t="s">
        <v>83</v>
      </c>
      <c r="AP6" s="1">
        <v>6</v>
      </c>
      <c r="AQ6" s="1">
        <v>6</v>
      </c>
      <c r="AR6" s="1" t="s">
        <v>83</v>
      </c>
      <c r="AS6" s="1">
        <v>6</v>
      </c>
      <c r="AT6" s="1">
        <v>6</v>
      </c>
      <c r="AU6" s="1" t="s">
        <v>83</v>
      </c>
      <c r="AV6" s="1">
        <v>5</v>
      </c>
      <c r="AW6" s="1">
        <v>5</v>
      </c>
      <c r="AX6" s="1" t="s">
        <v>83</v>
      </c>
      <c r="AY6" s="1">
        <v>2</v>
      </c>
      <c r="AZ6" s="1">
        <v>0</v>
      </c>
      <c r="BA6" s="1">
        <v>0</v>
      </c>
      <c r="BB6" s="1" t="s">
        <v>83</v>
      </c>
      <c r="BC6" s="1">
        <v>0</v>
      </c>
      <c r="BD6" s="1" t="s">
        <v>98</v>
      </c>
      <c r="BE6" s="1" t="s">
        <v>98</v>
      </c>
      <c r="BF6" s="1" t="s">
        <v>98</v>
      </c>
      <c r="BG6" s="1" t="s">
        <v>98</v>
      </c>
    </row>
    <row r="7" spans="1:59" x14ac:dyDescent="0.35">
      <c r="A7" s="1">
        <v>6</v>
      </c>
      <c r="B7" s="1">
        <v>45838.799513888887</v>
      </c>
      <c r="C7" s="1" t="s">
        <v>134</v>
      </c>
      <c r="D7" s="1" t="s">
        <v>135</v>
      </c>
      <c r="E7" s="1" t="s">
        <v>63</v>
      </c>
      <c r="F7" s="1" t="s">
        <v>136</v>
      </c>
      <c r="G7" s="1" t="s">
        <v>137</v>
      </c>
      <c r="H7" s="1" t="s">
        <v>138</v>
      </c>
      <c r="I7" s="1" t="s">
        <v>139</v>
      </c>
      <c r="J7" s="1" t="s">
        <v>140</v>
      </c>
      <c r="K7" s="1" t="s">
        <v>141</v>
      </c>
      <c r="L7" s="1" t="s">
        <v>69</v>
      </c>
      <c r="M7" s="1" t="s">
        <v>69</v>
      </c>
      <c r="N7" s="1" t="s">
        <v>69</v>
      </c>
      <c r="O7" s="1" t="s">
        <v>69</v>
      </c>
      <c r="P7" s="1" t="s">
        <v>70</v>
      </c>
      <c r="Q7" s="1" t="s">
        <v>71</v>
      </c>
      <c r="R7" s="1" t="s">
        <v>2436</v>
      </c>
      <c r="S7" s="1">
        <v>24</v>
      </c>
      <c r="T7" s="1" t="s">
        <v>72</v>
      </c>
      <c r="U7" s="1" t="s">
        <v>93</v>
      </c>
      <c r="V7" s="1" t="s">
        <v>142</v>
      </c>
      <c r="W7" s="1" t="s">
        <v>143</v>
      </c>
      <c r="X7" s="1">
        <v>6</v>
      </c>
      <c r="Y7" s="1">
        <v>6</v>
      </c>
      <c r="Z7" s="1" t="s">
        <v>83</v>
      </c>
      <c r="AA7" s="1">
        <v>6</v>
      </c>
      <c r="AB7" s="1">
        <v>5</v>
      </c>
      <c r="AC7" s="1" t="s">
        <v>83</v>
      </c>
      <c r="AD7" s="1">
        <v>6</v>
      </c>
      <c r="AE7" s="1">
        <v>6</v>
      </c>
      <c r="AF7" s="1" t="s">
        <v>83</v>
      </c>
      <c r="AG7" s="1">
        <v>6</v>
      </c>
      <c r="AH7" s="1">
        <v>6</v>
      </c>
      <c r="AI7" s="1" t="s">
        <v>83</v>
      </c>
      <c r="AJ7" s="1">
        <v>6</v>
      </c>
      <c r="AK7" s="1">
        <v>6</v>
      </c>
      <c r="AL7" s="1" t="s">
        <v>83</v>
      </c>
      <c r="AM7" s="1">
        <v>6</v>
      </c>
      <c r="AN7" s="1">
        <v>6</v>
      </c>
      <c r="AO7" s="1" t="s">
        <v>83</v>
      </c>
      <c r="AP7" s="1">
        <v>6</v>
      </c>
      <c r="AQ7" s="1">
        <v>6</v>
      </c>
      <c r="AR7" s="1" t="s">
        <v>83</v>
      </c>
      <c r="AS7" s="1">
        <v>6</v>
      </c>
      <c r="AT7" s="1">
        <v>6</v>
      </c>
      <c r="AU7" s="1" t="s">
        <v>83</v>
      </c>
      <c r="AV7" s="1">
        <v>5</v>
      </c>
      <c r="AW7" s="1">
        <v>5</v>
      </c>
      <c r="AX7" s="1" t="s">
        <v>83</v>
      </c>
      <c r="AY7" s="1">
        <v>0</v>
      </c>
      <c r="AZ7" s="1">
        <v>0</v>
      </c>
      <c r="BA7" s="1">
        <v>0</v>
      </c>
      <c r="BB7" s="1" t="s">
        <v>144</v>
      </c>
      <c r="BC7" s="1">
        <v>1</v>
      </c>
      <c r="BD7" s="1" t="s">
        <v>98</v>
      </c>
      <c r="BE7" s="1" t="s">
        <v>98</v>
      </c>
      <c r="BF7" s="1" t="s">
        <v>145</v>
      </c>
      <c r="BG7" s="1" t="s">
        <v>98</v>
      </c>
    </row>
    <row r="8" spans="1:59" x14ac:dyDescent="0.35">
      <c r="A8" s="1">
        <v>7</v>
      </c>
      <c r="B8" s="1">
        <v>45838.803831018522</v>
      </c>
      <c r="C8" s="1" t="s">
        <v>147</v>
      </c>
      <c r="D8" s="1" t="s">
        <v>148</v>
      </c>
      <c r="E8" s="1" t="s">
        <v>63</v>
      </c>
      <c r="F8" s="1" t="s">
        <v>149</v>
      </c>
      <c r="G8" s="1" t="s">
        <v>150</v>
      </c>
      <c r="H8" s="1" t="s">
        <v>65</v>
      </c>
      <c r="I8" s="1" t="s">
        <v>66</v>
      </c>
      <c r="J8" s="1" t="s">
        <v>151</v>
      </c>
      <c r="K8" s="1" t="s">
        <v>152</v>
      </c>
      <c r="L8" s="1" t="s">
        <v>69</v>
      </c>
      <c r="M8" s="1" t="s">
        <v>69</v>
      </c>
      <c r="N8" s="1" t="s">
        <v>69</v>
      </c>
      <c r="O8" s="1" t="s">
        <v>69</v>
      </c>
      <c r="P8" s="1" t="s">
        <v>70</v>
      </c>
      <c r="Q8" s="1" t="s">
        <v>107</v>
      </c>
      <c r="R8" s="1" t="s">
        <v>2437</v>
      </c>
      <c r="S8" s="1">
        <v>37</v>
      </c>
      <c r="T8" s="1" t="s">
        <v>153</v>
      </c>
      <c r="U8" s="1" t="s">
        <v>93</v>
      </c>
      <c r="V8" s="1" t="s">
        <v>154</v>
      </c>
      <c r="W8" s="1" t="s">
        <v>154</v>
      </c>
      <c r="X8" s="1">
        <v>6</v>
      </c>
      <c r="Y8" s="1">
        <v>5</v>
      </c>
      <c r="Z8" s="1" t="s">
        <v>83</v>
      </c>
      <c r="AA8" s="1">
        <v>6</v>
      </c>
      <c r="AB8" s="1">
        <v>6</v>
      </c>
      <c r="AC8" s="1" t="s">
        <v>83</v>
      </c>
      <c r="AD8" s="1">
        <v>6</v>
      </c>
      <c r="AE8" s="1">
        <v>6</v>
      </c>
      <c r="AF8" s="1" t="s">
        <v>83</v>
      </c>
      <c r="AG8" s="1">
        <v>6</v>
      </c>
      <c r="AH8" s="1">
        <v>6</v>
      </c>
      <c r="AI8" s="1" t="s">
        <v>83</v>
      </c>
      <c r="AJ8" s="1">
        <v>5</v>
      </c>
      <c r="AK8" s="1">
        <v>5</v>
      </c>
      <c r="AL8" s="1" t="s">
        <v>83</v>
      </c>
      <c r="AM8" s="1">
        <v>5</v>
      </c>
      <c r="AN8" s="1">
        <v>5</v>
      </c>
      <c r="AO8" s="1" t="s">
        <v>83</v>
      </c>
      <c r="AP8" s="1">
        <v>5</v>
      </c>
      <c r="AQ8" s="1">
        <v>5</v>
      </c>
      <c r="AR8" s="1" t="s">
        <v>83</v>
      </c>
      <c r="AS8" s="1">
        <v>5</v>
      </c>
      <c r="AT8" s="1">
        <v>5</v>
      </c>
      <c r="AU8" s="1" t="s">
        <v>83</v>
      </c>
      <c r="AV8" s="1">
        <v>5</v>
      </c>
      <c r="AW8" s="1">
        <v>6</v>
      </c>
      <c r="AX8" s="1" t="s">
        <v>83</v>
      </c>
      <c r="AY8" s="1">
        <v>2</v>
      </c>
      <c r="AZ8" s="1">
        <v>2</v>
      </c>
      <c r="BA8" s="1">
        <v>0</v>
      </c>
      <c r="BB8" s="1" t="s">
        <v>83</v>
      </c>
      <c r="BC8" s="1">
        <v>0</v>
      </c>
      <c r="BD8" s="1" t="s">
        <v>155</v>
      </c>
      <c r="BE8" s="1" t="s">
        <v>156</v>
      </c>
      <c r="BF8" s="1" t="s">
        <v>158</v>
      </c>
      <c r="BG8" s="1" t="s">
        <v>159</v>
      </c>
    </row>
    <row r="9" spans="1:59" x14ac:dyDescent="0.35">
      <c r="A9" s="1">
        <v>8</v>
      </c>
      <c r="B9" s="1">
        <v>45838.804560185185</v>
      </c>
      <c r="C9" s="1" t="s">
        <v>160</v>
      </c>
      <c r="D9" s="1" t="s">
        <v>161</v>
      </c>
      <c r="E9" s="1" t="s">
        <v>63</v>
      </c>
      <c r="F9" s="1" t="s">
        <v>136</v>
      </c>
      <c r="G9" s="1" t="s">
        <v>162</v>
      </c>
      <c r="H9" s="1" t="s">
        <v>138</v>
      </c>
      <c r="I9" s="1" t="s">
        <v>139</v>
      </c>
      <c r="J9" s="1" t="s">
        <v>163</v>
      </c>
      <c r="K9" s="1" t="s">
        <v>164</v>
      </c>
      <c r="L9" s="1" t="s">
        <v>69</v>
      </c>
      <c r="M9" s="1" t="s">
        <v>69</v>
      </c>
      <c r="N9" s="1" t="s">
        <v>69</v>
      </c>
      <c r="O9" s="1" t="s">
        <v>69</v>
      </c>
      <c r="P9" s="1" t="s">
        <v>70</v>
      </c>
      <c r="Q9" s="1" t="s">
        <v>71</v>
      </c>
      <c r="R9" s="1" t="s">
        <v>2438</v>
      </c>
      <c r="S9" s="1">
        <v>18</v>
      </c>
      <c r="T9" s="1" t="s">
        <v>131</v>
      </c>
      <c r="U9" s="1" t="s">
        <v>73</v>
      </c>
      <c r="V9" s="1" t="s">
        <v>165</v>
      </c>
      <c r="W9" s="1" t="s">
        <v>133</v>
      </c>
      <c r="X9" s="1">
        <v>6</v>
      </c>
      <c r="Y9" s="1">
        <v>6</v>
      </c>
      <c r="Z9" s="1" t="s">
        <v>83</v>
      </c>
      <c r="AA9" s="1">
        <v>6</v>
      </c>
      <c r="AB9" s="1">
        <v>6</v>
      </c>
      <c r="AC9" s="1" t="s">
        <v>83</v>
      </c>
      <c r="AD9" s="1">
        <v>6</v>
      </c>
      <c r="AE9" s="1">
        <v>6</v>
      </c>
      <c r="AF9" s="1" t="s">
        <v>83</v>
      </c>
      <c r="AG9" s="1">
        <v>6</v>
      </c>
      <c r="AH9" s="1">
        <v>6</v>
      </c>
      <c r="AI9" s="1" t="s">
        <v>83</v>
      </c>
      <c r="AJ9" s="1">
        <v>6</v>
      </c>
      <c r="AK9" s="1">
        <v>6</v>
      </c>
      <c r="AL9" s="1" t="s">
        <v>83</v>
      </c>
      <c r="AM9" s="1">
        <v>6</v>
      </c>
      <c r="AN9" s="1">
        <v>6</v>
      </c>
      <c r="AO9" s="1" t="s">
        <v>83</v>
      </c>
      <c r="AP9" s="1">
        <v>6</v>
      </c>
      <c r="AQ9" s="1">
        <v>6</v>
      </c>
      <c r="AR9" s="1" t="s">
        <v>83</v>
      </c>
      <c r="AS9" s="1">
        <v>6</v>
      </c>
      <c r="AT9" s="1">
        <v>6</v>
      </c>
      <c r="AU9" s="1" t="s">
        <v>83</v>
      </c>
      <c r="AV9" s="1">
        <v>6</v>
      </c>
      <c r="AW9" s="1">
        <v>6</v>
      </c>
      <c r="AX9" s="1" t="s">
        <v>83</v>
      </c>
      <c r="AY9" s="1">
        <v>0</v>
      </c>
      <c r="AZ9" s="1">
        <v>0</v>
      </c>
      <c r="BA9" s="1">
        <v>0</v>
      </c>
      <c r="BB9" s="1" t="s">
        <v>166</v>
      </c>
      <c r="BC9" s="1">
        <v>1</v>
      </c>
      <c r="BD9" s="1" t="s">
        <v>98</v>
      </c>
      <c r="BE9" s="1" t="s">
        <v>98</v>
      </c>
      <c r="BF9" s="1" t="s">
        <v>98</v>
      </c>
      <c r="BG9" s="1" t="s">
        <v>98</v>
      </c>
    </row>
    <row r="10" spans="1:59" x14ac:dyDescent="0.35">
      <c r="A10" s="1">
        <v>9</v>
      </c>
      <c r="B10" s="1">
        <v>45838.808287037034</v>
      </c>
      <c r="C10" s="1" t="s">
        <v>167</v>
      </c>
      <c r="D10" s="1" t="s">
        <v>168</v>
      </c>
      <c r="E10" s="1" t="s">
        <v>63</v>
      </c>
      <c r="F10" s="1" t="s">
        <v>63</v>
      </c>
      <c r="G10" s="1" t="s">
        <v>169</v>
      </c>
      <c r="H10" s="1" t="s">
        <v>88</v>
      </c>
      <c r="I10" s="1" t="s">
        <v>89</v>
      </c>
      <c r="J10" s="1" t="s">
        <v>170</v>
      </c>
      <c r="K10" s="1" t="s">
        <v>171</v>
      </c>
      <c r="L10" s="1" t="s">
        <v>69</v>
      </c>
      <c r="M10" s="1" t="s">
        <v>69</v>
      </c>
      <c r="N10" s="1" t="s">
        <v>69</v>
      </c>
      <c r="O10" s="1" t="s">
        <v>69</v>
      </c>
      <c r="P10" s="1" t="s">
        <v>70</v>
      </c>
      <c r="Q10" s="1" t="s">
        <v>71</v>
      </c>
      <c r="R10" s="1" t="s">
        <v>130</v>
      </c>
      <c r="S10" s="1">
        <v>18</v>
      </c>
      <c r="T10" s="1" t="s">
        <v>131</v>
      </c>
      <c r="U10" s="1" t="s">
        <v>73</v>
      </c>
      <c r="V10" s="1" t="s">
        <v>132</v>
      </c>
      <c r="W10" s="1" t="s">
        <v>133</v>
      </c>
      <c r="X10" s="1">
        <v>5</v>
      </c>
      <c r="Y10" s="1">
        <v>5</v>
      </c>
      <c r="Z10" s="1" t="s">
        <v>83</v>
      </c>
      <c r="AA10" s="1">
        <v>5</v>
      </c>
      <c r="AB10" s="1">
        <v>5</v>
      </c>
      <c r="AC10" s="1" t="s">
        <v>83</v>
      </c>
      <c r="AD10" s="1">
        <v>5</v>
      </c>
      <c r="AE10" s="1">
        <v>5</v>
      </c>
      <c r="AF10" s="1" t="s">
        <v>83</v>
      </c>
      <c r="AG10" s="1">
        <v>4</v>
      </c>
      <c r="AH10" s="1">
        <v>4</v>
      </c>
      <c r="AI10" s="1" t="s">
        <v>83</v>
      </c>
      <c r="AJ10" s="1">
        <v>5</v>
      </c>
      <c r="AK10" s="1">
        <v>5</v>
      </c>
      <c r="AL10" s="1" t="s">
        <v>83</v>
      </c>
      <c r="AM10" s="1">
        <v>5</v>
      </c>
      <c r="AN10" s="1">
        <v>5</v>
      </c>
      <c r="AO10" s="1" t="s">
        <v>83</v>
      </c>
      <c r="AP10" s="1">
        <v>6</v>
      </c>
      <c r="AQ10" s="1">
        <v>5</v>
      </c>
      <c r="AR10" s="1" t="s">
        <v>83</v>
      </c>
      <c r="AS10" s="1">
        <v>5</v>
      </c>
      <c r="AT10" s="1">
        <v>5</v>
      </c>
      <c r="AU10" s="1" t="s">
        <v>83</v>
      </c>
      <c r="AV10" s="1">
        <v>5</v>
      </c>
      <c r="AW10" s="1">
        <v>5</v>
      </c>
      <c r="AX10" s="1" t="s">
        <v>83</v>
      </c>
      <c r="AY10" s="1">
        <v>0</v>
      </c>
      <c r="AZ10" s="1">
        <v>0</v>
      </c>
      <c r="BA10" s="1">
        <v>0</v>
      </c>
      <c r="BB10" s="1" t="s">
        <v>172</v>
      </c>
      <c r="BC10" s="1">
        <v>2</v>
      </c>
      <c r="BD10" s="1" t="s">
        <v>98</v>
      </c>
      <c r="BE10" s="1" t="s">
        <v>98</v>
      </c>
      <c r="BF10" s="1" t="s">
        <v>98</v>
      </c>
      <c r="BG10" s="1" t="s">
        <v>98</v>
      </c>
    </row>
    <row r="11" spans="1:59" x14ac:dyDescent="0.35">
      <c r="A11" s="1">
        <v>10</v>
      </c>
      <c r="B11" s="1">
        <v>45838.809953703705</v>
      </c>
      <c r="C11" s="1" t="s">
        <v>173</v>
      </c>
      <c r="D11" s="1" t="s">
        <v>174</v>
      </c>
      <c r="E11" s="1" t="s">
        <v>63</v>
      </c>
      <c r="F11" s="1" t="s">
        <v>136</v>
      </c>
      <c r="G11" s="1" t="s">
        <v>175</v>
      </c>
      <c r="H11" s="1" t="s">
        <v>138</v>
      </c>
      <c r="I11" s="1" t="s">
        <v>139</v>
      </c>
      <c r="J11" s="1" t="s">
        <v>163</v>
      </c>
      <c r="K11" s="1" t="s">
        <v>176</v>
      </c>
      <c r="L11" s="1" t="s">
        <v>69</v>
      </c>
      <c r="M11" s="1" t="s">
        <v>69</v>
      </c>
      <c r="N11" s="1" t="s">
        <v>69</v>
      </c>
      <c r="O11" s="1" t="s">
        <v>69</v>
      </c>
      <c r="P11" s="1" t="s">
        <v>70</v>
      </c>
      <c r="Q11" s="1" t="s">
        <v>71</v>
      </c>
      <c r="R11" s="1" t="s">
        <v>2438</v>
      </c>
      <c r="S11" s="1">
        <v>18</v>
      </c>
      <c r="T11" s="1" t="s">
        <v>131</v>
      </c>
      <c r="U11" s="1" t="s">
        <v>73</v>
      </c>
      <c r="V11" s="1" t="s">
        <v>94</v>
      </c>
      <c r="W11" s="1" t="s">
        <v>95</v>
      </c>
      <c r="X11" s="1">
        <v>6</v>
      </c>
      <c r="Y11" s="1">
        <v>6</v>
      </c>
      <c r="Z11" s="1" t="s">
        <v>83</v>
      </c>
      <c r="AA11" s="1">
        <v>6</v>
      </c>
      <c r="AB11" s="1">
        <v>6</v>
      </c>
      <c r="AC11" s="1" t="s">
        <v>83</v>
      </c>
      <c r="AD11" s="1">
        <v>6</v>
      </c>
      <c r="AE11" s="1">
        <v>6</v>
      </c>
      <c r="AF11" s="1" t="s">
        <v>83</v>
      </c>
      <c r="AG11" s="1">
        <v>5</v>
      </c>
      <c r="AH11" s="1">
        <v>6</v>
      </c>
      <c r="AI11" s="1" t="s">
        <v>83</v>
      </c>
      <c r="AJ11" s="1">
        <v>6</v>
      </c>
      <c r="AK11" s="1">
        <v>6</v>
      </c>
      <c r="AL11" s="1" t="s">
        <v>83</v>
      </c>
      <c r="AM11" s="1">
        <v>6</v>
      </c>
      <c r="AN11" s="1">
        <v>6</v>
      </c>
      <c r="AO11" s="1" t="s">
        <v>83</v>
      </c>
      <c r="AP11" s="1">
        <v>6</v>
      </c>
      <c r="AQ11" s="1">
        <v>6</v>
      </c>
      <c r="AR11" s="1" t="s">
        <v>83</v>
      </c>
      <c r="AS11" s="1">
        <v>6</v>
      </c>
      <c r="AT11" s="1">
        <v>6</v>
      </c>
      <c r="AU11" s="1" t="s">
        <v>83</v>
      </c>
      <c r="AV11" s="1">
        <v>6</v>
      </c>
      <c r="AW11" s="1">
        <v>6</v>
      </c>
      <c r="AX11" s="1" t="s">
        <v>83</v>
      </c>
      <c r="AY11" s="1">
        <v>0</v>
      </c>
      <c r="AZ11" s="1">
        <v>0</v>
      </c>
      <c r="BA11" s="1">
        <v>1</v>
      </c>
      <c r="BB11" s="1" t="s">
        <v>83</v>
      </c>
      <c r="BC11" s="1">
        <v>0</v>
      </c>
      <c r="BD11" s="1" t="s">
        <v>98</v>
      </c>
      <c r="BE11" s="1" t="s">
        <v>98</v>
      </c>
      <c r="BF11" s="1" t="s">
        <v>98</v>
      </c>
      <c r="BG11" s="1" t="s">
        <v>98</v>
      </c>
    </row>
    <row r="12" spans="1:59" x14ac:dyDescent="0.35">
      <c r="A12" s="1">
        <v>11</v>
      </c>
      <c r="B12" s="1">
        <v>45838.810127314813</v>
      </c>
      <c r="C12" s="1" t="s">
        <v>177</v>
      </c>
      <c r="D12" s="1" t="s">
        <v>178</v>
      </c>
      <c r="E12" s="1" t="s">
        <v>63</v>
      </c>
      <c r="F12" s="1" t="s">
        <v>179</v>
      </c>
      <c r="G12" s="1" t="s">
        <v>180</v>
      </c>
      <c r="H12" s="1" t="s">
        <v>65</v>
      </c>
      <c r="I12" s="1" t="s">
        <v>66</v>
      </c>
      <c r="J12" s="1" t="s">
        <v>67</v>
      </c>
      <c r="K12" s="1" t="s">
        <v>181</v>
      </c>
      <c r="L12" s="1" t="s">
        <v>69</v>
      </c>
      <c r="M12" s="1" t="s">
        <v>69</v>
      </c>
      <c r="N12" s="1" t="s">
        <v>69</v>
      </c>
      <c r="O12" s="1" t="s">
        <v>69</v>
      </c>
      <c r="P12" s="1" t="s">
        <v>106</v>
      </c>
      <c r="Q12" s="1" t="s">
        <v>107</v>
      </c>
      <c r="R12" s="1" t="s">
        <v>2439</v>
      </c>
      <c r="S12" s="1">
        <v>60</v>
      </c>
      <c r="T12" s="1" t="s">
        <v>182</v>
      </c>
      <c r="U12" s="1" t="s">
        <v>93</v>
      </c>
      <c r="V12" s="1" t="s">
        <v>183</v>
      </c>
      <c r="W12" s="1" t="s">
        <v>184</v>
      </c>
      <c r="X12" s="1">
        <v>6</v>
      </c>
      <c r="Y12" s="1">
        <v>5</v>
      </c>
      <c r="Z12" s="1" t="s">
        <v>83</v>
      </c>
      <c r="AA12" s="1">
        <v>6</v>
      </c>
      <c r="AB12" s="1">
        <v>5</v>
      </c>
      <c r="AC12" s="1" t="s">
        <v>83</v>
      </c>
      <c r="AD12" s="1">
        <v>6</v>
      </c>
      <c r="AE12" s="1">
        <v>6</v>
      </c>
      <c r="AF12" s="1" t="s">
        <v>83</v>
      </c>
      <c r="AG12" s="1">
        <v>6</v>
      </c>
      <c r="AH12" s="1">
        <v>6</v>
      </c>
      <c r="AI12" s="1" t="s">
        <v>83</v>
      </c>
      <c r="AJ12" s="1">
        <v>6</v>
      </c>
      <c r="AK12" s="1">
        <v>6</v>
      </c>
      <c r="AL12" s="1" t="s">
        <v>83</v>
      </c>
      <c r="AM12" s="1">
        <v>6</v>
      </c>
      <c r="AN12" s="1">
        <v>5</v>
      </c>
      <c r="AO12" s="1" t="s">
        <v>83</v>
      </c>
      <c r="AP12" s="1">
        <v>6</v>
      </c>
      <c r="AQ12" s="1">
        <v>6</v>
      </c>
      <c r="AR12" s="1" t="s">
        <v>83</v>
      </c>
      <c r="AS12" s="1">
        <v>6</v>
      </c>
      <c r="AT12" s="1">
        <v>5</v>
      </c>
      <c r="AU12" s="1" t="s">
        <v>83</v>
      </c>
      <c r="AV12" s="1">
        <v>6</v>
      </c>
      <c r="AW12" s="1">
        <v>5</v>
      </c>
      <c r="AX12" s="1" t="s">
        <v>83</v>
      </c>
      <c r="AY12" s="1">
        <v>0</v>
      </c>
      <c r="AZ12" s="1">
        <v>0</v>
      </c>
      <c r="BA12" s="1">
        <v>0</v>
      </c>
      <c r="BB12" s="1" t="s">
        <v>185</v>
      </c>
      <c r="BC12" s="1">
        <v>1</v>
      </c>
      <c r="BD12" s="1" t="s">
        <v>187</v>
      </c>
      <c r="BE12" s="1" t="s">
        <v>188</v>
      </c>
      <c r="BF12" s="1" t="s">
        <v>189</v>
      </c>
      <c r="BG12" s="1" t="s">
        <v>191</v>
      </c>
    </row>
    <row r="13" spans="1:59" x14ac:dyDescent="0.35">
      <c r="A13" s="1">
        <v>12</v>
      </c>
      <c r="B13" s="1">
        <v>45838.883946759262</v>
      </c>
      <c r="C13" s="1" t="s">
        <v>192</v>
      </c>
      <c r="D13" s="1" t="s">
        <v>193</v>
      </c>
      <c r="E13" s="1" t="s">
        <v>63</v>
      </c>
      <c r="F13" s="1" t="s">
        <v>63</v>
      </c>
      <c r="G13" s="1" t="s">
        <v>194</v>
      </c>
      <c r="H13" s="1" t="s">
        <v>103</v>
      </c>
      <c r="I13" s="1" t="s">
        <v>104</v>
      </c>
      <c r="J13" s="1" t="s">
        <v>67</v>
      </c>
      <c r="K13" s="1" t="s">
        <v>195</v>
      </c>
      <c r="L13" s="1" t="s">
        <v>69</v>
      </c>
      <c r="M13" s="1" t="s">
        <v>69</v>
      </c>
      <c r="N13" s="1" t="s">
        <v>69</v>
      </c>
      <c r="O13" s="1" t="s">
        <v>69</v>
      </c>
      <c r="P13" s="1" t="s">
        <v>70</v>
      </c>
      <c r="Q13" s="1" t="s">
        <v>107</v>
      </c>
      <c r="R13" s="1" t="s">
        <v>196</v>
      </c>
      <c r="S13" s="1">
        <v>42</v>
      </c>
      <c r="T13" s="1" t="s">
        <v>197</v>
      </c>
      <c r="U13" s="1" t="s">
        <v>73</v>
      </c>
      <c r="V13" s="1" t="s">
        <v>110</v>
      </c>
      <c r="W13" s="1" t="s">
        <v>110</v>
      </c>
      <c r="X13" s="1">
        <v>6</v>
      </c>
      <c r="Y13" s="1">
        <v>6</v>
      </c>
      <c r="Z13" s="1" t="s">
        <v>83</v>
      </c>
      <c r="AA13" s="1">
        <v>6</v>
      </c>
      <c r="AB13" s="1">
        <v>6</v>
      </c>
      <c r="AC13" s="1" t="s">
        <v>83</v>
      </c>
      <c r="AD13" s="1">
        <v>6</v>
      </c>
      <c r="AE13" s="1">
        <v>6</v>
      </c>
      <c r="AF13" s="1" t="s">
        <v>83</v>
      </c>
      <c r="AG13" s="1">
        <v>0</v>
      </c>
      <c r="AH13" s="1">
        <v>0</v>
      </c>
      <c r="AI13" s="1" t="s">
        <v>96</v>
      </c>
      <c r="AJ13" s="1">
        <v>6</v>
      </c>
      <c r="AK13" s="1">
        <v>6</v>
      </c>
      <c r="AL13" s="1" t="s">
        <v>83</v>
      </c>
      <c r="AM13" s="1">
        <v>6</v>
      </c>
      <c r="AN13" s="1">
        <v>6</v>
      </c>
      <c r="AO13" s="1" t="s">
        <v>83</v>
      </c>
      <c r="AP13" s="1">
        <v>6</v>
      </c>
      <c r="AQ13" s="1">
        <v>6</v>
      </c>
      <c r="AR13" s="1" t="s">
        <v>83</v>
      </c>
      <c r="AS13" s="1">
        <v>6</v>
      </c>
      <c r="AT13" s="1">
        <v>6</v>
      </c>
      <c r="AU13" s="1" t="s">
        <v>83</v>
      </c>
      <c r="AV13" s="1">
        <v>5</v>
      </c>
      <c r="AW13" s="1">
        <v>5</v>
      </c>
      <c r="AX13" s="1" t="s">
        <v>83</v>
      </c>
      <c r="AY13" s="1">
        <v>0</v>
      </c>
      <c r="AZ13" s="1">
        <v>0</v>
      </c>
      <c r="BA13" s="1">
        <v>0</v>
      </c>
      <c r="BB13" s="1" t="s">
        <v>198</v>
      </c>
      <c r="BC13" s="1">
        <v>3</v>
      </c>
      <c r="BD13" s="1" t="s">
        <v>199</v>
      </c>
      <c r="BE13" s="1" t="s">
        <v>200</v>
      </c>
      <c r="BF13" s="1" t="s">
        <v>201</v>
      </c>
      <c r="BG13" s="1" t="s">
        <v>83</v>
      </c>
    </row>
    <row r="14" spans="1:59" x14ac:dyDescent="0.35">
      <c r="A14" s="1">
        <v>13</v>
      </c>
      <c r="B14" s="1">
        <v>45838.817210648151</v>
      </c>
      <c r="C14" s="1" t="s">
        <v>202</v>
      </c>
      <c r="D14" s="1" t="s">
        <v>203</v>
      </c>
      <c r="E14" s="1" t="s">
        <v>63</v>
      </c>
      <c r="F14" s="1" t="s">
        <v>179</v>
      </c>
      <c r="G14" s="1" t="s">
        <v>204</v>
      </c>
      <c r="H14" s="1" t="s">
        <v>88</v>
      </c>
      <c r="I14" s="1" t="s">
        <v>89</v>
      </c>
      <c r="J14" s="1" t="s">
        <v>170</v>
      </c>
      <c r="K14" s="1" t="s">
        <v>205</v>
      </c>
      <c r="L14" s="1" t="s">
        <v>69</v>
      </c>
      <c r="M14" s="1" t="s">
        <v>69</v>
      </c>
      <c r="N14" s="1" t="s">
        <v>69</v>
      </c>
      <c r="O14" s="1" t="s">
        <v>69</v>
      </c>
      <c r="P14" s="1" t="s">
        <v>106</v>
      </c>
      <c r="Q14" s="1" t="s">
        <v>71</v>
      </c>
      <c r="R14" s="1" t="s">
        <v>130</v>
      </c>
      <c r="S14" s="1">
        <v>18</v>
      </c>
      <c r="T14" s="1" t="s">
        <v>131</v>
      </c>
      <c r="U14" s="1" t="s">
        <v>73</v>
      </c>
      <c r="V14" s="1" t="s">
        <v>206</v>
      </c>
      <c r="W14" s="1" t="s">
        <v>133</v>
      </c>
      <c r="X14" s="1">
        <v>6</v>
      </c>
      <c r="Y14" s="1">
        <v>6</v>
      </c>
      <c r="Z14" s="1" t="s">
        <v>83</v>
      </c>
      <c r="AA14" s="1">
        <v>6</v>
      </c>
      <c r="AB14" s="1">
        <v>6</v>
      </c>
      <c r="AC14" s="1" t="s">
        <v>83</v>
      </c>
      <c r="AD14" s="1">
        <v>5</v>
      </c>
      <c r="AE14" s="1">
        <v>6</v>
      </c>
      <c r="AF14" s="1" t="s">
        <v>83</v>
      </c>
      <c r="AG14" s="1">
        <v>5</v>
      </c>
      <c r="AH14" s="1">
        <v>6</v>
      </c>
      <c r="AI14" s="1" t="s">
        <v>83</v>
      </c>
      <c r="AJ14" s="1">
        <v>6</v>
      </c>
      <c r="AK14" s="1">
        <v>6</v>
      </c>
      <c r="AL14" s="1" t="s">
        <v>83</v>
      </c>
      <c r="AM14" s="1">
        <v>6</v>
      </c>
      <c r="AN14" s="1">
        <v>6</v>
      </c>
      <c r="AO14" s="1" t="s">
        <v>83</v>
      </c>
      <c r="AP14" s="1">
        <v>6</v>
      </c>
      <c r="AQ14" s="1">
        <v>6</v>
      </c>
      <c r="AR14" s="1" t="s">
        <v>83</v>
      </c>
      <c r="AS14" s="1">
        <v>6</v>
      </c>
      <c r="AT14" s="1">
        <v>6</v>
      </c>
      <c r="AU14" s="1" t="s">
        <v>83</v>
      </c>
      <c r="AV14" s="1">
        <v>6</v>
      </c>
      <c r="AW14" s="1">
        <v>6</v>
      </c>
      <c r="AX14" s="1" t="s">
        <v>83</v>
      </c>
      <c r="AY14" s="1">
        <v>2</v>
      </c>
      <c r="AZ14" s="1">
        <v>0</v>
      </c>
      <c r="BA14" s="1">
        <v>0</v>
      </c>
      <c r="BB14" s="1" t="s">
        <v>83</v>
      </c>
      <c r="BC14" s="1">
        <v>0</v>
      </c>
      <c r="BD14" s="1" t="s">
        <v>98</v>
      </c>
      <c r="BE14" s="1" t="s">
        <v>98</v>
      </c>
      <c r="BF14" s="1" t="s">
        <v>98</v>
      </c>
      <c r="BG14" s="1" t="s">
        <v>98</v>
      </c>
    </row>
    <row r="15" spans="1:59" x14ac:dyDescent="0.35">
      <c r="A15" s="1">
        <v>14</v>
      </c>
      <c r="B15" s="1">
        <v>45838.841261574074</v>
      </c>
      <c r="C15" s="1" t="s">
        <v>207</v>
      </c>
      <c r="D15" s="1" t="s">
        <v>208</v>
      </c>
      <c r="E15" s="1" t="s">
        <v>63</v>
      </c>
      <c r="F15" s="1" t="s">
        <v>136</v>
      </c>
      <c r="G15" s="1" t="s">
        <v>209</v>
      </c>
      <c r="H15" s="1" t="s">
        <v>210</v>
      </c>
      <c r="I15" s="1" t="s">
        <v>211</v>
      </c>
      <c r="J15" s="1" t="s">
        <v>163</v>
      </c>
      <c r="K15" s="1" t="s">
        <v>212</v>
      </c>
      <c r="L15" s="1" t="s">
        <v>69</v>
      </c>
      <c r="M15" s="1" t="s">
        <v>69</v>
      </c>
      <c r="N15" s="1" t="s">
        <v>69</v>
      </c>
      <c r="O15" s="1" t="s">
        <v>69</v>
      </c>
      <c r="P15" s="1" t="s">
        <v>70</v>
      </c>
      <c r="Q15" s="1" t="s">
        <v>107</v>
      </c>
      <c r="R15" s="1" t="s">
        <v>2440</v>
      </c>
      <c r="S15" s="1">
        <v>32</v>
      </c>
      <c r="T15" s="1" t="s">
        <v>109</v>
      </c>
      <c r="U15" s="1" t="s">
        <v>73</v>
      </c>
      <c r="V15" s="1" t="s">
        <v>74</v>
      </c>
      <c r="W15" s="1" t="s">
        <v>74</v>
      </c>
      <c r="X15" s="1">
        <v>5</v>
      </c>
      <c r="Y15" s="1">
        <v>5</v>
      </c>
      <c r="Z15" s="1" t="s">
        <v>83</v>
      </c>
      <c r="AA15" s="1">
        <v>6</v>
      </c>
      <c r="AB15" s="1">
        <v>5</v>
      </c>
      <c r="AC15" s="1" t="s">
        <v>83</v>
      </c>
      <c r="AD15" s="1">
        <v>5</v>
      </c>
      <c r="AE15" s="1">
        <v>5</v>
      </c>
      <c r="AF15" s="1" t="s">
        <v>83</v>
      </c>
      <c r="AG15" s="1">
        <v>6</v>
      </c>
      <c r="AH15" s="1">
        <v>6</v>
      </c>
      <c r="AI15" s="1" t="s">
        <v>83</v>
      </c>
      <c r="AJ15" s="1">
        <v>5</v>
      </c>
      <c r="AK15" s="1">
        <v>5</v>
      </c>
      <c r="AL15" s="1" t="s">
        <v>83</v>
      </c>
      <c r="AM15" s="1">
        <v>5</v>
      </c>
      <c r="AN15" s="1">
        <v>5</v>
      </c>
      <c r="AO15" s="1" t="s">
        <v>83</v>
      </c>
      <c r="AP15" s="1">
        <v>6</v>
      </c>
      <c r="AQ15" s="1">
        <v>6</v>
      </c>
      <c r="AR15" s="1" t="s">
        <v>83</v>
      </c>
      <c r="AS15" s="1">
        <v>6</v>
      </c>
      <c r="AT15" s="1">
        <v>6</v>
      </c>
      <c r="AU15" s="1" t="s">
        <v>83</v>
      </c>
      <c r="AV15" s="1">
        <v>5</v>
      </c>
      <c r="AW15" s="1">
        <v>5</v>
      </c>
      <c r="AX15" s="1" t="s">
        <v>83</v>
      </c>
      <c r="AY15" s="1">
        <v>0</v>
      </c>
      <c r="AZ15" s="1">
        <v>0</v>
      </c>
      <c r="BA15" s="1">
        <v>1</v>
      </c>
      <c r="BB15" s="1" t="s">
        <v>83</v>
      </c>
      <c r="BC15" s="1">
        <v>0</v>
      </c>
      <c r="BD15" s="1" t="s">
        <v>98</v>
      </c>
      <c r="BE15" s="1" t="s">
        <v>98</v>
      </c>
      <c r="BF15" s="1" t="s">
        <v>98</v>
      </c>
      <c r="BG15" s="1" t="s">
        <v>98</v>
      </c>
    </row>
    <row r="16" spans="1:59" x14ac:dyDescent="0.35">
      <c r="A16" s="1">
        <v>15</v>
      </c>
      <c r="B16" s="1">
        <v>45838.821655092594</v>
      </c>
      <c r="C16" s="1" t="s">
        <v>213</v>
      </c>
      <c r="D16" s="1" t="s">
        <v>214</v>
      </c>
      <c r="E16" s="1" t="s">
        <v>63</v>
      </c>
      <c r="F16" s="1" t="s">
        <v>63</v>
      </c>
      <c r="G16" s="1" t="s">
        <v>215</v>
      </c>
      <c r="H16" s="1" t="s">
        <v>88</v>
      </c>
      <c r="I16" s="1" t="s">
        <v>89</v>
      </c>
      <c r="J16" s="1" t="s">
        <v>67</v>
      </c>
      <c r="K16" s="1" t="s">
        <v>216</v>
      </c>
      <c r="L16" s="1" t="s">
        <v>69</v>
      </c>
      <c r="M16" s="1" t="s">
        <v>69</v>
      </c>
      <c r="N16" s="1" t="s">
        <v>69</v>
      </c>
      <c r="O16" s="1" t="s">
        <v>69</v>
      </c>
      <c r="P16" s="1" t="s">
        <v>70</v>
      </c>
      <c r="Q16" s="1" t="s">
        <v>71</v>
      </c>
      <c r="R16" s="1" t="s">
        <v>217</v>
      </c>
      <c r="S16" s="1">
        <v>20</v>
      </c>
      <c r="T16" s="1" t="s">
        <v>131</v>
      </c>
      <c r="U16" s="1" t="s">
        <v>73</v>
      </c>
      <c r="V16" s="1" t="s">
        <v>94</v>
      </c>
      <c r="W16" s="1" t="s">
        <v>95</v>
      </c>
      <c r="X16" s="1">
        <v>5</v>
      </c>
      <c r="Y16" s="1">
        <v>5</v>
      </c>
      <c r="Z16" s="1" t="s">
        <v>83</v>
      </c>
      <c r="AA16" s="1">
        <v>4</v>
      </c>
      <c r="AB16" s="1">
        <v>5</v>
      </c>
      <c r="AC16" s="1" t="s">
        <v>83</v>
      </c>
      <c r="AD16" s="1">
        <v>5</v>
      </c>
      <c r="AE16" s="1">
        <v>5</v>
      </c>
      <c r="AF16" s="1" t="s">
        <v>83</v>
      </c>
      <c r="AG16" s="1">
        <v>4</v>
      </c>
      <c r="AH16" s="1">
        <v>4</v>
      </c>
      <c r="AI16" s="1" t="s">
        <v>83</v>
      </c>
      <c r="AJ16" s="1">
        <v>5</v>
      </c>
      <c r="AK16" s="1">
        <v>5</v>
      </c>
      <c r="AL16" s="1" t="s">
        <v>83</v>
      </c>
      <c r="AM16" s="1">
        <v>6</v>
      </c>
      <c r="AN16" s="1">
        <v>4</v>
      </c>
      <c r="AO16" s="1" t="s">
        <v>83</v>
      </c>
      <c r="AP16" s="1">
        <v>5</v>
      </c>
      <c r="AQ16" s="1">
        <v>6</v>
      </c>
      <c r="AR16" s="1" t="s">
        <v>83</v>
      </c>
      <c r="AS16" s="1">
        <v>4</v>
      </c>
      <c r="AT16" s="1">
        <v>5</v>
      </c>
      <c r="AU16" s="1" t="s">
        <v>83</v>
      </c>
      <c r="AV16" s="1">
        <v>4</v>
      </c>
      <c r="AW16" s="1">
        <v>4</v>
      </c>
      <c r="AX16" s="1" t="s">
        <v>83</v>
      </c>
      <c r="AY16" s="1">
        <v>3</v>
      </c>
      <c r="AZ16" s="1">
        <v>0</v>
      </c>
      <c r="BA16" s="1">
        <v>0</v>
      </c>
      <c r="BB16" s="1" t="s">
        <v>83</v>
      </c>
      <c r="BC16" s="1">
        <v>0</v>
      </c>
      <c r="BD16" s="1" t="s">
        <v>98</v>
      </c>
      <c r="BE16" s="1" t="s">
        <v>218</v>
      </c>
      <c r="BF16" s="1" t="s">
        <v>98</v>
      </c>
      <c r="BG16" s="1" t="s">
        <v>219</v>
      </c>
    </row>
    <row r="17" spans="1:59" x14ac:dyDescent="0.35">
      <c r="A17" s="1">
        <v>16</v>
      </c>
      <c r="B17" s="1">
        <v>45838.825578703705</v>
      </c>
      <c r="C17" s="1" t="s">
        <v>220</v>
      </c>
      <c r="D17" s="1" t="s">
        <v>221</v>
      </c>
      <c r="E17" s="1" t="s">
        <v>63</v>
      </c>
      <c r="F17" s="1" t="s">
        <v>125</v>
      </c>
      <c r="G17" s="1" t="s">
        <v>222</v>
      </c>
      <c r="H17" s="1" t="s">
        <v>88</v>
      </c>
      <c r="I17" s="1" t="s">
        <v>89</v>
      </c>
      <c r="J17" s="1" t="s">
        <v>67</v>
      </c>
      <c r="K17" s="1" t="s">
        <v>223</v>
      </c>
      <c r="L17" s="1" t="s">
        <v>69</v>
      </c>
      <c r="M17" s="1" t="s">
        <v>69</v>
      </c>
      <c r="N17" s="1" t="s">
        <v>69</v>
      </c>
      <c r="O17" s="1" t="s">
        <v>69</v>
      </c>
      <c r="P17" s="1" t="s">
        <v>106</v>
      </c>
      <c r="Q17" s="1" t="s">
        <v>107</v>
      </c>
      <c r="R17" s="1" t="s">
        <v>224</v>
      </c>
      <c r="S17" s="1">
        <v>46</v>
      </c>
      <c r="T17" s="1" t="s">
        <v>225</v>
      </c>
      <c r="U17" s="1" t="s">
        <v>93</v>
      </c>
      <c r="V17" s="1" t="s">
        <v>74</v>
      </c>
      <c r="W17" s="1" t="s">
        <v>74</v>
      </c>
      <c r="X17" s="1">
        <v>6</v>
      </c>
      <c r="Y17" s="1">
        <v>6</v>
      </c>
      <c r="Z17" s="1" t="s">
        <v>83</v>
      </c>
      <c r="AA17" s="1">
        <v>6</v>
      </c>
      <c r="AB17" s="1">
        <v>6</v>
      </c>
      <c r="AC17" s="1" t="s">
        <v>83</v>
      </c>
      <c r="AD17" s="1">
        <v>6</v>
      </c>
      <c r="AE17" s="1">
        <v>6</v>
      </c>
      <c r="AF17" s="1" t="s">
        <v>83</v>
      </c>
      <c r="AG17" s="1">
        <v>5</v>
      </c>
      <c r="AH17" s="1">
        <v>6</v>
      </c>
      <c r="AI17" s="1" t="s">
        <v>83</v>
      </c>
      <c r="AJ17" s="1">
        <v>6</v>
      </c>
      <c r="AK17" s="1">
        <v>6</v>
      </c>
      <c r="AL17" s="1" t="s">
        <v>83</v>
      </c>
      <c r="AM17" s="1">
        <v>5</v>
      </c>
      <c r="AN17" s="1">
        <v>6</v>
      </c>
      <c r="AO17" s="1" t="s">
        <v>83</v>
      </c>
      <c r="AP17" s="1">
        <v>6</v>
      </c>
      <c r="AQ17" s="1">
        <v>6</v>
      </c>
      <c r="AR17" s="1" t="s">
        <v>83</v>
      </c>
      <c r="AS17" s="1">
        <v>6</v>
      </c>
      <c r="AT17" s="1">
        <v>6</v>
      </c>
      <c r="AU17" s="1" t="s">
        <v>83</v>
      </c>
      <c r="AV17" s="1">
        <v>6</v>
      </c>
      <c r="AW17" s="1">
        <v>6</v>
      </c>
      <c r="AX17" s="1" t="s">
        <v>83</v>
      </c>
      <c r="AY17" s="1">
        <v>0</v>
      </c>
      <c r="AZ17" s="1">
        <v>0</v>
      </c>
      <c r="BA17" s="1">
        <v>0</v>
      </c>
      <c r="BB17" s="1" t="s">
        <v>144</v>
      </c>
      <c r="BC17" s="1">
        <v>2</v>
      </c>
      <c r="BD17" s="1" t="s">
        <v>226</v>
      </c>
      <c r="BE17" s="1" t="s">
        <v>98</v>
      </c>
      <c r="BF17" s="1" t="s">
        <v>98</v>
      </c>
      <c r="BG17" s="1" t="s">
        <v>228</v>
      </c>
    </row>
    <row r="18" spans="1:59" x14ac:dyDescent="0.35">
      <c r="A18" s="1">
        <v>17</v>
      </c>
      <c r="B18" s="1">
        <v>45838.856238425928</v>
      </c>
      <c r="C18" s="1" t="s">
        <v>229</v>
      </c>
      <c r="D18" s="1" t="s">
        <v>161</v>
      </c>
      <c r="E18" s="1" t="s">
        <v>63</v>
      </c>
      <c r="F18" s="1" t="s">
        <v>136</v>
      </c>
      <c r="G18" s="1" t="s">
        <v>230</v>
      </c>
      <c r="H18" s="1" t="s">
        <v>210</v>
      </c>
      <c r="I18" s="1" t="s">
        <v>211</v>
      </c>
      <c r="J18" s="1" t="s">
        <v>163</v>
      </c>
      <c r="K18" s="1" t="s">
        <v>231</v>
      </c>
      <c r="L18" s="1" t="s">
        <v>69</v>
      </c>
      <c r="M18" s="1" t="s">
        <v>69</v>
      </c>
      <c r="N18" s="1" t="s">
        <v>83</v>
      </c>
      <c r="O18" s="1" t="s">
        <v>69</v>
      </c>
      <c r="P18" s="1" t="s">
        <v>70</v>
      </c>
      <c r="Q18" s="1" t="s">
        <v>107</v>
      </c>
      <c r="R18" s="1" t="s">
        <v>2441</v>
      </c>
      <c r="S18" s="1">
        <v>60</v>
      </c>
      <c r="T18" s="1" t="s">
        <v>182</v>
      </c>
      <c r="U18" s="1" t="s">
        <v>73</v>
      </c>
      <c r="V18" s="1" t="s">
        <v>232</v>
      </c>
      <c r="W18" s="1" t="s">
        <v>232</v>
      </c>
      <c r="X18" s="1">
        <v>5</v>
      </c>
      <c r="Y18" s="1">
        <v>5</v>
      </c>
      <c r="Z18" s="1" t="s">
        <v>83</v>
      </c>
      <c r="AA18" s="1">
        <v>6</v>
      </c>
      <c r="AB18" s="1">
        <v>6</v>
      </c>
      <c r="AC18" s="1" t="s">
        <v>83</v>
      </c>
      <c r="AD18" s="1">
        <v>5</v>
      </c>
      <c r="AE18" s="1">
        <v>5</v>
      </c>
      <c r="AF18" s="1" t="s">
        <v>83</v>
      </c>
      <c r="AG18" s="1">
        <v>6</v>
      </c>
      <c r="AH18" s="1">
        <v>6</v>
      </c>
      <c r="AI18" s="1" t="s">
        <v>83</v>
      </c>
      <c r="AJ18" s="1">
        <v>5</v>
      </c>
      <c r="AK18" s="1">
        <v>5</v>
      </c>
      <c r="AL18" s="1" t="s">
        <v>83</v>
      </c>
      <c r="AM18" s="1">
        <v>5</v>
      </c>
      <c r="AN18" s="1">
        <v>5</v>
      </c>
      <c r="AO18" s="1" t="s">
        <v>83</v>
      </c>
      <c r="AP18" s="1">
        <v>5</v>
      </c>
      <c r="AQ18" s="1">
        <v>5</v>
      </c>
      <c r="AR18" s="1" t="s">
        <v>83</v>
      </c>
      <c r="AS18" s="1">
        <v>5</v>
      </c>
      <c r="AT18" s="1">
        <v>5</v>
      </c>
      <c r="AU18" s="1" t="s">
        <v>83</v>
      </c>
      <c r="AV18" s="1">
        <v>5</v>
      </c>
      <c r="AW18" s="1">
        <v>5</v>
      </c>
      <c r="AX18" s="1" t="s">
        <v>83</v>
      </c>
      <c r="AY18" s="1">
        <v>0</v>
      </c>
      <c r="AZ18" s="1">
        <v>0</v>
      </c>
      <c r="BA18" s="1">
        <v>0</v>
      </c>
      <c r="BB18" s="1" t="s">
        <v>233</v>
      </c>
      <c r="BC18" s="1">
        <v>2</v>
      </c>
      <c r="BD18" s="1" t="s">
        <v>234</v>
      </c>
      <c r="BE18" s="1" t="s">
        <v>98</v>
      </c>
      <c r="BF18" s="1" t="s">
        <v>236</v>
      </c>
      <c r="BG18" s="1" t="s">
        <v>98</v>
      </c>
    </row>
    <row r="19" spans="1:59" x14ac:dyDescent="0.35">
      <c r="A19" s="1">
        <v>18</v>
      </c>
      <c r="B19" s="1">
        <v>45838.829270833332</v>
      </c>
      <c r="C19" s="1" t="s">
        <v>238</v>
      </c>
      <c r="D19" s="1" t="s">
        <v>239</v>
      </c>
      <c r="E19" s="1" t="s">
        <v>63</v>
      </c>
      <c r="F19" s="1" t="s">
        <v>240</v>
      </c>
      <c r="G19" s="1" t="s">
        <v>241</v>
      </c>
      <c r="H19" s="1" t="s">
        <v>242</v>
      </c>
      <c r="I19" s="1" t="s">
        <v>243</v>
      </c>
      <c r="J19" s="1" t="s">
        <v>67</v>
      </c>
      <c r="K19" s="1" t="s">
        <v>244</v>
      </c>
      <c r="L19" s="1" t="s">
        <v>69</v>
      </c>
      <c r="M19" s="1" t="s">
        <v>69</v>
      </c>
      <c r="N19" s="1" t="s">
        <v>69</v>
      </c>
      <c r="O19" s="1" t="s">
        <v>69</v>
      </c>
      <c r="P19" s="1" t="s">
        <v>106</v>
      </c>
      <c r="Q19" s="1" t="s">
        <v>71</v>
      </c>
      <c r="R19" s="1" t="s">
        <v>245</v>
      </c>
      <c r="S19" s="1">
        <v>21</v>
      </c>
      <c r="T19" s="1" t="s">
        <v>72</v>
      </c>
      <c r="U19" s="1" t="s">
        <v>73</v>
      </c>
      <c r="V19" s="1" t="s">
        <v>246</v>
      </c>
      <c r="W19" s="1" t="s">
        <v>246</v>
      </c>
      <c r="X19" s="1">
        <v>6</v>
      </c>
      <c r="Y19" s="1">
        <v>6</v>
      </c>
      <c r="Z19" s="1" t="s">
        <v>83</v>
      </c>
      <c r="AA19" s="1">
        <v>6</v>
      </c>
      <c r="AB19" s="1">
        <v>6</v>
      </c>
      <c r="AC19" s="1" t="s">
        <v>83</v>
      </c>
      <c r="AD19" s="1">
        <v>6</v>
      </c>
      <c r="AE19" s="1">
        <v>6</v>
      </c>
      <c r="AF19" s="1" t="s">
        <v>83</v>
      </c>
      <c r="AG19" s="1">
        <v>6</v>
      </c>
      <c r="AH19" s="1">
        <v>6</v>
      </c>
      <c r="AI19" s="1" t="s">
        <v>83</v>
      </c>
      <c r="AJ19" s="1">
        <v>6</v>
      </c>
      <c r="AK19" s="1">
        <v>6</v>
      </c>
      <c r="AL19" s="1" t="s">
        <v>83</v>
      </c>
      <c r="AM19" s="1">
        <v>6</v>
      </c>
      <c r="AN19" s="1">
        <v>6</v>
      </c>
      <c r="AO19" s="1" t="s">
        <v>83</v>
      </c>
      <c r="AP19" s="1">
        <v>6</v>
      </c>
      <c r="AQ19" s="1">
        <v>6</v>
      </c>
      <c r="AR19" s="1" t="s">
        <v>83</v>
      </c>
      <c r="AS19" s="1">
        <v>6</v>
      </c>
      <c r="AT19" s="1">
        <v>6</v>
      </c>
      <c r="AU19" s="1" t="s">
        <v>83</v>
      </c>
      <c r="AV19" s="1">
        <v>6</v>
      </c>
      <c r="AW19" s="1">
        <v>6</v>
      </c>
      <c r="AX19" s="1" t="s">
        <v>83</v>
      </c>
      <c r="AY19" s="1">
        <v>0</v>
      </c>
      <c r="AZ19" s="1">
        <v>0</v>
      </c>
      <c r="BA19" s="1">
        <v>0</v>
      </c>
      <c r="BB19" s="1" t="s">
        <v>247</v>
      </c>
      <c r="BC19" s="1">
        <v>1</v>
      </c>
      <c r="BD19" s="1" t="s">
        <v>248</v>
      </c>
      <c r="BE19" s="1" t="s">
        <v>248</v>
      </c>
      <c r="BF19" s="1" t="s">
        <v>248</v>
      </c>
      <c r="BG19" s="1" t="s">
        <v>248</v>
      </c>
    </row>
    <row r="20" spans="1:59" x14ac:dyDescent="0.35">
      <c r="A20" s="1">
        <v>19</v>
      </c>
      <c r="B20" s="1">
        <v>45838.834351851852</v>
      </c>
      <c r="C20" s="1" t="s">
        <v>249</v>
      </c>
      <c r="D20" s="1" t="s">
        <v>250</v>
      </c>
      <c r="E20" s="1" t="s">
        <v>63</v>
      </c>
      <c r="F20" s="1" t="s">
        <v>63</v>
      </c>
      <c r="G20" s="1" t="s">
        <v>251</v>
      </c>
      <c r="H20" s="1" t="s">
        <v>242</v>
      </c>
      <c r="I20" s="1" t="s">
        <v>243</v>
      </c>
      <c r="J20" s="1" t="s">
        <v>67</v>
      </c>
      <c r="K20" s="1" t="s">
        <v>252</v>
      </c>
      <c r="L20" s="1" t="s">
        <v>69</v>
      </c>
      <c r="M20" s="1" t="s">
        <v>69</v>
      </c>
      <c r="N20" s="1" t="s">
        <v>69</v>
      </c>
      <c r="O20" s="1" t="s">
        <v>69</v>
      </c>
      <c r="P20" s="1" t="s">
        <v>106</v>
      </c>
      <c r="Q20" s="1" t="s">
        <v>107</v>
      </c>
      <c r="R20" s="1" t="s">
        <v>253</v>
      </c>
      <c r="S20" s="1">
        <v>60</v>
      </c>
      <c r="T20" s="1" t="s">
        <v>182</v>
      </c>
      <c r="U20" s="1" t="s">
        <v>254</v>
      </c>
      <c r="V20" s="1" t="s">
        <v>255</v>
      </c>
      <c r="W20" s="1" t="s">
        <v>184</v>
      </c>
      <c r="X20" s="1">
        <v>6</v>
      </c>
      <c r="Y20" s="1">
        <v>6</v>
      </c>
      <c r="Z20" s="1" t="s">
        <v>83</v>
      </c>
      <c r="AA20" s="1">
        <v>6</v>
      </c>
      <c r="AB20" s="1">
        <v>6</v>
      </c>
      <c r="AC20" s="1" t="s">
        <v>83</v>
      </c>
      <c r="AD20" s="1">
        <v>6</v>
      </c>
      <c r="AE20" s="1">
        <v>6</v>
      </c>
      <c r="AF20" s="1" t="s">
        <v>83</v>
      </c>
      <c r="AG20" s="1">
        <v>6</v>
      </c>
      <c r="AH20" s="1">
        <v>6</v>
      </c>
      <c r="AI20" s="1" t="s">
        <v>83</v>
      </c>
      <c r="AJ20" s="1">
        <v>6</v>
      </c>
      <c r="AK20" s="1">
        <v>6</v>
      </c>
      <c r="AL20" s="1" t="s">
        <v>83</v>
      </c>
      <c r="AM20" s="1">
        <v>6</v>
      </c>
      <c r="AN20" s="1">
        <v>6</v>
      </c>
      <c r="AO20" s="1" t="s">
        <v>83</v>
      </c>
      <c r="AP20" s="1">
        <v>6</v>
      </c>
      <c r="AQ20" s="1">
        <v>6</v>
      </c>
      <c r="AR20" s="1" t="s">
        <v>83</v>
      </c>
      <c r="AS20" s="1">
        <v>6</v>
      </c>
      <c r="AT20" s="1">
        <v>6</v>
      </c>
      <c r="AU20" s="1" t="s">
        <v>83</v>
      </c>
      <c r="AV20" s="1">
        <v>5</v>
      </c>
      <c r="AW20" s="1">
        <v>6</v>
      </c>
      <c r="AX20" s="1" t="s">
        <v>83</v>
      </c>
      <c r="AY20" s="1">
        <v>0</v>
      </c>
      <c r="AZ20" s="1">
        <v>0</v>
      </c>
      <c r="BA20" s="1">
        <v>1</v>
      </c>
      <c r="BB20" s="1" t="s">
        <v>83</v>
      </c>
      <c r="BC20" s="1">
        <v>0</v>
      </c>
      <c r="BD20" s="1" t="s">
        <v>256</v>
      </c>
      <c r="BE20" s="1" t="s">
        <v>257</v>
      </c>
      <c r="BF20" s="1" t="s">
        <v>258</v>
      </c>
      <c r="BG20" s="1" t="s">
        <v>248</v>
      </c>
    </row>
    <row r="21" spans="1:59" x14ac:dyDescent="0.35">
      <c r="A21" s="1">
        <v>20</v>
      </c>
      <c r="B21" s="1">
        <v>45838.862743055557</v>
      </c>
      <c r="C21" s="1" t="s">
        <v>259</v>
      </c>
      <c r="D21" s="1" t="s">
        <v>260</v>
      </c>
      <c r="E21" s="1" t="s">
        <v>63</v>
      </c>
      <c r="F21" s="1" t="s">
        <v>136</v>
      </c>
      <c r="G21" s="1" t="s">
        <v>261</v>
      </c>
      <c r="H21" s="1" t="s">
        <v>210</v>
      </c>
      <c r="I21" s="1" t="s">
        <v>211</v>
      </c>
      <c r="J21" s="1" t="s">
        <v>163</v>
      </c>
      <c r="K21" s="1" t="s">
        <v>262</v>
      </c>
      <c r="L21" s="1" t="s">
        <v>69</v>
      </c>
      <c r="M21" s="1" t="s">
        <v>69</v>
      </c>
      <c r="N21" s="1" t="s">
        <v>69</v>
      </c>
      <c r="O21" s="1" t="s">
        <v>69</v>
      </c>
      <c r="P21" s="1" t="s">
        <v>106</v>
      </c>
      <c r="Q21" s="1" t="s">
        <v>107</v>
      </c>
      <c r="R21" s="1" t="s">
        <v>2438</v>
      </c>
      <c r="S21" s="1">
        <v>18</v>
      </c>
      <c r="T21" s="1" t="s">
        <v>131</v>
      </c>
      <c r="U21" s="1" t="s">
        <v>73</v>
      </c>
      <c r="V21" s="1" t="s">
        <v>74</v>
      </c>
      <c r="W21" s="1" t="s">
        <v>74</v>
      </c>
      <c r="X21" s="1">
        <v>5</v>
      </c>
      <c r="Y21" s="1">
        <v>5</v>
      </c>
      <c r="Z21" s="1" t="s">
        <v>83</v>
      </c>
      <c r="AA21" s="1">
        <v>6</v>
      </c>
      <c r="AB21" s="1">
        <v>6</v>
      </c>
      <c r="AC21" s="1" t="s">
        <v>83</v>
      </c>
      <c r="AD21" s="1">
        <v>6</v>
      </c>
      <c r="AE21" s="1">
        <v>6</v>
      </c>
      <c r="AF21" s="1" t="s">
        <v>83</v>
      </c>
      <c r="AG21" s="1">
        <v>6</v>
      </c>
      <c r="AH21" s="1">
        <v>6</v>
      </c>
      <c r="AI21" s="1" t="s">
        <v>83</v>
      </c>
      <c r="AJ21" s="1">
        <v>6</v>
      </c>
      <c r="AK21" s="1">
        <v>6</v>
      </c>
      <c r="AL21" s="1" t="s">
        <v>83</v>
      </c>
      <c r="AM21" s="1">
        <v>6</v>
      </c>
      <c r="AN21" s="1">
        <v>6</v>
      </c>
      <c r="AO21" s="1" t="s">
        <v>83</v>
      </c>
      <c r="AP21" s="1">
        <v>6</v>
      </c>
      <c r="AQ21" s="1">
        <v>6</v>
      </c>
      <c r="AR21" s="1" t="s">
        <v>83</v>
      </c>
      <c r="AS21" s="1">
        <v>5</v>
      </c>
      <c r="AT21" s="1">
        <v>5</v>
      </c>
      <c r="AU21" s="1" t="s">
        <v>83</v>
      </c>
      <c r="AV21" s="1">
        <v>4</v>
      </c>
      <c r="AW21" s="1">
        <v>4</v>
      </c>
      <c r="AX21" s="1" t="s">
        <v>83</v>
      </c>
      <c r="AY21" s="1">
        <v>0</v>
      </c>
      <c r="AZ21" s="1">
        <v>0</v>
      </c>
      <c r="BA21" s="1">
        <v>0</v>
      </c>
      <c r="BB21" s="1" t="s">
        <v>144</v>
      </c>
      <c r="BC21" s="1">
        <v>1</v>
      </c>
      <c r="BD21" s="1" t="s">
        <v>263</v>
      </c>
      <c r="BE21" s="1" t="s">
        <v>98</v>
      </c>
      <c r="BF21" s="1" t="s">
        <v>264</v>
      </c>
      <c r="BG21" s="1" t="s">
        <v>98</v>
      </c>
    </row>
    <row r="22" spans="1:59" x14ac:dyDescent="0.35">
      <c r="A22" s="1">
        <v>21</v>
      </c>
      <c r="B22" s="1">
        <v>45838.837812500002</v>
      </c>
      <c r="C22" s="1" t="s">
        <v>265</v>
      </c>
      <c r="D22" s="1" t="s">
        <v>266</v>
      </c>
      <c r="E22" s="1" t="s">
        <v>267</v>
      </c>
      <c r="F22" s="1" t="s">
        <v>268</v>
      </c>
      <c r="G22" s="1" t="s">
        <v>269</v>
      </c>
      <c r="H22" s="1" t="s">
        <v>242</v>
      </c>
      <c r="I22" s="1" t="s">
        <v>243</v>
      </c>
      <c r="J22" s="1" t="s">
        <v>67</v>
      </c>
      <c r="K22" s="1" t="s">
        <v>270</v>
      </c>
      <c r="L22" s="1" t="s">
        <v>69</v>
      </c>
      <c r="M22" s="1" t="s">
        <v>69</v>
      </c>
      <c r="N22" s="1" t="s">
        <v>69</v>
      </c>
      <c r="O22" s="1" t="s">
        <v>69</v>
      </c>
      <c r="P22" s="1" t="s">
        <v>106</v>
      </c>
      <c r="Q22" s="1" t="s">
        <v>271</v>
      </c>
      <c r="R22" s="1" t="s">
        <v>272</v>
      </c>
      <c r="S22" s="1">
        <v>43</v>
      </c>
      <c r="T22" s="1" t="s">
        <v>197</v>
      </c>
      <c r="U22" s="1" t="s">
        <v>273</v>
      </c>
      <c r="V22" s="1" t="s">
        <v>274</v>
      </c>
      <c r="W22" s="1" t="s">
        <v>274</v>
      </c>
      <c r="X22" s="1">
        <v>6</v>
      </c>
      <c r="Y22" s="1">
        <v>6</v>
      </c>
      <c r="Z22" s="1" t="s">
        <v>83</v>
      </c>
      <c r="AA22" s="1">
        <v>6</v>
      </c>
      <c r="AB22" s="1">
        <v>6</v>
      </c>
      <c r="AC22" s="1" t="s">
        <v>83</v>
      </c>
      <c r="AD22" s="1">
        <v>6</v>
      </c>
      <c r="AE22" s="1">
        <v>6</v>
      </c>
      <c r="AF22" s="1" t="s">
        <v>83</v>
      </c>
      <c r="AG22" s="1">
        <v>6</v>
      </c>
      <c r="AH22" s="1">
        <v>6</v>
      </c>
      <c r="AI22" s="1" t="s">
        <v>83</v>
      </c>
      <c r="AJ22" s="1">
        <v>6</v>
      </c>
      <c r="AK22" s="1">
        <v>6</v>
      </c>
      <c r="AL22" s="1" t="s">
        <v>83</v>
      </c>
      <c r="AM22" s="1">
        <v>6</v>
      </c>
      <c r="AN22" s="1">
        <v>6</v>
      </c>
      <c r="AO22" s="1" t="s">
        <v>83</v>
      </c>
      <c r="AP22" s="1">
        <v>6</v>
      </c>
      <c r="AQ22" s="1">
        <v>6</v>
      </c>
      <c r="AR22" s="1" t="s">
        <v>83</v>
      </c>
      <c r="AS22" s="1">
        <v>6</v>
      </c>
      <c r="AT22" s="1">
        <v>6</v>
      </c>
      <c r="AU22" s="1" t="s">
        <v>83</v>
      </c>
      <c r="AV22" s="1">
        <v>6</v>
      </c>
      <c r="AW22" s="1">
        <v>6</v>
      </c>
      <c r="AX22" s="1" t="s">
        <v>83</v>
      </c>
      <c r="AY22" s="1">
        <v>0</v>
      </c>
      <c r="AZ22" s="1">
        <v>0</v>
      </c>
      <c r="BA22" s="1">
        <v>0</v>
      </c>
      <c r="BB22" s="1" t="s">
        <v>275</v>
      </c>
      <c r="BC22" s="1">
        <v>2</v>
      </c>
      <c r="BD22" s="1" t="s">
        <v>277</v>
      </c>
      <c r="BE22" s="1" t="s">
        <v>248</v>
      </c>
      <c r="BF22" s="1" t="s">
        <v>248</v>
      </c>
      <c r="BG22" s="1" t="s">
        <v>278</v>
      </c>
    </row>
    <row r="23" spans="1:59" x14ac:dyDescent="0.35">
      <c r="A23" s="1">
        <v>22</v>
      </c>
      <c r="B23" s="1">
        <v>45838.83902777778</v>
      </c>
      <c r="C23" s="1" t="s">
        <v>279</v>
      </c>
      <c r="D23" s="1" t="s">
        <v>280</v>
      </c>
      <c r="E23" s="1" t="s">
        <v>63</v>
      </c>
      <c r="F23" s="1" t="s">
        <v>63</v>
      </c>
      <c r="G23" s="1" t="s">
        <v>281</v>
      </c>
      <c r="H23" s="1" t="s">
        <v>65</v>
      </c>
      <c r="I23" s="1" t="s">
        <v>66</v>
      </c>
      <c r="J23" s="1" t="s">
        <v>151</v>
      </c>
      <c r="K23" s="1" t="s">
        <v>282</v>
      </c>
      <c r="L23" s="1" t="s">
        <v>69</v>
      </c>
      <c r="M23" s="1" t="s">
        <v>69</v>
      </c>
      <c r="N23" s="1" t="s">
        <v>69</v>
      </c>
      <c r="O23" s="1" t="s">
        <v>69</v>
      </c>
      <c r="P23" s="1" t="s">
        <v>70</v>
      </c>
      <c r="Q23" s="1" t="s">
        <v>107</v>
      </c>
      <c r="R23" s="1" t="s">
        <v>2442</v>
      </c>
      <c r="S23" s="1">
        <v>56</v>
      </c>
      <c r="T23" s="1" t="s">
        <v>182</v>
      </c>
      <c r="U23" s="1" t="s">
        <v>73</v>
      </c>
      <c r="V23" s="1" t="s">
        <v>232</v>
      </c>
      <c r="W23" s="1" t="s">
        <v>232</v>
      </c>
      <c r="X23" s="1">
        <v>6</v>
      </c>
      <c r="Y23" s="1">
        <v>6</v>
      </c>
      <c r="Z23" s="1" t="s">
        <v>83</v>
      </c>
      <c r="AA23" s="1">
        <v>6</v>
      </c>
      <c r="AB23" s="1">
        <v>6</v>
      </c>
      <c r="AC23" s="1" t="s">
        <v>83</v>
      </c>
      <c r="AD23" s="1">
        <v>6</v>
      </c>
      <c r="AE23" s="1">
        <v>6</v>
      </c>
      <c r="AF23" s="1" t="s">
        <v>83</v>
      </c>
      <c r="AG23" s="1">
        <v>6</v>
      </c>
      <c r="AH23" s="1">
        <v>6</v>
      </c>
      <c r="AI23" s="1" t="s">
        <v>83</v>
      </c>
      <c r="AJ23" s="1">
        <v>5</v>
      </c>
      <c r="AK23" s="1">
        <v>6</v>
      </c>
      <c r="AL23" s="1" t="s">
        <v>83</v>
      </c>
      <c r="AM23" s="1">
        <v>6</v>
      </c>
      <c r="AN23" s="1">
        <v>6</v>
      </c>
      <c r="AO23" s="1" t="s">
        <v>83</v>
      </c>
      <c r="AP23" s="1">
        <v>6</v>
      </c>
      <c r="AQ23" s="1">
        <v>6</v>
      </c>
      <c r="AR23" s="1" t="s">
        <v>83</v>
      </c>
      <c r="AS23" s="1">
        <v>6</v>
      </c>
      <c r="AT23" s="1">
        <v>6</v>
      </c>
      <c r="AU23" s="1" t="s">
        <v>83</v>
      </c>
      <c r="AV23" s="1">
        <v>6</v>
      </c>
      <c r="AW23" s="1">
        <v>6</v>
      </c>
      <c r="AX23" s="1" t="s">
        <v>83</v>
      </c>
      <c r="AY23" s="1">
        <v>0</v>
      </c>
      <c r="AZ23" s="1">
        <v>0</v>
      </c>
      <c r="BA23" s="1">
        <v>0</v>
      </c>
      <c r="BB23" s="1" t="s">
        <v>283</v>
      </c>
      <c r="BC23" s="1">
        <v>2</v>
      </c>
      <c r="BD23" s="1" t="s">
        <v>284</v>
      </c>
      <c r="BE23" s="1" t="s">
        <v>285</v>
      </c>
      <c r="BF23" s="1" t="s">
        <v>286</v>
      </c>
      <c r="BG23" s="1" t="s">
        <v>83</v>
      </c>
    </row>
    <row r="24" spans="1:59" x14ac:dyDescent="0.35">
      <c r="A24" s="1">
        <v>23</v>
      </c>
      <c r="B24" s="1">
        <v>45838.84101851852</v>
      </c>
      <c r="C24" s="1" t="s">
        <v>287</v>
      </c>
      <c r="D24" s="1" t="s">
        <v>288</v>
      </c>
      <c r="E24" s="1" t="s">
        <v>63</v>
      </c>
      <c r="F24" s="1" t="s">
        <v>289</v>
      </c>
      <c r="G24" s="1" t="s">
        <v>290</v>
      </c>
      <c r="H24" s="1" t="s">
        <v>242</v>
      </c>
      <c r="I24" s="1" t="s">
        <v>243</v>
      </c>
      <c r="J24" s="1" t="s">
        <v>67</v>
      </c>
      <c r="K24" s="1" t="s">
        <v>291</v>
      </c>
      <c r="L24" s="1" t="s">
        <v>69</v>
      </c>
      <c r="M24" s="1" t="s">
        <v>69</v>
      </c>
      <c r="N24" s="1" t="s">
        <v>69</v>
      </c>
      <c r="O24" s="1" t="s">
        <v>69</v>
      </c>
      <c r="P24" s="1" t="s">
        <v>70</v>
      </c>
      <c r="Q24" s="1" t="s">
        <v>292</v>
      </c>
      <c r="R24" s="1" t="s">
        <v>130</v>
      </c>
      <c r="S24" s="1">
        <v>18</v>
      </c>
      <c r="T24" s="1" t="s">
        <v>131</v>
      </c>
      <c r="U24" s="1" t="s">
        <v>73</v>
      </c>
      <c r="V24" s="1" t="s">
        <v>94</v>
      </c>
      <c r="W24" s="1" t="s">
        <v>95</v>
      </c>
      <c r="X24" s="1">
        <v>6</v>
      </c>
      <c r="Y24" s="1">
        <v>6</v>
      </c>
      <c r="Z24" s="1" t="s">
        <v>83</v>
      </c>
      <c r="AA24" s="1">
        <v>6</v>
      </c>
      <c r="AB24" s="1">
        <v>6</v>
      </c>
      <c r="AC24" s="1" t="s">
        <v>83</v>
      </c>
      <c r="AD24" s="1">
        <v>6</v>
      </c>
      <c r="AE24" s="1">
        <v>6</v>
      </c>
      <c r="AF24" s="1" t="s">
        <v>83</v>
      </c>
      <c r="AG24" s="1">
        <v>6</v>
      </c>
      <c r="AH24" s="1">
        <v>6</v>
      </c>
      <c r="AI24" s="1" t="s">
        <v>83</v>
      </c>
      <c r="AJ24" s="1">
        <v>6</v>
      </c>
      <c r="AK24" s="1">
        <v>6</v>
      </c>
      <c r="AL24" s="1" t="s">
        <v>83</v>
      </c>
      <c r="AM24" s="1">
        <v>6</v>
      </c>
      <c r="AN24" s="1">
        <v>6</v>
      </c>
      <c r="AO24" s="1" t="s">
        <v>83</v>
      </c>
      <c r="AP24" s="1">
        <v>6</v>
      </c>
      <c r="AQ24" s="1">
        <v>6</v>
      </c>
      <c r="AR24" s="1" t="s">
        <v>83</v>
      </c>
      <c r="AS24" s="1">
        <v>6</v>
      </c>
      <c r="AT24" s="1">
        <v>6</v>
      </c>
      <c r="AU24" s="1" t="s">
        <v>83</v>
      </c>
      <c r="AV24" s="1">
        <v>6</v>
      </c>
      <c r="AW24" s="1">
        <v>6</v>
      </c>
      <c r="AX24" s="1" t="s">
        <v>83</v>
      </c>
      <c r="AY24" s="1">
        <v>0</v>
      </c>
      <c r="AZ24" s="1">
        <v>0</v>
      </c>
      <c r="BA24" s="1">
        <v>0</v>
      </c>
      <c r="BB24" s="1" t="s">
        <v>293</v>
      </c>
      <c r="BC24" s="1">
        <v>1</v>
      </c>
      <c r="BD24" s="1" t="s">
        <v>248</v>
      </c>
      <c r="BE24" s="1" t="s">
        <v>248</v>
      </c>
      <c r="BF24" s="1" t="s">
        <v>248</v>
      </c>
      <c r="BG24" s="1" t="s">
        <v>248</v>
      </c>
    </row>
    <row r="25" spans="1:59" x14ac:dyDescent="0.35">
      <c r="A25" s="1">
        <v>24</v>
      </c>
      <c r="B25" s="1">
        <v>45838.874444444446</v>
      </c>
      <c r="C25" s="1" t="s">
        <v>294</v>
      </c>
      <c r="D25" s="1" t="s">
        <v>295</v>
      </c>
      <c r="E25" s="1" t="s">
        <v>63</v>
      </c>
      <c r="F25" s="1" t="s">
        <v>136</v>
      </c>
      <c r="G25" s="1" t="s">
        <v>296</v>
      </c>
      <c r="H25" s="1" t="s">
        <v>210</v>
      </c>
      <c r="I25" s="1" t="s">
        <v>211</v>
      </c>
      <c r="J25" s="1" t="s">
        <v>163</v>
      </c>
      <c r="K25" s="1" t="s">
        <v>297</v>
      </c>
      <c r="L25" s="1" t="s">
        <v>69</v>
      </c>
      <c r="M25" s="1" t="s">
        <v>69</v>
      </c>
      <c r="N25" s="1" t="s">
        <v>69</v>
      </c>
      <c r="O25" s="1" t="s">
        <v>69</v>
      </c>
      <c r="P25" s="1" t="s">
        <v>70</v>
      </c>
      <c r="Q25" s="1" t="s">
        <v>107</v>
      </c>
      <c r="R25" s="1" t="s">
        <v>2438</v>
      </c>
      <c r="S25" s="1">
        <v>18</v>
      </c>
      <c r="T25" s="1" t="s">
        <v>131</v>
      </c>
      <c r="U25" s="1" t="s">
        <v>73</v>
      </c>
      <c r="V25" s="1" t="s">
        <v>94</v>
      </c>
      <c r="W25" s="1" t="s">
        <v>95</v>
      </c>
      <c r="X25" s="1">
        <v>6</v>
      </c>
      <c r="Y25" s="1">
        <v>6</v>
      </c>
      <c r="Z25" s="1" t="s">
        <v>83</v>
      </c>
      <c r="AA25" s="1">
        <v>6</v>
      </c>
      <c r="AB25" s="1">
        <v>6</v>
      </c>
      <c r="AC25" s="1" t="s">
        <v>83</v>
      </c>
      <c r="AD25" s="1">
        <v>6</v>
      </c>
      <c r="AE25" s="1">
        <v>6</v>
      </c>
      <c r="AF25" s="1" t="s">
        <v>83</v>
      </c>
      <c r="AG25" s="1">
        <v>6</v>
      </c>
      <c r="AH25" s="1">
        <v>6</v>
      </c>
      <c r="AI25" s="1" t="s">
        <v>83</v>
      </c>
      <c r="AJ25" s="1">
        <v>6</v>
      </c>
      <c r="AK25" s="1">
        <v>6</v>
      </c>
      <c r="AL25" s="1" t="s">
        <v>83</v>
      </c>
      <c r="AM25" s="1">
        <v>6</v>
      </c>
      <c r="AN25" s="1">
        <v>6</v>
      </c>
      <c r="AO25" s="1" t="s">
        <v>83</v>
      </c>
      <c r="AP25" s="1">
        <v>5</v>
      </c>
      <c r="AQ25" s="1">
        <v>6</v>
      </c>
      <c r="AR25" s="1" t="s">
        <v>83</v>
      </c>
      <c r="AS25" s="1">
        <v>6</v>
      </c>
      <c r="AT25" s="1">
        <v>6</v>
      </c>
      <c r="AU25" s="1" t="s">
        <v>83</v>
      </c>
      <c r="AV25" s="1">
        <v>6</v>
      </c>
      <c r="AW25" s="1">
        <v>6</v>
      </c>
      <c r="AX25" s="1" t="s">
        <v>83</v>
      </c>
      <c r="AY25" s="1">
        <v>3</v>
      </c>
      <c r="AZ25" s="1">
        <v>0</v>
      </c>
      <c r="BA25" s="1">
        <v>0</v>
      </c>
      <c r="BB25" s="1" t="s">
        <v>83</v>
      </c>
      <c r="BC25" s="1">
        <v>0</v>
      </c>
      <c r="BD25" s="1" t="s">
        <v>298</v>
      </c>
      <c r="BE25" s="1" t="s">
        <v>98</v>
      </c>
      <c r="BF25" s="1" t="s">
        <v>98</v>
      </c>
      <c r="BG25" s="1" t="s">
        <v>98</v>
      </c>
    </row>
    <row r="26" spans="1:59" x14ac:dyDescent="0.35">
      <c r="A26" s="1">
        <v>25</v>
      </c>
      <c r="B26" s="1">
        <v>45838.844189814816</v>
      </c>
      <c r="C26" s="1" t="s">
        <v>299</v>
      </c>
      <c r="D26" s="1" t="s">
        <v>300</v>
      </c>
      <c r="E26" s="1" t="s">
        <v>63</v>
      </c>
      <c r="F26" s="1" t="s">
        <v>179</v>
      </c>
      <c r="G26" s="1" t="s">
        <v>301</v>
      </c>
      <c r="H26" s="1" t="s">
        <v>242</v>
      </c>
      <c r="I26" s="1" t="s">
        <v>243</v>
      </c>
      <c r="J26" s="1" t="s">
        <v>302</v>
      </c>
      <c r="K26" s="1" t="s">
        <v>303</v>
      </c>
      <c r="L26" s="1" t="s">
        <v>69</v>
      </c>
      <c r="M26" s="1" t="s">
        <v>69</v>
      </c>
      <c r="N26" s="1" t="s">
        <v>69</v>
      </c>
      <c r="O26" s="1" t="s">
        <v>69</v>
      </c>
      <c r="P26" s="1" t="s">
        <v>106</v>
      </c>
      <c r="Q26" s="1" t="s">
        <v>271</v>
      </c>
      <c r="R26" s="1" t="s">
        <v>130</v>
      </c>
      <c r="S26" s="1">
        <v>18</v>
      </c>
      <c r="T26" s="1" t="s">
        <v>131</v>
      </c>
      <c r="U26" s="1" t="s">
        <v>73</v>
      </c>
      <c r="V26" s="1" t="s">
        <v>94</v>
      </c>
      <c r="W26" s="1" t="s">
        <v>95</v>
      </c>
      <c r="X26" s="1">
        <v>6</v>
      </c>
      <c r="Y26" s="1">
        <v>5</v>
      </c>
      <c r="Z26" s="1" t="s">
        <v>83</v>
      </c>
      <c r="AA26" s="1">
        <v>5</v>
      </c>
      <c r="AB26" s="1">
        <v>6</v>
      </c>
      <c r="AC26" s="1" t="s">
        <v>83</v>
      </c>
      <c r="AD26" s="1">
        <v>6</v>
      </c>
      <c r="AE26" s="1">
        <v>6</v>
      </c>
      <c r="AF26" s="1" t="s">
        <v>83</v>
      </c>
      <c r="AG26" s="1">
        <v>6</v>
      </c>
      <c r="AH26" s="1">
        <v>5</v>
      </c>
      <c r="AI26" s="1" t="s">
        <v>83</v>
      </c>
      <c r="AJ26" s="1">
        <v>6</v>
      </c>
      <c r="AK26" s="1">
        <v>6</v>
      </c>
      <c r="AL26" s="1" t="s">
        <v>83</v>
      </c>
      <c r="AM26" s="1">
        <v>6</v>
      </c>
      <c r="AN26" s="1">
        <v>5</v>
      </c>
      <c r="AO26" s="1" t="s">
        <v>83</v>
      </c>
      <c r="AP26" s="1">
        <v>6</v>
      </c>
      <c r="AQ26" s="1">
        <v>6</v>
      </c>
      <c r="AR26" s="1" t="s">
        <v>83</v>
      </c>
      <c r="AS26" s="1">
        <v>6</v>
      </c>
      <c r="AT26" s="1">
        <v>5</v>
      </c>
      <c r="AU26" s="1" t="s">
        <v>83</v>
      </c>
      <c r="AV26" s="1">
        <v>6</v>
      </c>
      <c r="AW26" s="1">
        <v>6</v>
      </c>
      <c r="AX26" s="1" t="s">
        <v>83</v>
      </c>
      <c r="AY26" s="1">
        <v>0</v>
      </c>
      <c r="AZ26" s="1">
        <v>0</v>
      </c>
      <c r="BA26" s="1">
        <v>0</v>
      </c>
      <c r="BB26" s="1" t="s">
        <v>144</v>
      </c>
      <c r="BC26" s="1">
        <v>1</v>
      </c>
      <c r="BD26" s="1" t="s">
        <v>248</v>
      </c>
      <c r="BE26" s="1" t="s">
        <v>248</v>
      </c>
      <c r="BF26" s="1" t="s">
        <v>248</v>
      </c>
      <c r="BG26" s="1" t="s">
        <v>277</v>
      </c>
    </row>
    <row r="27" spans="1:59" x14ac:dyDescent="0.35">
      <c r="A27" s="1">
        <v>26</v>
      </c>
      <c r="B27" s="1">
        <v>45838.846215277779</v>
      </c>
      <c r="C27" s="1" t="s">
        <v>304</v>
      </c>
      <c r="D27" s="1" t="s">
        <v>305</v>
      </c>
      <c r="E27" s="1" t="s">
        <v>63</v>
      </c>
      <c r="F27" s="1" t="s">
        <v>136</v>
      </c>
      <c r="G27" s="1" t="s">
        <v>306</v>
      </c>
      <c r="H27" s="1" t="s">
        <v>210</v>
      </c>
      <c r="I27" s="1" t="s">
        <v>211</v>
      </c>
      <c r="J27" s="1" t="s">
        <v>307</v>
      </c>
      <c r="K27" s="1" t="s">
        <v>308</v>
      </c>
      <c r="L27" s="1" t="s">
        <v>69</v>
      </c>
      <c r="M27" s="1" t="s">
        <v>69</v>
      </c>
      <c r="N27" s="1" t="s">
        <v>69</v>
      </c>
      <c r="O27" s="1" t="s">
        <v>69</v>
      </c>
      <c r="P27" s="1" t="s">
        <v>106</v>
      </c>
      <c r="Q27" s="1" t="s">
        <v>71</v>
      </c>
      <c r="R27" s="1" t="s">
        <v>2443</v>
      </c>
      <c r="S27" s="1">
        <v>25</v>
      </c>
      <c r="T27" s="1" t="s">
        <v>72</v>
      </c>
      <c r="U27" s="1" t="s">
        <v>73</v>
      </c>
      <c r="V27" s="1" t="s">
        <v>309</v>
      </c>
      <c r="W27" s="1" t="s">
        <v>133</v>
      </c>
      <c r="X27" s="1">
        <v>6</v>
      </c>
      <c r="Y27" s="1">
        <v>5</v>
      </c>
      <c r="Z27" s="1" t="s">
        <v>83</v>
      </c>
      <c r="AA27" s="1">
        <v>5</v>
      </c>
      <c r="AB27" s="1">
        <v>6</v>
      </c>
      <c r="AC27" s="1" t="s">
        <v>83</v>
      </c>
      <c r="AD27" s="1">
        <v>6</v>
      </c>
      <c r="AE27" s="1">
        <v>6</v>
      </c>
      <c r="AF27" s="1" t="s">
        <v>83</v>
      </c>
      <c r="AG27" s="1">
        <v>6</v>
      </c>
      <c r="AH27" s="1">
        <v>6</v>
      </c>
      <c r="AI27" s="1" t="s">
        <v>83</v>
      </c>
      <c r="AJ27" s="1">
        <v>5</v>
      </c>
      <c r="AK27" s="1">
        <v>6</v>
      </c>
      <c r="AL27" s="1" t="s">
        <v>83</v>
      </c>
      <c r="AM27" s="1">
        <v>5</v>
      </c>
      <c r="AN27" s="1">
        <v>6</v>
      </c>
      <c r="AO27" s="1" t="s">
        <v>83</v>
      </c>
      <c r="AP27" s="1">
        <v>6</v>
      </c>
      <c r="AQ27" s="1">
        <v>6</v>
      </c>
      <c r="AR27" s="1" t="s">
        <v>83</v>
      </c>
      <c r="AS27" s="1">
        <v>6</v>
      </c>
      <c r="AT27" s="1">
        <v>6</v>
      </c>
      <c r="AU27" s="1" t="s">
        <v>83</v>
      </c>
      <c r="AV27" s="1">
        <v>5</v>
      </c>
      <c r="AW27" s="1">
        <v>6</v>
      </c>
      <c r="AX27" s="1" t="s">
        <v>83</v>
      </c>
      <c r="AY27" s="1">
        <v>0</v>
      </c>
      <c r="AZ27" s="1">
        <v>0</v>
      </c>
      <c r="BA27" s="1">
        <v>0</v>
      </c>
      <c r="BB27" s="1" t="s">
        <v>144</v>
      </c>
      <c r="BC27" s="1">
        <v>1</v>
      </c>
      <c r="BD27" s="1" t="s">
        <v>98</v>
      </c>
      <c r="BE27" s="1" t="s">
        <v>98</v>
      </c>
      <c r="BF27" s="1" t="s">
        <v>98</v>
      </c>
      <c r="BG27" s="1" t="s">
        <v>98</v>
      </c>
    </row>
    <row r="28" spans="1:59" x14ac:dyDescent="0.35">
      <c r="A28" s="1">
        <v>27</v>
      </c>
      <c r="B28" s="1">
        <v>45838.848599537036</v>
      </c>
      <c r="C28" s="1" t="s">
        <v>310</v>
      </c>
      <c r="D28" s="1" t="s">
        <v>311</v>
      </c>
      <c r="E28" s="1" t="s">
        <v>63</v>
      </c>
      <c r="F28" s="1" t="s">
        <v>312</v>
      </c>
      <c r="G28" s="1" t="s">
        <v>313</v>
      </c>
      <c r="H28" s="1" t="s">
        <v>242</v>
      </c>
      <c r="I28" s="1" t="s">
        <v>243</v>
      </c>
      <c r="J28" s="1" t="s">
        <v>302</v>
      </c>
      <c r="K28" s="1" t="s">
        <v>314</v>
      </c>
      <c r="L28" s="1" t="s">
        <v>69</v>
      </c>
      <c r="M28" s="1" t="s">
        <v>69</v>
      </c>
      <c r="N28" s="1" t="s">
        <v>69</v>
      </c>
      <c r="O28" s="1" t="s">
        <v>69</v>
      </c>
      <c r="P28" s="1" t="s">
        <v>106</v>
      </c>
      <c r="Q28" s="1" t="s">
        <v>292</v>
      </c>
      <c r="R28" s="1" t="s">
        <v>130</v>
      </c>
      <c r="S28" s="1">
        <v>18</v>
      </c>
      <c r="T28" s="1" t="s">
        <v>131</v>
      </c>
      <c r="U28" s="1" t="s">
        <v>73</v>
      </c>
      <c r="V28" s="1" t="s">
        <v>94</v>
      </c>
      <c r="W28" s="1" t="s">
        <v>95</v>
      </c>
      <c r="X28" s="1">
        <v>4</v>
      </c>
      <c r="Y28" s="1">
        <v>5</v>
      </c>
      <c r="Z28" s="1" t="s">
        <v>83</v>
      </c>
      <c r="AA28" s="1">
        <v>4</v>
      </c>
      <c r="AB28" s="1">
        <v>6</v>
      </c>
      <c r="AC28" s="1" t="s">
        <v>83</v>
      </c>
      <c r="AD28" s="1">
        <v>3</v>
      </c>
      <c r="AE28" s="1">
        <v>4</v>
      </c>
      <c r="AF28" s="1" t="s">
        <v>2444</v>
      </c>
      <c r="AG28" s="1">
        <v>4</v>
      </c>
      <c r="AH28" s="1">
        <v>5</v>
      </c>
      <c r="AI28" s="1" t="s">
        <v>83</v>
      </c>
      <c r="AJ28" s="1">
        <v>5</v>
      </c>
      <c r="AK28" s="1">
        <v>6</v>
      </c>
      <c r="AL28" s="1" t="s">
        <v>83</v>
      </c>
      <c r="AM28" s="1">
        <v>5</v>
      </c>
      <c r="AN28" s="1">
        <v>6</v>
      </c>
      <c r="AO28" s="1" t="s">
        <v>83</v>
      </c>
      <c r="AP28" s="1">
        <v>5</v>
      </c>
      <c r="AQ28" s="1">
        <v>6</v>
      </c>
      <c r="AR28" s="1" t="s">
        <v>83</v>
      </c>
      <c r="AS28" s="1">
        <v>4</v>
      </c>
      <c r="AT28" s="1">
        <v>6</v>
      </c>
      <c r="AU28" s="1" t="s">
        <v>83</v>
      </c>
      <c r="AV28" s="1">
        <v>5</v>
      </c>
      <c r="AW28" s="1">
        <v>5</v>
      </c>
      <c r="AX28" s="1" t="s">
        <v>83</v>
      </c>
      <c r="AY28" s="1">
        <v>0</v>
      </c>
      <c r="AZ28" s="1">
        <v>0</v>
      </c>
      <c r="BA28" s="1">
        <v>0</v>
      </c>
      <c r="BB28" s="1" t="s">
        <v>144</v>
      </c>
      <c r="BC28" s="1">
        <v>2</v>
      </c>
      <c r="BD28" s="1" t="s">
        <v>315</v>
      </c>
      <c r="BE28" s="1" t="s">
        <v>316</v>
      </c>
      <c r="BF28" s="1" t="s">
        <v>317</v>
      </c>
      <c r="BG28" s="1" t="s">
        <v>248</v>
      </c>
    </row>
    <row r="29" spans="1:59" x14ac:dyDescent="0.35">
      <c r="A29" s="1">
        <v>28</v>
      </c>
      <c r="B29" s="1">
        <v>45838.851331018515</v>
      </c>
      <c r="C29" s="1" t="s">
        <v>318</v>
      </c>
      <c r="D29" s="1" t="s">
        <v>161</v>
      </c>
      <c r="E29" s="1" t="s">
        <v>63</v>
      </c>
      <c r="F29" s="1" t="s">
        <v>136</v>
      </c>
      <c r="G29" s="1" t="s">
        <v>319</v>
      </c>
      <c r="H29" s="1" t="s">
        <v>210</v>
      </c>
      <c r="I29" s="1" t="s">
        <v>211</v>
      </c>
      <c r="J29" s="1" t="s">
        <v>163</v>
      </c>
      <c r="K29" s="1" t="s">
        <v>320</v>
      </c>
      <c r="L29" s="1" t="s">
        <v>69</v>
      </c>
      <c r="M29" s="1" t="s">
        <v>69</v>
      </c>
      <c r="N29" s="1" t="s">
        <v>69</v>
      </c>
      <c r="O29" s="1" t="s">
        <v>69</v>
      </c>
      <c r="P29" s="1" t="s">
        <v>106</v>
      </c>
      <c r="Q29" s="1" t="s">
        <v>71</v>
      </c>
      <c r="R29" s="1" t="s">
        <v>2436</v>
      </c>
      <c r="S29" s="1">
        <v>24</v>
      </c>
      <c r="T29" s="1" t="s">
        <v>72</v>
      </c>
      <c r="U29" s="1" t="s">
        <v>93</v>
      </c>
      <c r="V29" s="1" t="s">
        <v>74</v>
      </c>
      <c r="W29" s="1" t="s">
        <v>74</v>
      </c>
      <c r="X29" s="1">
        <v>6</v>
      </c>
      <c r="Y29" s="1">
        <v>6</v>
      </c>
      <c r="Z29" s="1" t="s">
        <v>83</v>
      </c>
      <c r="AA29" s="1">
        <v>6</v>
      </c>
      <c r="AB29" s="1">
        <v>6</v>
      </c>
      <c r="AC29" s="1" t="s">
        <v>83</v>
      </c>
      <c r="AD29" s="1">
        <v>6</v>
      </c>
      <c r="AE29" s="1">
        <v>6</v>
      </c>
      <c r="AF29" s="1" t="s">
        <v>83</v>
      </c>
      <c r="AG29" s="1">
        <v>6</v>
      </c>
      <c r="AH29" s="1">
        <v>6</v>
      </c>
      <c r="AI29" s="1" t="s">
        <v>83</v>
      </c>
      <c r="AJ29" s="1">
        <v>6</v>
      </c>
      <c r="AK29" s="1">
        <v>6</v>
      </c>
      <c r="AL29" s="1" t="s">
        <v>83</v>
      </c>
      <c r="AM29" s="1">
        <v>6</v>
      </c>
      <c r="AN29" s="1">
        <v>6</v>
      </c>
      <c r="AO29" s="1" t="s">
        <v>83</v>
      </c>
      <c r="AP29" s="1">
        <v>6</v>
      </c>
      <c r="AQ29" s="1">
        <v>6</v>
      </c>
      <c r="AR29" s="1" t="s">
        <v>83</v>
      </c>
      <c r="AS29" s="1">
        <v>6</v>
      </c>
      <c r="AT29" s="1">
        <v>6</v>
      </c>
      <c r="AU29" s="1" t="s">
        <v>83</v>
      </c>
      <c r="AV29" s="1">
        <v>6</v>
      </c>
      <c r="AW29" s="1">
        <v>6</v>
      </c>
      <c r="AX29" s="1" t="s">
        <v>83</v>
      </c>
      <c r="AY29" s="1">
        <v>0</v>
      </c>
      <c r="AZ29" s="1">
        <v>3</v>
      </c>
      <c r="BA29" s="1">
        <v>0</v>
      </c>
      <c r="BB29" s="1" t="s">
        <v>83</v>
      </c>
      <c r="BC29" s="1">
        <v>0</v>
      </c>
      <c r="BD29" s="1" t="s">
        <v>98</v>
      </c>
      <c r="BE29" s="1" t="s">
        <v>98</v>
      </c>
      <c r="BF29" s="1" t="s">
        <v>98</v>
      </c>
      <c r="BG29" s="1" t="s">
        <v>321</v>
      </c>
    </row>
    <row r="30" spans="1:59" x14ac:dyDescent="0.35">
      <c r="A30" s="1">
        <v>29</v>
      </c>
      <c r="B30" s="1">
        <v>45838.851747685185</v>
      </c>
      <c r="C30" s="1" t="s">
        <v>322</v>
      </c>
      <c r="D30" s="1" t="s">
        <v>323</v>
      </c>
      <c r="E30" s="1" t="s">
        <v>63</v>
      </c>
      <c r="F30" s="1" t="s">
        <v>136</v>
      </c>
      <c r="G30" s="1" t="s">
        <v>324</v>
      </c>
      <c r="H30" s="1" t="s">
        <v>242</v>
      </c>
      <c r="I30" s="1" t="s">
        <v>243</v>
      </c>
      <c r="J30" s="1" t="s">
        <v>302</v>
      </c>
      <c r="K30" s="1" t="s">
        <v>325</v>
      </c>
      <c r="L30" s="1" t="s">
        <v>69</v>
      </c>
      <c r="M30" s="1" t="s">
        <v>69</v>
      </c>
      <c r="N30" s="1" t="s">
        <v>69</v>
      </c>
      <c r="O30" s="1" t="s">
        <v>69</v>
      </c>
      <c r="P30" s="1" t="s">
        <v>70</v>
      </c>
      <c r="Q30" s="1" t="s">
        <v>292</v>
      </c>
      <c r="R30" s="1" t="s">
        <v>130</v>
      </c>
      <c r="S30" s="1">
        <v>18</v>
      </c>
      <c r="T30" s="1" t="s">
        <v>131</v>
      </c>
      <c r="U30" s="1" t="s">
        <v>73</v>
      </c>
      <c r="V30" s="1" t="s">
        <v>326</v>
      </c>
      <c r="W30" s="1" t="s">
        <v>74</v>
      </c>
      <c r="X30" s="1">
        <v>6</v>
      </c>
      <c r="Y30" s="1">
        <v>6</v>
      </c>
      <c r="Z30" s="1" t="s">
        <v>83</v>
      </c>
      <c r="AA30" s="1">
        <v>6</v>
      </c>
      <c r="AB30" s="1">
        <v>6</v>
      </c>
      <c r="AC30" s="1" t="s">
        <v>83</v>
      </c>
      <c r="AD30" s="1">
        <v>6</v>
      </c>
      <c r="AE30" s="1">
        <v>6</v>
      </c>
      <c r="AF30" s="1" t="s">
        <v>83</v>
      </c>
      <c r="AG30" s="1">
        <v>6</v>
      </c>
      <c r="AH30" s="1">
        <v>6</v>
      </c>
      <c r="AI30" s="1" t="s">
        <v>83</v>
      </c>
      <c r="AJ30" s="1">
        <v>6</v>
      </c>
      <c r="AK30" s="1">
        <v>6</v>
      </c>
      <c r="AL30" s="1" t="s">
        <v>83</v>
      </c>
      <c r="AM30" s="1">
        <v>6</v>
      </c>
      <c r="AN30" s="1">
        <v>6</v>
      </c>
      <c r="AO30" s="1" t="s">
        <v>83</v>
      </c>
      <c r="AP30" s="1">
        <v>6</v>
      </c>
      <c r="AQ30" s="1">
        <v>6</v>
      </c>
      <c r="AR30" s="1" t="s">
        <v>83</v>
      </c>
      <c r="AS30" s="1">
        <v>6</v>
      </c>
      <c r="AT30" s="1">
        <v>6</v>
      </c>
      <c r="AU30" s="1" t="s">
        <v>83</v>
      </c>
      <c r="AV30" s="1">
        <v>6</v>
      </c>
      <c r="AW30" s="1">
        <v>6</v>
      </c>
      <c r="AX30" s="1" t="s">
        <v>83</v>
      </c>
      <c r="AY30" s="1">
        <v>0</v>
      </c>
      <c r="AZ30" s="1">
        <v>0</v>
      </c>
      <c r="BA30" s="1">
        <v>0</v>
      </c>
      <c r="BB30" s="1" t="s">
        <v>327</v>
      </c>
      <c r="BC30" s="1">
        <v>1</v>
      </c>
      <c r="BD30" s="1" t="s">
        <v>248</v>
      </c>
      <c r="BE30" s="1" t="s">
        <v>248</v>
      </c>
      <c r="BF30" s="1" t="s">
        <v>248</v>
      </c>
      <c r="BG30" s="1" t="s">
        <v>248</v>
      </c>
    </row>
    <row r="31" spans="1:59" x14ac:dyDescent="0.35">
      <c r="A31" s="1">
        <v>30</v>
      </c>
      <c r="B31" s="1">
        <v>45838.852800925924</v>
      </c>
      <c r="C31" s="1" t="s">
        <v>328</v>
      </c>
      <c r="D31" s="1" t="s">
        <v>329</v>
      </c>
      <c r="E31" s="1" t="s">
        <v>63</v>
      </c>
      <c r="F31" s="1" t="s">
        <v>63</v>
      </c>
      <c r="G31" s="1" t="s">
        <v>330</v>
      </c>
      <c r="H31" s="1" t="s">
        <v>65</v>
      </c>
      <c r="I31" s="1" t="s">
        <v>66</v>
      </c>
      <c r="J31" s="1" t="s">
        <v>67</v>
      </c>
      <c r="K31" s="1" t="s">
        <v>331</v>
      </c>
      <c r="L31" s="1" t="s">
        <v>69</v>
      </c>
      <c r="M31" s="1" t="s">
        <v>69</v>
      </c>
      <c r="N31" s="1" t="s">
        <v>69</v>
      </c>
      <c r="O31" s="1" t="s">
        <v>69</v>
      </c>
      <c r="P31" s="1" t="s">
        <v>106</v>
      </c>
      <c r="Q31" s="1" t="s">
        <v>107</v>
      </c>
      <c r="R31" s="1" t="s">
        <v>2445</v>
      </c>
      <c r="S31" s="1">
        <v>22</v>
      </c>
      <c r="T31" s="1" t="s">
        <v>72</v>
      </c>
      <c r="U31" s="1" t="s">
        <v>73</v>
      </c>
      <c r="V31" s="1" t="s">
        <v>94</v>
      </c>
      <c r="W31" s="1" t="s">
        <v>95</v>
      </c>
      <c r="X31" s="1">
        <v>6</v>
      </c>
      <c r="Y31" s="1">
        <v>5</v>
      </c>
      <c r="Z31" s="1" t="s">
        <v>83</v>
      </c>
      <c r="AA31" s="1">
        <v>6</v>
      </c>
      <c r="AB31" s="1">
        <v>5</v>
      </c>
      <c r="AC31" s="1" t="s">
        <v>83</v>
      </c>
      <c r="AD31" s="1">
        <v>6</v>
      </c>
      <c r="AE31" s="1">
        <v>5</v>
      </c>
      <c r="AF31" s="1" t="s">
        <v>83</v>
      </c>
      <c r="AG31" s="1">
        <v>6</v>
      </c>
      <c r="AH31" s="1">
        <v>6</v>
      </c>
      <c r="AI31" s="1" t="s">
        <v>83</v>
      </c>
      <c r="AJ31" s="1">
        <v>6</v>
      </c>
      <c r="AK31" s="1">
        <v>5</v>
      </c>
      <c r="AL31" s="1" t="s">
        <v>83</v>
      </c>
      <c r="AM31" s="1">
        <v>5</v>
      </c>
      <c r="AN31" s="1">
        <v>5</v>
      </c>
      <c r="AO31" s="1" t="s">
        <v>83</v>
      </c>
      <c r="AP31" s="1">
        <v>6</v>
      </c>
      <c r="AQ31" s="1">
        <v>5</v>
      </c>
      <c r="AR31" s="1" t="s">
        <v>83</v>
      </c>
      <c r="AS31" s="1">
        <v>5</v>
      </c>
      <c r="AT31" s="1">
        <v>5</v>
      </c>
      <c r="AU31" s="1" t="s">
        <v>83</v>
      </c>
      <c r="AV31" s="1">
        <v>5</v>
      </c>
      <c r="AW31" s="1">
        <v>5</v>
      </c>
      <c r="AX31" s="1" t="s">
        <v>83</v>
      </c>
      <c r="AY31" s="1">
        <v>0</v>
      </c>
      <c r="AZ31" s="1">
        <v>0</v>
      </c>
      <c r="BA31" s="1">
        <v>0</v>
      </c>
      <c r="BB31" s="1" t="s">
        <v>293</v>
      </c>
      <c r="BC31" s="1">
        <v>1</v>
      </c>
      <c r="BD31" s="1" t="s">
        <v>332</v>
      </c>
      <c r="BE31" s="1" t="s">
        <v>333</v>
      </c>
      <c r="BF31" s="1" t="s">
        <v>334</v>
      </c>
      <c r="BG31" s="1" t="s">
        <v>335</v>
      </c>
    </row>
    <row r="32" spans="1:59" x14ac:dyDescent="0.35">
      <c r="A32" s="1">
        <v>31</v>
      </c>
      <c r="B32" s="1">
        <v>45838.880057870374</v>
      </c>
      <c r="C32" s="1" t="s">
        <v>336</v>
      </c>
      <c r="D32" s="1" t="s">
        <v>337</v>
      </c>
      <c r="E32" s="1" t="s">
        <v>63</v>
      </c>
      <c r="F32" s="1" t="s">
        <v>338</v>
      </c>
      <c r="G32" s="1" t="s">
        <v>339</v>
      </c>
      <c r="H32" s="1" t="s">
        <v>210</v>
      </c>
      <c r="I32" s="1" t="s">
        <v>211</v>
      </c>
      <c r="J32" s="1" t="s">
        <v>163</v>
      </c>
      <c r="K32" s="1" t="s">
        <v>340</v>
      </c>
      <c r="L32" s="1" t="s">
        <v>69</v>
      </c>
      <c r="M32" s="1" t="s">
        <v>69</v>
      </c>
      <c r="N32" s="1" t="s">
        <v>69</v>
      </c>
      <c r="O32" s="1" t="s">
        <v>69</v>
      </c>
      <c r="P32" s="1" t="s">
        <v>70</v>
      </c>
      <c r="Q32" s="1" t="s">
        <v>107</v>
      </c>
      <c r="R32" s="1" t="s">
        <v>2446</v>
      </c>
      <c r="S32" s="1">
        <v>42</v>
      </c>
      <c r="T32" s="1" t="s">
        <v>197</v>
      </c>
      <c r="U32" s="1" t="s">
        <v>73</v>
      </c>
      <c r="V32" s="1" t="s">
        <v>232</v>
      </c>
      <c r="W32" s="1" t="s">
        <v>232</v>
      </c>
      <c r="X32" s="1">
        <v>6</v>
      </c>
      <c r="Y32" s="1">
        <v>6</v>
      </c>
      <c r="Z32" s="1" t="s">
        <v>83</v>
      </c>
      <c r="AA32" s="1">
        <v>6</v>
      </c>
      <c r="AB32" s="1">
        <v>6</v>
      </c>
      <c r="AC32" s="1" t="s">
        <v>83</v>
      </c>
      <c r="AD32" s="1">
        <v>6</v>
      </c>
      <c r="AE32" s="1">
        <v>6</v>
      </c>
      <c r="AF32" s="1" t="s">
        <v>83</v>
      </c>
      <c r="AG32" s="1">
        <v>6</v>
      </c>
      <c r="AH32" s="1">
        <v>6</v>
      </c>
      <c r="AI32" s="1" t="s">
        <v>83</v>
      </c>
      <c r="AJ32" s="1">
        <v>6</v>
      </c>
      <c r="AK32" s="1">
        <v>6</v>
      </c>
      <c r="AL32" s="1" t="s">
        <v>83</v>
      </c>
      <c r="AM32" s="1">
        <v>6</v>
      </c>
      <c r="AN32" s="1">
        <v>6</v>
      </c>
      <c r="AO32" s="1" t="s">
        <v>83</v>
      </c>
      <c r="AP32" s="1">
        <v>6</v>
      </c>
      <c r="AQ32" s="1">
        <v>6</v>
      </c>
      <c r="AR32" s="1" t="s">
        <v>83</v>
      </c>
      <c r="AS32" s="1">
        <v>6</v>
      </c>
      <c r="AT32" s="1">
        <v>6</v>
      </c>
      <c r="AU32" s="1" t="s">
        <v>83</v>
      </c>
      <c r="AV32" s="1">
        <v>6</v>
      </c>
      <c r="AW32" s="1">
        <v>6</v>
      </c>
      <c r="AX32" s="1" t="s">
        <v>83</v>
      </c>
      <c r="AY32" s="1">
        <v>0</v>
      </c>
      <c r="AZ32" s="1">
        <v>0</v>
      </c>
      <c r="BA32" s="1">
        <v>0</v>
      </c>
      <c r="BB32" s="1" t="s">
        <v>144</v>
      </c>
      <c r="BC32" s="1">
        <v>2</v>
      </c>
      <c r="BD32" s="1" t="s">
        <v>98</v>
      </c>
      <c r="BE32" s="1" t="s">
        <v>341</v>
      </c>
      <c r="BF32" s="1" t="s">
        <v>342</v>
      </c>
      <c r="BG32" s="1" t="s">
        <v>98</v>
      </c>
    </row>
    <row r="33" spans="1:59" x14ac:dyDescent="0.35">
      <c r="A33" s="1">
        <v>32</v>
      </c>
      <c r="B33" s="1">
        <v>45838.861134259256</v>
      </c>
      <c r="C33" s="1" t="s">
        <v>343</v>
      </c>
      <c r="D33" s="1" t="s">
        <v>344</v>
      </c>
      <c r="E33" s="1" t="s">
        <v>63</v>
      </c>
      <c r="F33" s="1" t="s">
        <v>63</v>
      </c>
      <c r="G33" s="1" t="s">
        <v>345</v>
      </c>
      <c r="H33" s="1" t="s">
        <v>65</v>
      </c>
      <c r="I33" s="1" t="s">
        <v>66</v>
      </c>
      <c r="J33" s="1" t="s">
        <v>67</v>
      </c>
      <c r="K33" s="1" t="s">
        <v>346</v>
      </c>
      <c r="L33" s="1" t="s">
        <v>69</v>
      </c>
      <c r="M33" s="1" t="s">
        <v>69</v>
      </c>
      <c r="N33" s="1" t="s">
        <v>69</v>
      </c>
      <c r="O33" s="1" t="s">
        <v>69</v>
      </c>
      <c r="P33" s="1" t="s">
        <v>106</v>
      </c>
      <c r="Q33" s="1" t="s">
        <v>71</v>
      </c>
      <c r="R33" s="1" t="s">
        <v>2447</v>
      </c>
      <c r="S33" s="1">
        <v>44</v>
      </c>
      <c r="T33" s="1" t="s">
        <v>197</v>
      </c>
      <c r="U33" s="1" t="s">
        <v>93</v>
      </c>
      <c r="V33" s="1" t="s">
        <v>74</v>
      </c>
      <c r="W33" s="1" t="s">
        <v>74</v>
      </c>
      <c r="X33" s="1">
        <v>6</v>
      </c>
      <c r="Y33" s="1">
        <v>6</v>
      </c>
      <c r="Z33" s="1" t="s">
        <v>83</v>
      </c>
      <c r="AA33" s="1">
        <v>6</v>
      </c>
      <c r="AB33" s="1">
        <v>5</v>
      </c>
      <c r="AC33" s="1" t="s">
        <v>83</v>
      </c>
      <c r="AD33" s="1">
        <v>6</v>
      </c>
      <c r="AE33" s="1">
        <v>6</v>
      </c>
      <c r="AF33" s="1" t="s">
        <v>83</v>
      </c>
      <c r="AG33" s="1">
        <v>6</v>
      </c>
      <c r="AH33" s="1">
        <v>6</v>
      </c>
      <c r="AI33" s="1" t="s">
        <v>83</v>
      </c>
      <c r="AJ33" s="1">
        <v>6</v>
      </c>
      <c r="AK33" s="1">
        <v>6</v>
      </c>
      <c r="AL33" s="1" t="s">
        <v>83</v>
      </c>
      <c r="AM33" s="1">
        <v>6</v>
      </c>
      <c r="AN33" s="1">
        <v>6</v>
      </c>
      <c r="AO33" s="1" t="s">
        <v>83</v>
      </c>
      <c r="AP33" s="1">
        <v>6</v>
      </c>
      <c r="AQ33" s="1">
        <v>6</v>
      </c>
      <c r="AR33" s="1" t="s">
        <v>83</v>
      </c>
      <c r="AS33" s="1">
        <v>5</v>
      </c>
      <c r="AT33" s="1">
        <v>5</v>
      </c>
      <c r="AU33" s="1" t="s">
        <v>83</v>
      </c>
      <c r="AV33" s="1">
        <v>6</v>
      </c>
      <c r="AW33" s="1">
        <v>6</v>
      </c>
      <c r="AX33" s="1" t="s">
        <v>83</v>
      </c>
      <c r="AY33" s="1">
        <v>0</v>
      </c>
      <c r="AZ33" s="1">
        <v>1</v>
      </c>
      <c r="BA33" s="1">
        <v>0</v>
      </c>
      <c r="BB33" s="1" t="s">
        <v>83</v>
      </c>
      <c r="BC33" s="1">
        <v>0</v>
      </c>
      <c r="BD33" s="1" t="s">
        <v>347</v>
      </c>
      <c r="BE33" s="1" t="s">
        <v>348</v>
      </c>
      <c r="BF33" s="1" t="s">
        <v>349</v>
      </c>
      <c r="BG33" s="1" t="s">
        <v>83</v>
      </c>
    </row>
    <row r="34" spans="1:59" x14ac:dyDescent="0.35">
      <c r="A34" s="1">
        <v>33</v>
      </c>
      <c r="B34" s="1">
        <v>45838.861342592594</v>
      </c>
      <c r="C34" s="1" t="s">
        <v>350</v>
      </c>
      <c r="D34" s="1" t="s">
        <v>351</v>
      </c>
      <c r="E34" s="1" t="s">
        <v>352</v>
      </c>
      <c r="F34" s="1" t="s">
        <v>353</v>
      </c>
      <c r="G34" s="1" t="s">
        <v>354</v>
      </c>
      <c r="H34" s="1" t="s">
        <v>242</v>
      </c>
      <c r="I34" s="1" t="s">
        <v>243</v>
      </c>
      <c r="J34" s="1" t="s">
        <v>67</v>
      </c>
      <c r="K34" s="1" t="s">
        <v>355</v>
      </c>
      <c r="L34" s="1" t="s">
        <v>69</v>
      </c>
      <c r="M34" s="1" t="s">
        <v>69</v>
      </c>
      <c r="N34" s="1" t="s">
        <v>69</v>
      </c>
      <c r="O34" s="1" t="s">
        <v>69</v>
      </c>
      <c r="P34" s="1" t="s">
        <v>70</v>
      </c>
      <c r="Q34" s="1" t="s">
        <v>292</v>
      </c>
      <c r="R34" s="1" t="s">
        <v>217</v>
      </c>
      <c r="S34" s="1">
        <v>20</v>
      </c>
      <c r="T34" s="1" t="s">
        <v>131</v>
      </c>
      <c r="U34" s="1" t="s">
        <v>73</v>
      </c>
      <c r="V34" s="1" t="s">
        <v>94</v>
      </c>
      <c r="W34" s="1" t="s">
        <v>95</v>
      </c>
      <c r="X34" s="1">
        <v>5</v>
      </c>
      <c r="Y34" s="1">
        <v>6</v>
      </c>
      <c r="Z34" s="1" t="s">
        <v>83</v>
      </c>
      <c r="AA34" s="1">
        <v>5</v>
      </c>
      <c r="AB34" s="1">
        <v>6</v>
      </c>
      <c r="AC34" s="1" t="s">
        <v>83</v>
      </c>
      <c r="AD34" s="1">
        <v>5</v>
      </c>
      <c r="AE34" s="1">
        <v>5</v>
      </c>
      <c r="AF34" s="1" t="s">
        <v>83</v>
      </c>
      <c r="AG34" s="1">
        <v>5</v>
      </c>
      <c r="AH34" s="1">
        <v>6</v>
      </c>
      <c r="AI34" s="1" t="s">
        <v>83</v>
      </c>
      <c r="AJ34" s="1">
        <v>5</v>
      </c>
      <c r="AK34" s="1">
        <v>6</v>
      </c>
      <c r="AL34" s="1" t="s">
        <v>83</v>
      </c>
      <c r="AM34" s="1">
        <v>5</v>
      </c>
      <c r="AN34" s="1">
        <v>6</v>
      </c>
      <c r="AO34" s="1" t="s">
        <v>83</v>
      </c>
      <c r="AP34" s="1">
        <v>5</v>
      </c>
      <c r="AQ34" s="1">
        <v>6</v>
      </c>
      <c r="AR34" s="1" t="s">
        <v>83</v>
      </c>
      <c r="AS34" s="1">
        <v>5</v>
      </c>
      <c r="AT34" s="1">
        <v>6</v>
      </c>
      <c r="AU34" s="1" t="s">
        <v>83</v>
      </c>
      <c r="AV34" s="1">
        <v>5</v>
      </c>
      <c r="AW34" s="1">
        <v>6</v>
      </c>
      <c r="AX34" s="1" t="s">
        <v>83</v>
      </c>
      <c r="AY34" s="1">
        <v>0</v>
      </c>
      <c r="AZ34" s="1">
        <v>0</v>
      </c>
      <c r="BA34" s="1">
        <v>0</v>
      </c>
      <c r="BB34" s="1" t="s">
        <v>356</v>
      </c>
      <c r="BC34" s="1">
        <v>2</v>
      </c>
      <c r="BD34" s="1" t="s">
        <v>248</v>
      </c>
      <c r="BE34" s="1" t="s">
        <v>248</v>
      </c>
      <c r="BF34" s="1" t="s">
        <v>248</v>
      </c>
      <c r="BG34" s="1" t="s">
        <v>248</v>
      </c>
    </row>
    <row r="35" spans="1:59" x14ac:dyDescent="0.35">
      <c r="A35" s="1">
        <v>34</v>
      </c>
      <c r="B35" s="1">
        <v>45838.791354166664</v>
      </c>
      <c r="C35" s="1" t="s">
        <v>357</v>
      </c>
      <c r="D35" s="1" t="s">
        <v>358</v>
      </c>
      <c r="E35" s="1" t="s">
        <v>359</v>
      </c>
      <c r="F35" s="1" t="s">
        <v>360</v>
      </c>
      <c r="G35" s="1" t="s">
        <v>361</v>
      </c>
      <c r="H35" s="1" t="s">
        <v>362</v>
      </c>
      <c r="I35" s="1" t="s">
        <v>139</v>
      </c>
      <c r="J35" s="1" t="s">
        <v>163</v>
      </c>
      <c r="K35" s="1" t="s">
        <v>363</v>
      </c>
      <c r="L35" s="1" t="s">
        <v>69</v>
      </c>
      <c r="M35" s="1" t="s">
        <v>69</v>
      </c>
      <c r="N35" s="1" t="s">
        <v>69</v>
      </c>
      <c r="O35" s="1" t="s">
        <v>69</v>
      </c>
      <c r="P35" s="1" t="s">
        <v>106</v>
      </c>
      <c r="Q35" s="1" t="s">
        <v>107</v>
      </c>
      <c r="R35" s="1" t="s">
        <v>2448</v>
      </c>
      <c r="S35" s="1">
        <v>38</v>
      </c>
      <c r="T35" s="1" t="s">
        <v>153</v>
      </c>
      <c r="U35" s="1" t="s">
        <v>93</v>
      </c>
      <c r="V35" s="1" t="s">
        <v>364</v>
      </c>
      <c r="W35" s="1" t="s">
        <v>74</v>
      </c>
      <c r="X35" s="1">
        <v>6</v>
      </c>
      <c r="Y35" s="1">
        <v>5</v>
      </c>
      <c r="Z35" s="1" t="s">
        <v>83</v>
      </c>
      <c r="AA35" s="1">
        <v>6</v>
      </c>
      <c r="AB35" s="1">
        <v>6</v>
      </c>
      <c r="AC35" s="1" t="s">
        <v>83</v>
      </c>
      <c r="AD35" s="1">
        <v>6</v>
      </c>
      <c r="AE35" s="1">
        <v>6</v>
      </c>
      <c r="AF35" s="1" t="s">
        <v>83</v>
      </c>
      <c r="AG35" s="1">
        <v>6</v>
      </c>
      <c r="AH35" s="1">
        <v>6</v>
      </c>
      <c r="AI35" s="1" t="s">
        <v>83</v>
      </c>
      <c r="AJ35" s="1">
        <v>6</v>
      </c>
      <c r="AK35" s="1">
        <v>6</v>
      </c>
      <c r="AL35" s="1" t="s">
        <v>83</v>
      </c>
      <c r="AM35" s="1">
        <v>6</v>
      </c>
      <c r="AN35" s="1">
        <v>6</v>
      </c>
      <c r="AO35" s="1" t="s">
        <v>83</v>
      </c>
      <c r="AP35" s="1">
        <v>6</v>
      </c>
      <c r="AQ35" s="1">
        <v>6</v>
      </c>
      <c r="AR35" s="1" t="s">
        <v>83</v>
      </c>
      <c r="AS35" s="1">
        <v>6</v>
      </c>
      <c r="AT35" s="1">
        <v>6</v>
      </c>
      <c r="AU35" s="1" t="s">
        <v>83</v>
      </c>
      <c r="AV35" s="1">
        <v>6</v>
      </c>
      <c r="AW35" s="1">
        <v>6</v>
      </c>
      <c r="AX35" s="1" t="s">
        <v>83</v>
      </c>
      <c r="AY35" s="1">
        <v>1</v>
      </c>
      <c r="AZ35" s="1">
        <v>0</v>
      </c>
      <c r="BA35" s="1">
        <v>0</v>
      </c>
      <c r="BB35" s="1" t="s">
        <v>83</v>
      </c>
      <c r="BC35" s="1">
        <v>0</v>
      </c>
      <c r="BD35" s="1" t="s">
        <v>365</v>
      </c>
      <c r="BE35" s="1" t="s">
        <v>365</v>
      </c>
      <c r="BF35" s="1" t="s">
        <v>365</v>
      </c>
      <c r="BG35" s="1" t="s">
        <v>365</v>
      </c>
    </row>
    <row r="36" spans="1:59" x14ac:dyDescent="0.35">
      <c r="A36" s="1">
        <v>35</v>
      </c>
      <c r="B36" s="1">
        <v>45838.865347222221</v>
      </c>
      <c r="C36" s="1" t="s">
        <v>366</v>
      </c>
      <c r="D36" s="1" t="s">
        <v>367</v>
      </c>
      <c r="E36" s="1" t="s">
        <v>63</v>
      </c>
      <c r="F36" s="1" t="s">
        <v>149</v>
      </c>
      <c r="G36" s="1" t="s">
        <v>368</v>
      </c>
      <c r="H36" s="1" t="s">
        <v>242</v>
      </c>
      <c r="I36" s="1" t="s">
        <v>243</v>
      </c>
      <c r="J36" s="1" t="s">
        <v>67</v>
      </c>
      <c r="K36" s="1" t="s">
        <v>369</v>
      </c>
      <c r="L36" s="1" t="s">
        <v>69</v>
      </c>
      <c r="M36" s="1" t="s">
        <v>69</v>
      </c>
      <c r="N36" s="1" t="s">
        <v>69</v>
      </c>
      <c r="O36" s="1" t="s">
        <v>69</v>
      </c>
      <c r="P36" s="1" t="s">
        <v>70</v>
      </c>
      <c r="Q36" s="1" t="s">
        <v>271</v>
      </c>
      <c r="R36" s="1" t="s">
        <v>130</v>
      </c>
      <c r="S36" s="1">
        <v>18</v>
      </c>
      <c r="T36" s="1" t="s">
        <v>131</v>
      </c>
      <c r="U36" s="1" t="s">
        <v>73</v>
      </c>
      <c r="V36" s="1" t="s">
        <v>94</v>
      </c>
      <c r="W36" s="1" t="s">
        <v>95</v>
      </c>
      <c r="X36" s="1">
        <v>5</v>
      </c>
      <c r="Y36" s="1">
        <v>6</v>
      </c>
      <c r="Z36" s="1" t="s">
        <v>83</v>
      </c>
      <c r="AA36" s="1">
        <v>6</v>
      </c>
      <c r="AB36" s="1">
        <v>6</v>
      </c>
      <c r="AC36" s="1" t="s">
        <v>83</v>
      </c>
      <c r="AD36" s="1">
        <v>6</v>
      </c>
      <c r="AE36" s="1">
        <v>6</v>
      </c>
      <c r="AF36" s="1" t="s">
        <v>83</v>
      </c>
      <c r="AG36" s="1">
        <v>6</v>
      </c>
      <c r="AH36" s="1">
        <v>6</v>
      </c>
      <c r="AI36" s="1" t="s">
        <v>83</v>
      </c>
      <c r="AJ36" s="1">
        <v>6</v>
      </c>
      <c r="AK36" s="1">
        <v>6</v>
      </c>
      <c r="AL36" s="1" t="s">
        <v>83</v>
      </c>
      <c r="AM36" s="1">
        <v>6</v>
      </c>
      <c r="AN36" s="1">
        <v>6</v>
      </c>
      <c r="AO36" s="1" t="s">
        <v>83</v>
      </c>
      <c r="AP36" s="1">
        <v>6</v>
      </c>
      <c r="AQ36" s="1">
        <v>5</v>
      </c>
      <c r="AR36" s="1" t="s">
        <v>83</v>
      </c>
      <c r="AS36" s="1">
        <v>5</v>
      </c>
      <c r="AT36" s="1">
        <v>6</v>
      </c>
      <c r="AU36" s="1" t="s">
        <v>83</v>
      </c>
      <c r="AV36" s="1">
        <v>5</v>
      </c>
      <c r="AW36" s="1">
        <v>6</v>
      </c>
      <c r="AX36" s="1" t="s">
        <v>83</v>
      </c>
      <c r="AY36" s="1">
        <v>0</v>
      </c>
      <c r="AZ36" s="1">
        <v>0</v>
      </c>
      <c r="BA36" s="1">
        <v>0</v>
      </c>
      <c r="BB36" s="1" t="s">
        <v>370</v>
      </c>
      <c r="BC36" s="1">
        <v>1</v>
      </c>
      <c r="BD36" s="1" t="s">
        <v>371</v>
      </c>
      <c r="BE36" s="1" t="s">
        <v>372</v>
      </c>
      <c r="BF36" s="1" t="s">
        <v>248</v>
      </c>
      <c r="BG36" s="1" t="s">
        <v>248</v>
      </c>
    </row>
    <row r="37" spans="1:59" x14ac:dyDescent="0.35">
      <c r="A37" s="1">
        <v>36</v>
      </c>
      <c r="B37" s="1">
        <v>45838.815520833334</v>
      </c>
      <c r="C37" s="1" t="s">
        <v>373</v>
      </c>
      <c r="D37" s="1" t="s">
        <v>374</v>
      </c>
      <c r="E37" s="1" t="s">
        <v>375</v>
      </c>
      <c r="F37" s="1" t="s">
        <v>376</v>
      </c>
      <c r="G37" s="1" t="s">
        <v>377</v>
      </c>
      <c r="H37" s="1" t="s">
        <v>138</v>
      </c>
      <c r="I37" s="1" t="s">
        <v>139</v>
      </c>
      <c r="J37" s="1" t="s">
        <v>163</v>
      </c>
      <c r="K37" s="1" t="s">
        <v>378</v>
      </c>
      <c r="L37" s="1" t="s">
        <v>69</v>
      </c>
      <c r="M37" s="1" t="s">
        <v>69</v>
      </c>
      <c r="N37" s="1" t="s">
        <v>69</v>
      </c>
      <c r="O37" s="1" t="s">
        <v>69</v>
      </c>
      <c r="P37" s="1" t="s">
        <v>70</v>
      </c>
      <c r="Q37" s="1" t="s">
        <v>107</v>
      </c>
      <c r="R37" s="1" t="s">
        <v>2449</v>
      </c>
      <c r="S37" s="1">
        <v>43</v>
      </c>
      <c r="T37" s="1" t="s">
        <v>197</v>
      </c>
      <c r="U37" s="1" t="s">
        <v>73</v>
      </c>
      <c r="V37" s="1" t="s">
        <v>74</v>
      </c>
      <c r="W37" s="1" t="s">
        <v>74</v>
      </c>
      <c r="X37" s="1">
        <v>6</v>
      </c>
      <c r="Y37" s="1">
        <v>6</v>
      </c>
      <c r="Z37" s="1" t="s">
        <v>83</v>
      </c>
      <c r="AA37" s="1">
        <v>6</v>
      </c>
      <c r="AB37" s="1">
        <v>6</v>
      </c>
      <c r="AC37" s="1" t="s">
        <v>83</v>
      </c>
      <c r="AD37" s="1">
        <v>6</v>
      </c>
      <c r="AE37" s="1">
        <v>6</v>
      </c>
      <c r="AF37" s="1" t="s">
        <v>83</v>
      </c>
      <c r="AG37" s="1">
        <v>6</v>
      </c>
      <c r="AH37" s="1">
        <v>6</v>
      </c>
      <c r="AI37" s="1" t="s">
        <v>83</v>
      </c>
      <c r="AJ37" s="1">
        <v>6</v>
      </c>
      <c r="AK37" s="1">
        <v>6</v>
      </c>
      <c r="AL37" s="1" t="s">
        <v>83</v>
      </c>
      <c r="AM37" s="1">
        <v>6</v>
      </c>
      <c r="AN37" s="1">
        <v>6</v>
      </c>
      <c r="AO37" s="1" t="s">
        <v>83</v>
      </c>
      <c r="AP37" s="1">
        <v>6</v>
      </c>
      <c r="AQ37" s="1">
        <v>6</v>
      </c>
      <c r="AR37" s="1" t="s">
        <v>83</v>
      </c>
      <c r="AS37" s="1">
        <v>6</v>
      </c>
      <c r="AT37" s="1">
        <v>6</v>
      </c>
      <c r="AU37" s="1" t="s">
        <v>83</v>
      </c>
      <c r="AV37" s="1">
        <v>6</v>
      </c>
      <c r="AW37" s="1">
        <v>6</v>
      </c>
      <c r="AX37" s="1" t="s">
        <v>83</v>
      </c>
      <c r="AY37" s="1">
        <v>0</v>
      </c>
      <c r="AZ37" s="1">
        <v>0</v>
      </c>
      <c r="BA37" s="1">
        <v>0</v>
      </c>
      <c r="BB37" s="1" t="s">
        <v>379</v>
      </c>
      <c r="BC37" s="1">
        <v>1</v>
      </c>
      <c r="BD37" s="1" t="s">
        <v>98</v>
      </c>
      <c r="BE37" s="1" t="s">
        <v>98</v>
      </c>
      <c r="BF37" s="1" t="s">
        <v>98</v>
      </c>
      <c r="BG37" s="1" t="s">
        <v>98</v>
      </c>
    </row>
    <row r="38" spans="1:59" x14ac:dyDescent="0.35">
      <c r="A38" s="1">
        <v>37</v>
      </c>
      <c r="B38" s="1">
        <v>45838.86886574074</v>
      </c>
      <c r="C38" s="1" t="s">
        <v>380</v>
      </c>
      <c r="D38" s="1" t="s">
        <v>161</v>
      </c>
      <c r="E38" s="1" t="s">
        <v>63</v>
      </c>
      <c r="F38" s="1" t="s">
        <v>136</v>
      </c>
      <c r="G38" s="1" t="s">
        <v>381</v>
      </c>
      <c r="H38" s="1" t="s">
        <v>210</v>
      </c>
      <c r="I38" s="1" t="s">
        <v>211</v>
      </c>
      <c r="J38" s="1" t="s">
        <v>163</v>
      </c>
      <c r="K38" s="1" t="s">
        <v>382</v>
      </c>
      <c r="L38" s="1" t="s">
        <v>69</v>
      </c>
      <c r="M38" s="1" t="s">
        <v>69</v>
      </c>
      <c r="N38" s="1" t="s">
        <v>69</v>
      </c>
      <c r="O38" s="1" t="s">
        <v>69</v>
      </c>
      <c r="P38" s="1" t="s">
        <v>106</v>
      </c>
      <c r="Q38" s="1" t="s">
        <v>71</v>
      </c>
      <c r="R38" s="1" t="s">
        <v>2450</v>
      </c>
      <c r="S38" s="1">
        <v>52</v>
      </c>
      <c r="T38" s="1" t="s">
        <v>383</v>
      </c>
      <c r="U38" s="1" t="s">
        <v>93</v>
      </c>
      <c r="V38" s="1" t="s">
        <v>74</v>
      </c>
      <c r="W38" s="1" t="s">
        <v>74</v>
      </c>
      <c r="X38" s="1">
        <v>6</v>
      </c>
      <c r="Y38" s="1">
        <v>6</v>
      </c>
      <c r="Z38" s="1" t="s">
        <v>83</v>
      </c>
      <c r="AA38" s="1">
        <v>6</v>
      </c>
      <c r="AB38" s="1">
        <v>6</v>
      </c>
      <c r="AC38" s="1" t="s">
        <v>83</v>
      </c>
      <c r="AD38" s="1">
        <v>6</v>
      </c>
      <c r="AE38" s="1">
        <v>6</v>
      </c>
      <c r="AF38" s="1" t="s">
        <v>83</v>
      </c>
      <c r="AG38" s="1">
        <v>6</v>
      </c>
      <c r="AH38" s="1">
        <v>6</v>
      </c>
      <c r="AI38" s="1" t="s">
        <v>83</v>
      </c>
      <c r="AJ38" s="1">
        <v>6</v>
      </c>
      <c r="AK38" s="1">
        <v>6</v>
      </c>
      <c r="AL38" s="1" t="s">
        <v>83</v>
      </c>
      <c r="AM38" s="1">
        <v>6</v>
      </c>
      <c r="AN38" s="1">
        <v>6</v>
      </c>
      <c r="AO38" s="1" t="s">
        <v>83</v>
      </c>
      <c r="AP38" s="1">
        <v>6</v>
      </c>
      <c r="AQ38" s="1">
        <v>6</v>
      </c>
      <c r="AR38" s="1" t="s">
        <v>83</v>
      </c>
      <c r="AS38" s="1">
        <v>6</v>
      </c>
      <c r="AT38" s="1">
        <v>6</v>
      </c>
      <c r="AU38" s="1" t="s">
        <v>83</v>
      </c>
      <c r="AV38" s="1">
        <v>6</v>
      </c>
      <c r="AW38" s="1">
        <v>6</v>
      </c>
      <c r="AX38" s="1" t="s">
        <v>83</v>
      </c>
      <c r="AY38" s="1">
        <v>0</v>
      </c>
      <c r="AZ38" s="1">
        <v>0</v>
      </c>
      <c r="BA38" s="1">
        <v>0</v>
      </c>
      <c r="BB38" s="1" t="s">
        <v>384</v>
      </c>
      <c r="BC38" s="1">
        <v>1</v>
      </c>
      <c r="BD38" s="1" t="s">
        <v>98</v>
      </c>
      <c r="BE38" s="1" t="s">
        <v>98</v>
      </c>
      <c r="BF38" s="1" t="s">
        <v>98</v>
      </c>
      <c r="BG38" s="1" t="s">
        <v>98</v>
      </c>
    </row>
    <row r="39" spans="1:59" x14ac:dyDescent="0.35">
      <c r="A39" s="1">
        <v>38</v>
      </c>
      <c r="B39" s="1">
        <v>45838.872673611113</v>
      </c>
      <c r="C39" s="1" t="s">
        <v>385</v>
      </c>
      <c r="D39" s="1" t="s">
        <v>386</v>
      </c>
      <c r="E39" s="1" t="s">
        <v>63</v>
      </c>
      <c r="F39" s="1" t="s">
        <v>63</v>
      </c>
      <c r="G39" s="1" t="s">
        <v>387</v>
      </c>
      <c r="H39" s="1" t="s">
        <v>88</v>
      </c>
      <c r="I39" s="1" t="s">
        <v>89</v>
      </c>
      <c r="J39" s="1" t="s">
        <v>67</v>
      </c>
      <c r="K39" s="1" t="s">
        <v>388</v>
      </c>
      <c r="L39" s="1" t="s">
        <v>69</v>
      </c>
      <c r="M39" s="1" t="s">
        <v>69</v>
      </c>
      <c r="N39" s="1" t="s">
        <v>69</v>
      </c>
      <c r="O39" s="1" t="s">
        <v>69</v>
      </c>
      <c r="P39" s="1" t="s">
        <v>70</v>
      </c>
      <c r="Q39" s="1" t="s">
        <v>107</v>
      </c>
      <c r="R39" s="1" t="s">
        <v>389</v>
      </c>
      <c r="S39" s="1">
        <v>47</v>
      </c>
      <c r="T39" s="1" t="s">
        <v>225</v>
      </c>
      <c r="U39" s="1" t="s">
        <v>73</v>
      </c>
      <c r="V39" s="1" t="s">
        <v>74</v>
      </c>
      <c r="W39" s="1" t="s">
        <v>74</v>
      </c>
      <c r="X39" s="1">
        <v>6</v>
      </c>
      <c r="Y39" s="1">
        <v>6</v>
      </c>
      <c r="Z39" s="1" t="s">
        <v>83</v>
      </c>
      <c r="AA39" s="1">
        <v>5</v>
      </c>
      <c r="AB39" s="1">
        <v>5</v>
      </c>
      <c r="AC39" s="1" t="s">
        <v>83</v>
      </c>
      <c r="AD39" s="1">
        <v>5</v>
      </c>
      <c r="AE39" s="1">
        <v>5</v>
      </c>
      <c r="AF39" s="1" t="s">
        <v>83</v>
      </c>
      <c r="AG39" s="1">
        <v>2</v>
      </c>
      <c r="AH39" s="1">
        <v>2</v>
      </c>
      <c r="AI39" s="1" t="s">
        <v>96</v>
      </c>
      <c r="AJ39" s="1">
        <v>5</v>
      </c>
      <c r="AK39" s="1">
        <v>5</v>
      </c>
      <c r="AL39" s="1" t="s">
        <v>83</v>
      </c>
      <c r="AM39" s="1">
        <v>5</v>
      </c>
      <c r="AN39" s="1">
        <v>5</v>
      </c>
      <c r="AO39" s="1" t="s">
        <v>83</v>
      </c>
      <c r="AP39" s="1">
        <v>5</v>
      </c>
      <c r="AQ39" s="1">
        <v>5</v>
      </c>
      <c r="AR39" s="1" t="s">
        <v>83</v>
      </c>
      <c r="AS39" s="1">
        <v>6</v>
      </c>
      <c r="AT39" s="1">
        <v>5</v>
      </c>
      <c r="AU39" s="1" t="s">
        <v>83</v>
      </c>
      <c r="AV39" s="1">
        <v>6</v>
      </c>
      <c r="AW39" s="1">
        <v>5</v>
      </c>
      <c r="AX39" s="1" t="s">
        <v>83</v>
      </c>
      <c r="AY39" s="1">
        <v>0</v>
      </c>
      <c r="AZ39" s="1">
        <v>0</v>
      </c>
      <c r="BA39" s="1">
        <v>0</v>
      </c>
      <c r="BB39" s="1" t="s">
        <v>390</v>
      </c>
      <c r="BC39" s="1">
        <v>1</v>
      </c>
      <c r="BD39" s="1" t="s">
        <v>391</v>
      </c>
      <c r="BE39" s="1" t="s">
        <v>98</v>
      </c>
      <c r="BF39" s="1" t="s">
        <v>98</v>
      </c>
      <c r="BG39" s="1" t="s">
        <v>98</v>
      </c>
    </row>
    <row r="40" spans="1:59" x14ac:dyDescent="0.35">
      <c r="A40" s="1">
        <v>39</v>
      </c>
      <c r="B40" s="1">
        <v>45838.821504629632</v>
      </c>
      <c r="C40" s="1" t="s">
        <v>392</v>
      </c>
      <c r="D40" s="1" t="s">
        <v>174</v>
      </c>
      <c r="E40" s="1" t="s">
        <v>63</v>
      </c>
      <c r="F40" s="1" t="s">
        <v>136</v>
      </c>
      <c r="G40" s="1" t="s">
        <v>393</v>
      </c>
      <c r="H40" s="1" t="s">
        <v>138</v>
      </c>
      <c r="I40" s="1" t="s">
        <v>139</v>
      </c>
      <c r="J40" s="1" t="s">
        <v>163</v>
      </c>
      <c r="K40" s="1" t="s">
        <v>394</v>
      </c>
      <c r="L40" s="1" t="s">
        <v>69</v>
      </c>
      <c r="M40" s="1" t="s">
        <v>69</v>
      </c>
      <c r="N40" s="1" t="s">
        <v>69</v>
      </c>
      <c r="O40" s="1" t="s">
        <v>69</v>
      </c>
      <c r="P40" s="1" t="s">
        <v>70</v>
      </c>
      <c r="Q40" s="1" t="s">
        <v>107</v>
      </c>
      <c r="R40" s="1" t="s">
        <v>2441</v>
      </c>
      <c r="S40" s="1">
        <v>60</v>
      </c>
      <c r="T40" s="1" t="s">
        <v>182</v>
      </c>
      <c r="U40" s="1" t="s">
        <v>73</v>
      </c>
      <c r="V40" s="1" t="s">
        <v>232</v>
      </c>
      <c r="W40" s="1" t="s">
        <v>232</v>
      </c>
      <c r="X40" s="1">
        <v>6</v>
      </c>
      <c r="Y40" s="1">
        <v>6</v>
      </c>
      <c r="Z40" s="1" t="s">
        <v>83</v>
      </c>
      <c r="AA40" s="1">
        <v>6</v>
      </c>
      <c r="AB40" s="1">
        <v>6</v>
      </c>
      <c r="AC40" s="1" t="s">
        <v>83</v>
      </c>
      <c r="AD40" s="1">
        <v>6</v>
      </c>
      <c r="AE40" s="1">
        <v>6</v>
      </c>
      <c r="AF40" s="1" t="s">
        <v>83</v>
      </c>
      <c r="AG40" s="1">
        <v>6</v>
      </c>
      <c r="AH40" s="1">
        <v>6</v>
      </c>
      <c r="AI40" s="1" t="s">
        <v>83</v>
      </c>
      <c r="AJ40" s="1">
        <v>6</v>
      </c>
      <c r="AK40" s="1">
        <v>6</v>
      </c>
      <c r="AL40" s="1" t="s">
        <v>83</v>
      </c>
      <c r="AM40" s="1">
        <v>6</v>
      </c>
      <c r="AN40" s="1">
        <v>6</v>
      </c>
      <c r="AO40" s="1" t="s">
        <v>83</v>
      </c>
      <c r="AP40" s="1">
        <v>6</v>
      </c>
      <c r="AQ40" s="1">
        <v>6</v>
      </c>
      <c r="AR40" s="1" t="s">
        <v>83</v>
      </c>
      <c r="AS40" s="1">
        <v>6</v>
      </c>
      <c r="AT40" s="1">
        <v>6</v>
      </c>
      <c r="AU40" s="1" t="s">
        <v>83</v>
      </c>
      <c r="AV40" s="1">
        <v>6</v>
      </c>
      <c r="AW40" s="1">
        <v>6</v>
      </c>
      <c r="AX40" s="1" t="s">
        <v>83</v>
      </c>
      <c r="AY40" s="1">
        <v>0</v>
      </c>
      <c r="AZ40" s="1">
        <v>0</v>
      </c>
      <c r="BA40" s="1">
        <v>0</v>
      </c>
      <c r="BB40" s="1" t="s">
        <v>293</v>
      </c>
      <c r="BC40" s="1">
        <v>2</v>
      </c>
      <c r="BD40" s="1" t="s">
        <v>98</v>
      </c>
      <c r="BE40" s="1" t="s">
        <v>98</v>
      </c>
      <c r="BF40" s="1" t="s">
        <v>98</v>
      </c>
      <c r="BG40" s="1" t="s">
        <v>98</v>
      </c>
    </row>
    <row r="41" spans="1:59" x14ac:dyDescent="0.35">
      <c r="A41" s="1">
        <v>40</v>
      </c>
      <c r="B41" s="1">
        <v>45838.875219907408</v>
      </c>
      <c r="C41" s="1" t="s">
        <v>395</v>
      </c>
      <c r="D41" s="1" t="s">
        <v>396</v>
      </c>
      <c r="E41" s="1" t="s">
        <v>63</v>
      </c>
      <c r="F41" s="1" t="s">
        <v>397</v>
      </c>
      <c r="G41" s="1" t="s">
        <v>398</v>
      </c>
      <c r="H41" s="1" t="s">
        <v>242</v>
      </c>
      <c r="I41" s="1" t="s">
        <v>243</v>
      </c>
      <c r="J41" s="1" t="s">
        <v>67</v>
      </c>
      <c r="K41" s="1" t="s">
        <v>399</v>
      </c>
      <c r="L41" s="1" t="s">
        <v>69</v>
      </c>
      <c r="M41" s="1" t="s">
        <v>69</v>
      </c>
      <c r="N41" s="1" t="s">
        <v>69</v>
      </c>
      <c r="O41" s="1" t="s">
        <v>69</v>
      </c>
      <c r="P41" s="1" t="s">
        <v>106</v>
      </c>
      <c r="Q41" s="1" t="s">
        <v>271</v>
      </c>
      <c r="R41" s="1" t="s">
        <v>91</v>
      </c>
      <c r="S41" s="1">
        <v>27</v>
      </c>
      <c r="T41" s="1" t="s">
        <v>92</v>
      </c>
      <c r="U41" s="1" t="s">
        <v>73</v>
      </c>
      <c r="V41" s="1" t="s">
        <v>74</v>
      </c>
      <c r="W41" s="1" t="s">
        <v>74</v>
      </c>
      <c r="X41" s="1">
        <v>5</v>
      </c>
      <c r="Y41" s="1">
        <v>5</v>
      </c>
      <c r="Z41" s="1" t="s">
        <v>83</v>
      </c>
      <c r="AA41" s="1">
        <v>5</v>
      </c>
      <c r="AB41" s="1">
        <v>5</v>
      </c>
      <c r="AC41" s="1" t="s">
        <v>83</v>
      </c>
      <c r="AD41" s="1">
        <v>5</v>
      </c>
      <c r="AE41" s="1">
        <v>5</v>
      </c>
      <c r="AF41" s="1" t="s">
        <v>83</v>
      </c>
      <c r="AG41" s="1">
        <v>6</v>
      </c>
      <c r="AH41" s="1">
        <v>5</v>
      </c>
      <c r="AI41" s="1" t="s">
        <v>83</v>
      </c>
      <c r="AJ41" s="1">
        <v>6</v>
      </c>
      <c r="AK41" s="1">
        <v>6</v>
      </c>
      <c r="AL41" s="1" t="s">
        <v>83</v>
      </c>
      <c r="AM41" s="1">
        <v>6</v>
      </c>
      <c r="AN41" s="1">
        <v>5</v>
      </c>
      <c r="AO41" s="1" t="s">
        <v>83</v>
      </c>
      <c r="AP41" s="1">
        <v>5</v>
      </c>
      <c r="AQ41" s="1">
        <v>5</v>
      </c>
      <c r="AR41" s="1" t="s">
        <v>83</v>
      </c>
      <c r="AS41" s="1">
        <v>5</v>
      </c>
      <c r="AT41" s="1">
        <v>5</v>
      </c>
      <c r="AU41" s="1" t="s">
        <v>83</v>
      </c>
      <c r="AV41" s="1">
        <v>6</v>
      </c>
      <c r="AW41" s="1">
        <v>6</v>
      </c>
      <c r="AX41" s="1" t="s">
        <v>83</v>
      </c>
      <c r="AY41" s="1">
        <v>0</v>
      </c>
      <c r="AZ41" s="1">
        <v>0</v>
      </c>
      <c r="BA41" s="1">
        <v>0</v>
      </c>
      <c r="BB41" s="1" t="s">
        <v>144</v>
      </c>
      <c r="BC41" s="1">
        <v>2</v>
      </c>
      <c r="BD41" s="1" t="s">
        <v>248</v>
      </c>
      <c r="BE41" s="1" t="s">
        <v>248</v>
      </c>
      <c r="BF41" s="1" t="s">
        <v>248</v>
      </c>
      <c r="BG41" s="1" t="s">
        <v>248</v>
      </c>
    </row>
    <row r="42" spans="1:59" x14ac:dyDescent="0.35">
      <c r="A42" s="1">
        <v>41</v>
      </c>
      <c r="B42" s="1">
        <v>45838.875902777778</v>
      </c>
      <c r="C42" s="1" t="s">
        <v>400</v>
      </c>
      <c r="D42" s="1" t="s">
        <v>401</v>
      </c>
      <c r="E42" s="1" t="s">
        <v>63</v>
      </c>
      <c r="F42" s="1" t="s">
        <v>63</v>
      </c>
      <c r="G42" s="1" t="s">
        <v>402</v>
      </c>
      <c r="H42" s="1" t="s">
        <v>88</v>
      </c>
      <c r="I42" s="1" t="s">
        <v>89</v>
      </c>
      <c r="J42" s="1" t="s">
        <v>67</v>
      </c>
      <c r="K42" s="1" t="s">
        <v>403</v>
      </c>
      <c r="L42" s="1" t="s">
        <v>69</v>
      </c>
      <c r="M42" s="1" t="s">
        <v>69</v>
      </c>
      <c r="N42" s="1" t="s">
        <v>69</v>
      </c>
      <c r="O42" s="1" t="s">
        <v>69</v>
      </c>
      <c r="P42" s="1" t="s">
        <v>70</v>
      </c>
      <c r="Q42" s="1" t="s">
        <v>107</v>
      </c>
      <c r="R42" s="1" t="s">
        <v>404</v>
      </c>
      <c r="S42" s="1">
        <v>42</v>
      </c>
      <c r="T42" s="1" t="s">
        <v>197</v>
      </c>
      <c r="U42" s="1" t="s">
        <v>73</v>
      </c>
      <c r="V42" s="1" t="s">
        <v>74</v>
      </c>
      <c r="W42" s="1" t="s">
        <v>74</v>
      </c>
      <c r="X42" s="1">
        <v>6</v>
      </c>
      <c r="Y42" s="1">
        <v>6</v>
      </c>
      <c r="Z42" s="1" t="s">
        <v>83</v>
      </c>
      <c r="AA42" s="1">
        <v>6</v>
      </c>
      <c r="AB42" s="1">
        <v>6</v>
      </c>
      <c r="AC42" s="1" t="s">
        <v>83</v>
      </c>
      <c r="AD42" s="1">
        <v>6</v>
      </c>
      <c r="AE42" s="1">
        <v>6</v>
      </c>
      <c r="AF42" s="1" t="s">
        <v>83</v>
      </c>
      <c r="AG42" s="1">
        <v>3</v>
      </c>
      <c r="AH42" s="1">
        <v>3</v>
      </c>
      <c r="AI42" s="1" t="s">
        <v>96</v>
      </c>
      <c r="AJ42" s="1">
        <v>5</v>
      </c>
      <c r="AK42" s="1">
        <v>5</v>
      </c>
      <c r="AL42" s="1" t="s">
        <v>83</v>
      </c>
      <c r="AM42" s="1">
        <v>6</v>
      </c>
      <c r="AN42" s="1">
        <v>6</v>
      </c>
      <c r="AO42" s="1" t="s">
        <v>83</v>
      </c>
      <c r="AP42" s="1">
        <v>6</v>
      </c>
      <c r="AQ42" s="1">
        <v>6</v>
      </c>
      <c r="AR42" s="1" t="s">
        <v>83</v>
      </c>
      <c r="AS42" s="1">
        <v>6</v>
      </c>
      <c r="AT42" s="1">
        <v>5</v>
      </c>
      <c r="AU42" s="1" t="s">
        <v>83</v>
      </c>
      <c r="AV42" s="1">
        <v>6</v>
      </c>
      <c r="AW42" s="1">
        <v>6</v>
      </c>
      <c r="AX42" s="1" t="s">
        <v>83</v>
      </c>
      <c r="AY42" s="1">
        <v>0</v>
      </c>
      <c r="AZ42" s="1">
        <v>0</v>
      </c>
      <c r="BA42" s="1">
        <v>0</v>
      </c>
      <c r="BB42" s="1" t="s">
        <v>405</v>
      </c>
      <c r="BC42" s="1">
        <v>2</v>
      </c>
      <c r="BD42" s="1" t="s">
        <v>98</v>
      </c>
      <c r="BE42" s="1" t="s">
        <v>98</v>
      </c>
      <c r="BF42" s="1" t="s">
        <v>406</v>
      </c>
      <c r="BG42" s="1" t="s">
        <v>98</v>
      </c>
    </row>
    <row r="43" spans="1:59" x14ac:dyDescent="0.35">
      <c r="A43" s="1">
        <v>42</v>
      </c>
      <c r="B43" s="1">
        <v>45838.825844907406</v>
      </c>
      <c r="C43" s="1" t="s">
        <v>407</v>
      </c>
      <c r="D43" s="1" t="s">
        <v>408</v>
      </c>
      <c r="E43" s="1" t="s">
        <v>409</v>
      </c>
      <c r="F43" s="1" t="s">
        <v>410</v>
      </c>
      <c r="G43" s="1" t="s">
        <v>411</v>
      </c>
      <c r="H43" s="1" t="s">
        <v>138</v>
      </c>
      <c r="I43" s="1" t="s">
        <v>139</v>
      </c>
      <c r="J43" s="1" t="s">
        <v>163</v>
      </c>
      <c r="K43" s="1" t="s">
        <v>412</v>
      </c>
      <c r="L43" s="1" t="s">
        <v>69</v>
      </c>
      <c r="M43" s="1" t="s">
        <v>69</v>
      </c>
      <c r="N43" s="1" t="s">
        <v>69</v>
      </c>
      <c r="O43" s="1" t="s">
        <v>69</v>
      </c>
      <c r="P43" s="1" t="s">
        <v>106</v>
      </c>
      <c r="Q43" s="1" t="s">
        <v>107</v>
      </c>
      <c r="R43" s="1" t="s">
        <v>2436</v>
      </c>
      <c r="S43" s="1">
        <v>24</v>
      </c>
      <c r="T43" s="1" t="s">
        <v>72</v>
      </c>
      <c r="U43" s="1" t="s">
        <v>254</v>
      </c>
      <c r="V43" s="1" t="s">
        <v>413</v>
      </c>
      <c r="W43" s="1" t="s">
        <v>413</v>
      </c>
      <c r="X43" s="1">
        <v>6</v>
      </c>
      <c r="Y43" s="1">
        <v>6</v>
      </c>
      <c r="Z43" s="1" t="s">
        <v>83</v>
      </c>
      <c r="AA43" s="1">
        <v>6</v>
      </c>
      <c r="AB43" s="1">
        <v>6</v>
      </c>
      <c r="AC43" s="1" t="s">
        <v>83</v>
      </c>
      <c r="AD43" s="1">
        <v>6</v>
      </c>
      <c r="AE43" s="1">
        <v>6</v>
      </c>
      <c r="AF43" s="1" t="s">
        <v>83</v>
      </c>
      <c r="AG43" s="1">
        <v>6</v>
      </c>
      <c r="AH43" s="1">
        <v>6</v>
      </c>
      <c r="AI43" s="1" t="s">
        <v>83</v>
      </c>
      <c r="AJ43" s="1">
        <v>6</v>
      </c>
      <c r="AK43" s="1">
        <v>6</v>
      </c>
      <c r="AL43" s="1" t="s">
        <v>83</v>
      </c>
      <c r="AM43" s="1">
        <v>6</v>
      </c>
      <c r="AN43" s="1">
        <v>6</v>
      </c>
      <c r="AO43" s="1" t="s">
        <v>83</v>
      </c>
      <c r="AP43" s="1">
        <v>6</v>
      </c>
      <c r="AQ43" s="1">
        <v>6</v>
      </c>
      <c r="AR43" s="1" t="s">
        <v>83</v>
      </c>
      <c r="AS43" s="1">
        <v>6</v>
      </c>
      <c r="AT43" s="1">
        <v>6</v>
      </c>
      <c r="AU43" s="1" t="s">
        <v>83</v>
      </c>
      <c r="AV43" s="1">
        <v>6</v>
      </c>
      <c r="AW43" s="1">
        <v>6</v>
      </c>
      <c r="AX43" s="1" t="s">
        <v>83</v>
      </c>
      <c r="AY43" s="1">
        <v>0</v>
      </c>
      <c r="AZ43" s="1">
        <v>0</v>
      </c>
      <c r="BA43" s="1">
        <v>0</v>
      </c>
      <c r="BB43" s="1" t="s">
        <v>144</v>
      </c>
      <c r="BC43" s="1">
        <v>1</v>
      </c>
      <c r="BD43" s="1" t="s">
        <v>98</v>
      </c>
      <c r="BE43" s="1" t="s">
        <v>98</v>
      </c>
      <c r="BF43" s="1" t="s">
        <v>98</v>
      </c>
      <c r="BG43" s="1" t="s">
        <v>98</v>
      </c>
    </row>
    <row r="44" spans="1:59" x14ac:dyDescent="0.35">
      <c r="A44" s="1">
        <v>43</v>
      </c>
      <c r="B44" s="1">
        <v>45838.88181712963</v>
      </c>
      <c r="C44" s="1" t="s">
        <v>414</v>
      </c>
      <c r="D44" s="1" t="s">
        <v>415</v>
      </c>
      <c r="E44" s="1" t="s">
        <v>63</v>
      </c>
      <c r="F44" s="1" t="s">
        <v>416</v>
      </c>
      <c r="G44" s="1" t="s">
        <v>417</v>
      </c>
      <c r="H44" s="1" t="s">
        <v>242</v>
      </c>
      <c r="I44" s="1" t="s">
        <v>243</v>
      </c>
      <c r="J44" s="1" t="s">
        <v>67</v>
      </c>
      <c r="K44" s="1" t="s">
        <v>418</v>
      </c>
      <c r="L44" s="1" t="s">
        <v>69</v>
      </c>
      <c r="M44" s="1" t="s">
        <v>69</v>
      </c>
      <c r="N44" s="1" t="s">
        <v>69</v>
      </c>
      <c r="O44" s="1" t="s">
        <v>83</v>
      </c>
      <c r="P44" s="1" t="s">
        <v>106</v>
      </c>
      <c r="Q44" s="1" t="s">
        <v>271</v>
      </c>
      <c r="R44" s="1" t="s">
        <v>130</v>
      </c>
      <c r="S44" s="1">
        <v>18</v>
      </c>
      <c r="T44" s="1" t="s">
        <v>131</v>
      </c>
      <c r="U44" s="1" t="s">
        <v>73</v>
      </c>
      <c r="V44" s="1" t="s">
        <v>94</v>
      </c>
      <c r="W44" s="1" t="s">
        <v>95</v>
      </c>
      <c r="X44" s="1">
        <v>5</v>
      </c>
      <c r="Y44" s="1">
        <v>6</v>
      </c>
      <c r="Z44" s="1" t="s">
        <v>83</v>
      </c>
      <c r="AA44" s="1">
        <v>5</v>
      </c>
      <c r="AB44" s="1">
        <v>5</v>
      </c>
      <c r="AC44" s="1" t="s">
        <v>83</v>
      </c>
      <c r="AD44" s="1">
        <v>3</v>
      </c>
      <c r="AE44" s="1">
        <v>6</v>
      </c>
      <c r="AF44" s="1" t="s">
        <v>2451</v>
      </c>
      <c r="AG44" s="1">
        <v>6</v>
      </c>
      <c r="AH44" s="1">
        <v>6</v>
      </c>
      <c r="AI44" s="1" t="s">
        <v>83</v>
      </c>
      <c r="AJ44" s="1">
        <v>4</v>
      </c>
      <c r="AK44" s="1">
        <v>5</v>
      </c>
      <c r="AL44" s="1" t="s">
        <v>83</v>
      </c>
      <c r="AM44" s="1">
        <v>5</v>
      </c>
      <c r="AN44" s="1">
        <v>6</v>
      </c>
      <c r="AO44" s="1" t="s">
        <v>83</v>
      </c>
      <c r="AP44" s="1">
        <v>5</v>
      </c>
      <c r="AQ44" s="1">
        <v>6</v>
      </c>
      <c r="AR44" s="1" t="s">
        <v>83</v>
      </c>
      <c r="AS44" s="1">
        <v>5</v>
      </c>
      <c r="AT44" s="1">
        <v>5</v>
      </c>
      <c r="AU44" s="1" t="s">
        <v>83</v>
      </c>
      <c r="AV44" s="1">
        <v>5</v>
      </c>
      <c r="AW44" s="1">
        <v>6</v>
      </c>
      <c r="AX44" s="1" t="s">
        <v>83</v>
      </c>
      <c r="AY44" s="1">
        <v>0</v>
      </c>
      <c r="AZ44" s="1">
        <v>2</v>
      </c>
      <c r="BA44" s="1">
        <v>0</v>
      </c>
      <c r="BB44" s="1" t="s">
        <v>83</v>
      </c>
      <c r="BC44" s="1">
        <v>0</v>
      </c>
      <c r="BD44" s="1" t="s">
        <v>419</v>
      </c>
      <c r="BE44" s="1" t="s">
        <v>420</v>
      </c>
      <c r="BF44" s="1" t="s">
        <v>248</v>
      </c>
      <c r="BG44" s="1" t="s">
        <v>248</v>
      </c>
    </row>
    <row r="45" spans="1:59" x14ac:dyDescent="0.35">
      <c r="A45" s="1">
        <v>44</v>
      </c>
      <c r="B45" s="1">
        <v>45838.834467592591</v>
      </c>
      <c r="C45" s="1" t="s">
        <v>422</v>
      </c>
      <c r="D45" s="1" t="s">
        <v>423</v>
      </c>
      <c r="E45" s="1" t="s">
        <v>63</v>
      </c>
      <c r="F45" s="1" t="s">
        <v>136</v>
      </c>
      <c r="G45" s="1" t="s">
        <v>424</v>
      </c>
      <c r="H45" s="1" t="s">
        <v>138</v>
      </c>
      <c r="I45" s="1" t="s">
        <v>139</v>
      </c>
      <c r="J45" s="1" t="s">
        <v>163</v>
      </c>
      <c r="K45" s="1" t="s">
        <v>425</v>
      </c>
      <c r="L45" s="1" t="s">
        <v>69</v>
      </c>
      <c r="M45" s="1" t="s">
        <v>69</v>
      </c>
      <c r="N45" s="1" t="s">
        <v>69</v>
      </c>
      <c r="O45" s="1" t="s">
        <v>69</v>
      </c>
      <c r="P45" s="1" t="s">
        <v>70</v>
      </c>
      <c r="Q45" s="1" t="s">
        <v>107</v>
      </c>
      <c r="R45" s="1" t="s">
        <v>2452</v>
      </c>
      <c r="S45" s="1">
        <v>39</v>
      </c>
      <c r="T45" s="1" t="s">
        <v>153</v>
      </c>
      <c r="U45" s="1" t="s">
        <v>93</v>
      </c>
      <c r="V45" s="1" t="s">
        <v>142</v>
      </c>
      <c r="W45" s="1" t="s">
        <v>143</v>
      </c>
      <c r="X45" s="1">
        <v>5</v>
      </c>
      <c r="Y45" s="1">
        <v>5</v>
      </c>
      <c r="Z45" s="1" t="s">
        <v>83</v>
      </c>
      <c r="AA45" s="1">
        <v>6</v>
      </c>
      <c r="AB45" s="1">
        <v>6</v>
      </c>
      <c r="AC45" s="1" t="s">
        <v>83</v>
      </c>
      <c r="AD45" s="1">
        <v>6</v>
      </c>
      <c r="AE45" s="1">
        <v>6</v>
      </c>
      <c r="AF45" s="1" t="s">
        <v>83</v>
      </c>
      <c r="AG45" s="1">
        <v>6</v>
      </c>
      <c r="AH45" s="1">
        <v>6</v>
      </c>
      <c r="AI45" s="1" t="s">
        <v>83</v>
      </c>
      <c r="AJ45" s="1">
        <v>6</v>
      </c>
      <c r="AK45" s="1">
        <v>6</v>
      </c>
      <c r="AL45" s="1" t="s">
        <v>83</v>
      </c>
      <c r="AM45" s="1">
        <v>6</v>
      </c>
      <c r="AN45" s="1">
        <v>6</v>
      </c>
      <c r="AO45" s="1" t="s">
        <v>83</v>
      </c>
      <c r="AP45" s="1">
        <v>6</v>
      </c>
      <c r="AQ45" s="1">
        <v>6</v>
      </c>
      <c r="AR45" s="1" t="s">
        <v>83</v>
      </c>
      <c r="AS45" s="1">
        <v>6</v>
      </c>
      <c r="AT45" s="1">
        <v>6</v>
      </c>
      <c r="AU45" s="1" t="s">
        <v>83</v>
      </c>
      <c r="AV45" s="1">
        <v>5</v>
      </c>
      <c r="AW45" s="1">
        <v>5</v>
      </c>
      <c r="AX45" s="1" t="s">
        <v>83</v>
      </c>
      <c r="AY45" s="1">
        <v>0</v>
      </c>
      <c r="AZ45" s="1">
        <v>0</v>
      </c>
      <c r="BA45" s="1">
        <v>0</v>
      </c>
      <c r="BB45" s="1" t="s">
        <v>379</v>
      </c>
      <c r="BC45" s="1">
        <v>2</v>
      </c>
      <c r="BD45" s="1" t="s">
        <v>98</v>
      </c>
      <c r="BE45" s="1" t="s">
        <v>98</v>
      </c>
      <c r="BF45" s="1" t="s">
        <v>426</v>
      </c>
      <c r="BG45" s="1" t="s">
        <v>98</v>
      </c>
    </row>
    <row r="46" spans="1:59" x14ac:dyDescent="0.35">
      <c r="A46" s="1">
        <v>45</v>
      </c>
      <c r="B46" s="1">
        <v>45838.886122685188</v>
      </c>
      <c r="C46" s="1" t="s">
        <v>427</v>
      </c>
      <c r="D46" s="1" t="s">
        <v>428</v>
      </c>
      <c r="E46" s="1" t="s">
        <v>63</v>
      </c>
      <c r="F46" s="1" t="s">
        <v>149</v>
      </c>
      <c r="G46" s="1" t="s">
        <v>429</v>
      </c>
      <c r="H46" s="1" t="s">
        <v>242</v>
      </c>
      <c r="I46" s="1" t="s">
        <v>243</v>
      </c>
      <c r="J46" s="1" t="s">
        <v>67</v>
      </c>
      <c r="K46" s="1" t="s">
        <v>430</v>
      </c>
      <c r="L46" s="1" t="s">
        <v>69</v>
      </c>
      <c r="M46" s="1" t="s">
        <v>69</v>
      </c>
      <c r="N46" s="1" t="s">
        <v>69</v>
      </c>
      <c r="O46" s="1" t="s">
        <v>69</v>
      </c>
      <c r="P46" s="1" t="s">
        <v>106</v>
      </c>
      <c r="Q46" s="1" t="s">
        <v>292</v>
      </c>
      <c r="R46" s="1" t="s">
        <v>431</v>
      </c>
      <c r="S46" s="1">
        <v>19</v>
      </c>
      <c r="T46" s="1" t="s">
        <v>131</v>
      </c>
      <c r="U46" s="1" t="s">
        <v>73</v>
      </c>
      <c r="V46" s="1" t="s">
        <v>94</v>
      </c>
      <c r="W46" s="1" t="s">
        <v>95</v>
      </c>
      <c r="X46" s="1">
        <v>5</v>
      </c>
      <c r="Y46" s="1">
        <v>6</v>
      </c>
      <c r="Z46" s="1" t="s">
        <v>83</v>
      </c>
      <c r="AA46" s="1">
        <v>6</v>
      </c>
      <c r="AB46" s="1">
        <v>6</v>
      </c>
      <c r="AC46" s="1" t="s">
        <v>83</v>
      </c>
      <c r="AD46" s="1">
        <v>4</v>
      </c>
      <c r="AE46" s="1">
        <v>5</v>
      </c>
      <c r="AF46" s="1" t="s">
        <v>83</v>
      </c>
      <c r="AG46" s="1">
        <v>5</v>
      </c>
      <c r="AH46" s="1">
        <v>6</v>
      </c>
      <c r="AI46" s="1" t="s">
        <v>83</v>
      </c>
      <c r="AJ46" s="1">
        <v>5</v>
      </c>
      <c r="AK46" s="1">
        <v>5</v>
      </c>
      <c r="AL46" s="1" t="s">
        <v>83</v>
      </c>
      <c r="AM46" s="1">
        <v>5</v>
      </c>
      <c r="AN46" s="1">
        <v>5</v>
      </c>
      <c r="AO46" s="1" t="s">
        <v>83</v>
      </c>
      <c r="AP46" s="1">
        <v>6</v>
      </c>
      <c r="AQ46" s="1">
        <v>5</v>
      </c>
      <c r="AR46" s="1" t="s">
        <v>83</v>
      </c>
      <c r="AS46" s="1">
        <v>5</v>
      </c>
      <c r="AT46" s="1">
        <v>6</v>
      </c>
      <c r="AU46" s="1" t="s">
        <v>83</v>
      </c>
      <c r="AV46" s="1">
        <v>6</v>
      </c>
      <c r="AW46" s="1">
        <v>6</v>
      </c>
      <c r="AX46" s="1" t="s">
        <v>83</v>
      </c>
      <c r="AY46" s="1">
        <v>0</v>
      </c>
      <c r="AZ46" s="1">
        <v>2</v>
      </c>
      <c r="BA46" s="1">
        <v>0</v>
      </c>
      <c r="BB46" s="1" t="s">
        <v>83</v>
      </c>
      <c r="BC46" s="1">
        <v>0</v>
      </c>
      <c r="BD46" s="1" t="s">
        <v>432</v>
      </c>
      <c r="BE46" s="1" t="s">
        <v>434</v>
      </c>
      <c r="BF46" s="1" t="s">
        <v>248</v>
      </c>
      <c r="BG46" s="1" t="s">
        <v>248</v>
      </c>
    </row>
    <row r="47" spans="1:59" x14ac:dyDescent="0.35">
      <c r="A47" s="1">
        <v>46</v>
      </c>
      <c r="B47" s="1">
        <v>45838.921782407408</v>
      </c>
      <c r="C47" s="1" t="s">
        <v>435</v>
      </c>
      <c r="D47" s="1" t="s">
        <v>436</v>
      </c>
      <c r="E47" s="1" t="s">
        <v>63</v>
      </c>
      <c r="F47" s="1" t="s">
        <v>63</v>
      </c>
      <c r="G47" s="1" t="s">
        <v>437</v>
      </c>
      <c r="H47" s="1" t="s">
        <v>438</v>
      </c>
      <c r="I47" s="1" t="s">
        <v>439</v>
      </c>
      <c r="J47" s="1" t="s">
        <v>67</v>
      </c>
      <c r="K47" s="1" t="s">
        <v>440</v>
      </c>
      <c r="L47" s="1" t="s">
        <v>69</v>
      </c>
      <c r="M47" s="1" t="s">
        <v>69</v>
      </c>
      <c r="N47" s="1" t="s">
        <v>69</v>
      </c>
      <c r="O47" s="1" t="s">
        <v>69</v>
      </c>
      <c r="P47" s="1" t="s">
        <v>70</v>
      </c>
      <c r="Q47" s="1" t="s">
        <v>107</v>
      </c>
      <c r="R47" s="1" t="s">
        <v>441</v>
      </c>
      <c r="S47" s="1">
        <v>23</v>
      </c>
      <c r="T47" s="1" t="s">
        <v>72</v>
      </c>
      <c r="U47" s="1" t="s">
        <v>73</v>
      </c>
      <c r="V47" s="1" t="s">
        <v>232</v>
      </c>
      <c r="W47" s="1" t="s">
        <v>232</v>
      </c>
      <c r="X47" s="1">
        <v>6</v>
      </c>
      <c r="Y47" s="1">
        <v>6</v>
      </c>
      <c r="Z47" s="1" t="s">
        <v>83</v>
      </c>
      <c r="AA47" s="1">
        <v>6</v>
      </c>
      <c r="AB47" s="1">
        <v>6</v>
      </c>
      <c r="AC47" s="1" t="s">
        <v>83</v>
      </c>
      <c r="AD47" s="1">
        <v>6</v>
      </c>
      <c r="AE47" s="1">
        <v>6</v>
      </c>
      <c r="AF47" s="1" t="s">
        <v>83</v>
      </c>
      <c r="AG47" s="1">
        <v>6</v>
      </c>
      <c r="AH47" s="1">
        <v>0</v>
      </c>
      <c r="AI47" s="1" t="s">
        <v>83</v>
      </c>
      <c r="AJ47" s="1">
        <v>6</v>
      </c>
      <c r="AK47" s="1">
        <v>6</v>
      </c>
      <c r="AL47" s="1" t="s">
        <v>83</v>
      </c>
      <c r="AM47" s="1">
        <v>6</v>
      </c>
      <c r="AN47" s="1">
        <v>6</v>
      </c>
      <c r="AO47" s="1" t="s">
        <v>83</v>
      </c>
      <c r="AP47" s="1">
        <v>6</v>
      </c>
      <c r="AQ47" s="1">
        <v>6</v>
      </c>
      <c r="AR47" s="1" t="s">
        <v>83</v>
      </c>
      <c r="AS47" s="1">
        <v>6</v>
      </c>
      <c r="AT47" s="1">
        <v>6</v>
      </c>
      <c r="AU47" s="1" t="s">
        <v>83</v>
      </c>
      <c r="AV47" s="1">
        <v>6</v>
      </c>
      <c r="AW47" s="1">
        <v>6</v>
      </c>
      <c r="AX47" s="1" t="s">
        <v>83</v>
      </c>
      <c r="AY47" s="1">
        <v>0</v>
      </c>
      <c r="AZ47" s="1">
        <v>0</v>
      </c>
      <c r="BA47" s="1">
        <v>0</v>
      </c>
      <c r="BB47" s="1" t="s">
        <v>293</v>
      </c>
      <c r="BC47" s="1">
        <v>1</v>
      </c>
      <c r="BD47" s="1" t="s">
        <v>442</v>
      </c>
      <c r="BE47" s="1" t="s">
        <v>442</v>
      </c>
      <c r="BF47" s="1" t="s">
        <v>443</v>
      </c>
      <c r="BG47" s="1" t="s">
        <v>83</v>
      </c>
    </row>
    <row r="48" spans="1:59" x14ac:dyDescent="0.35">
      <c r="A48" s="1">
        <v>47</v>
      </c>
      <c r="B48" s="1">
        <v>45838.925925925927</v>
      </c>
      <c r="C48" s="1" t="s">
        <v>444</v>
      </c>
      <c r="D48" s="1" t="s">
        <v>445</v>
      </c>
      <c r="E48" s="1" t="s">
        <v>63</v>
      </c>
      <c r="F48" s="1" t="s">
        <v>63</v>
      </c>
      <c r="G48" s="1" t="s">
        <v>446</v>
      </c>
      <c r="H48" s="1" t="s">
        <v>103</v>
      </c>
      <c r="I48" s="1" t="s">
        <v>104</v>
      </c>
      <c r="J48" s="1" t="s">
        <v>67</v>
      </c>
      <c r="K48" s="1" t="s">
        <v>447</v>
      </c>
      <c r="L48" s="1" t="s">
        <v>69</v>
      </c>
      <c r="M48" s="1" t="s">
        <v>69</v>
      </c>
      <c r="N48" s="1" t="s">
        <v>69</v>
      </c>
      <c r="O48" s="1" t="s">
        <v>69</v>
      </c>
      <c r="P48" s="1" t="s">
        <v>70</v>
      </c>
      <c r="Q48" s="1" t="s">
        <v>107</v>
      </c>
      <c r="R48" s="1" t="s">
        <v>448</v>
      </c>
      <c r="S48" s="1">
        <v>27</v>
      </c>
      <c r="T48" s="1" t="s">
        <v>92</v>
      </c>
      <c r="U48" s="1" t="s">
        <v>93</v>
      </c>
      <c r="V48" s="1" t="s">
        <v>74</v>
      </c>
      <c r="W48" s="1" t="s">
        <v>74</v>
      </c>
      <c r="X48" s="1">
        <v>6</v>
      </c>
      <c r="Y48" s="1">
        <v>6</v>
      </c>
      <c r="Z48" s="1" t="s">
        <v>83</v>
      </c>
      <c r="AA48" s="1">
        <v>5</v>
      </c>
      <c r="AB48" s="1">
        <v>6</v>
      </c>
      <c r="AC48" s="1" t="s">
        <v>83</v>
      </c>
      <c r="AD48" s="1">
        <v>6</v>
      </c>
      <c r="AE48" s="1">
        <v>6</v>
      </c>
      <c r="AF48" s="1" t="s">
        <v>83</v>
      </c>
      <c r="AG48" s="1">
        <v>0</v>
      </c>
      <c r="AH48" s="1">
        <v>0</v>
      </c>
      <c r="AI48" s="1" t="s">
        <v>96</v>
      </c>
      <c r="AJ48" s="1">
        <v>6</v>
      </c>
      <c r="AK48" s="1">
        <v>6</v>
      </c>
      <c r="AL48" s="1" t="s">
        <v>83</v>
      </c>
      <c r="AM48" s="1">
        <v>6</v>
      </c>
      <c r="AN48" s="1">
        <v>6</v>
      </c>
      <c r="AO48" s="1" t="s">
        <v>83</v>
      </c>
      <c r="AP48" s="1">
        <v>6</v>
      </c>
      <c r="AQ48" s="1">
        <v>6</v>
      </c>
      <c r="AR48" s="1" t="s">
        <v>83</v>
      </c>
      <c r="AS48" s="1">
        <v>5</v>
      </c>
      <c r="AT48" s="1">
        <v>6</v>
      </c>
      <c r="AU48" s="1" t="s">
        <v>83</v>
      </c>
      <c r="AV48" s="1">
        <v>6</v>
      </c>
      <c r="AW48" s="1">
        <v>6</v>
      </c>
      <c r="AX48" s="1" t="s">
        <v>83</v>
      </c>
      <c r="AY48" s="1">
        <v>0</v>
      </c>
      <c r="AZ48" s="1">
        <v>0</v>
      </c>
      <c r="BA48" s="1">
        <v>0</v>
      </c>
      <c r="BB48" s="1" t="s">
        <v>449</v>
      </c>
      <c r="BC48" s="1">
        <v>2</v>
      </c>
      <c r="BD48" s="1" t="s">
        <v>451</v>
      </c>
      <c r="BE48" s="1" t="s">
        <v>453</v>
      </c>
      <c r="BF48" s="1" t="s">
        <v>454</v>
      </c>
      <c r="BG48" s="1" t="s">
        <v>455</v>
      </c>
    </row>
    <row r="49" spans="1:59" x14ac:dyDescent="0.35">
      <c r="A49" s="1">
        <v>48</v>
      </c>
      <c r="B49" s="1">
        <v>45838.932800925926</v>
      </c>
      <c r="C49" s="1" t="s">
        <v>456</v>
      </c>
      <c r="D49" s="1" t="s">
        <v>457</v>
      </c>
      <c r="E49" s="1" t="s">
        <v>63</v>
      </c>
      <c r="F49" s="1" t="s">
        <v>63</v>
      </c>
      <c r="G49" s="1" t="s">
        <v>458</v>
      </c>
      <c r="H49" s="1" t="s">
        <v>459</v>
      </c>
      <c r="I49" s="1" t="s">
        <v>439</v>
      </c>
      <c r="J49" s="1" t="s">
        <v>67</v>
      </c>
      <c r="K49" s="1" t="s">
        <v>460</v>
      </c>
      <c r="L49" s="1" t="s">
        <v>69</v>
      </c>
      <c r="M49" s="1" t="s">
        <v>69</v>
      </c>
      <c r="N49" s="1" t="s">
        <v>69</v>
      </c>
      <c r="O49" s="1" t="s">
        <v>69</v>
      </c>
      <c r="P49" s="1" t="s">
        <v>106</v>
      </c>
      <c r="Q49" s="1" t="s">
        <v>107</v>
      </c>
      <c r="R49" s="1" t="s">
        <v>441</v>
      </c>
      <c r="S49" s="1">
        <v>23</v>
      </c>
      <c r="T49" s="1" t="s">
        <v>72</v>
      </c>
      <c r="U49" s="1" t="s">
        <v>93</v>
      </c>
      <c r="V49" s="1" t="s">
        <v>74</v>
      </c>
      <c r="W49" s="1" t="s">
        <v>74</v>
      </c>
      <c r="X49" s="1">
        <v>5</v>
      </c>
      <c r="Y49" s="1">
        <v>5</v>
      </c>
      <c r="Z49" s="1" t="s">
        <v>83</v>
      </c>
      <c r="AA49" s="1">
        <v>5</v>
      </c>
      <c r="AB49" s="1">
        <v>5</v>
      </c>
      <c r="AC49" s="1" t="s">
        <v>83</v>
      </c>
      <c r="AD49" s="1">
        <v>5</v>
      </c>
      <c r="AE49" s="1">
        <v>6</v>
      </c>
      <c r="AF49" s="1" t="s">
        <v>83</v>
      </c>
      <c r="AG49" s="1">
        <v>0</v>
      </c>
      <c r="AH49" s="1">
        <v>0</v>
      </c>
      <c r="AI49" s="1" t="s">
        <v>83</v>
      </c>
      <c r="AJ49" s="1">
        <v>6</v>
      </c>
      <c r="AK49" s="1">
        <v>6</v>
      </c>
      <c r="AL49" s="1" t="s">
        <v>83</v>
      </c>
      <c r="AM49" s="1">
        <v>5</v>
      </c>
      <c r="AN49" s="1">
        <v>5</v>
      </c>
      <c r="AO49" s="1" t="s">
        <v>83</v>
      </c>
      <c r="AP49" s="1">
        <v>5</v>
      </c>
      <c r="AQ49" s="1">
        <v>5</v>
      </c>
      <c r="AR49" s="1" t="s">
        <v>83</v>
      </c>
      <c r="AS49" s="1">
        <v>5</v>
      </c>
      <c r="AT49" s="1">
        <v>5</v>
      </c>
      <c r="AU49" s="1" t="s">
        <v>83</v>
      </c>
      <c r="AV49" s="1">
        <v>5</v>
      </c>
      <c r="AW49" s="1">
        <v>5</v>
      </c>
      <c r="AX49" s="1" t="s">
        <v>83</v>
      </c>
      <c r="AY49" s="1">
        <v>0</v>
      </c>
      <c r="AZ49" s="1">
        <v>0</v>
      </c>
      <c r="BA49" s="1">
        <v>0</v>
      </c>
      <c r="BB49" s="1" t="s">
        <v>461</v>
      </c>
      <c r="BC49" s="1">
        <v>3</v>
      </c>
      <c r="BD49" s="1" t="s">
        <v>462</v>
      </c>
      <c r="BE49" s="1" t="s">
        <v>463</v>
      </c>
      <c r="BF49" s="1" t="s">
        <v>462</v>
      </c>
      <c r="BG49" s="1" t="s">
        <v>83</v>
      </c>
    </row>
    <row r="50" spans="1:59" x14ac:dyDescent="0.35">
      <c r="A50" s="1">
        <v>49</v>
      </c>
      <c r="B50" s="1">
        <v>45838.939363425925</v>
      </c>
      <c r="C50" s="1" t="s">
        <v>464</v>
      </c>
      <c r="D50" s="1" t="s">
        <v>465</v>
      </c>
      <c r="E50" s="1" t="s">
        <v>63</v>
      </c>
      <c r="F50" s="1" t="s">
        <v>466</v>
      </c>
      <c r="G50" s="1" t="s">
        <v>467</v>
      </c>
      <c r="H50" s="1" t="s">
        <v>459</v>
      </c>
      <c r="I50" s="1" t="s">
        <v>439</v>
      </c>
      <c r="J50" s="1" t="s">
        <v>67</v>
      </c>
      <c r="K50" s="1" t="s">
        <v>468</v>
      </c>
      <c r="L50" s="1" t="s">
        <v>69</v>
      </c>
      <c r="M50" s="1" t="s">
        <v>69</v>
      </c>
      <c r="N50" s="1" t="s">
        <v>69</v>
      </c>
      <c r="O50" s="1" t="s">
        <v>69</v>
      </c>
      <c r="P50" s="1" t="s">
        <v>106</v>
      </c>
      <c r="Q50" s="1" t="s">
        <v>107</v>
      </c>
      <c r="R50" s="1" t="s">
        <v>469</v>
      </c>
      <c r="S50" s="1">
        <v>58</v>
      </c>
      <c r="T50" s="1" t="s">
        <v>182</v>
      </c>
      <c r="U50" s="1" t="s">
        <v>73</v>
      </c>
      <c r="V50" s="1" t="s">
        <v>184</v>
      </c>
      <c r="W50" s="1" t="s">
        <v>184</v>
      </c>
      <c r="X50" s="1">
        <v>5</v>
      </c>
      <c r="Y50" s="1">
        <v>5</v>
      </c>
      <c r="Z50" s="1" t="s">
        <v>83</v>
      </c>
      <c r="AA50" s="1">
        <v>5</v>
      </c>
      <c r="AB50" s="1">
        <v>5</v>
      </c>
      <c r="AC50" s="1" t="s">
        <v>83</v>
      </c>
      <c r="AD50" s="1">
        <v>5</v>
      </c>
      <c r="AE50" s="1">
        <v>5</v>
      </c>
      <c r="AF50" s="1" t="s">
        <v>83</v>
      </c>
      <c r="AG50" s="1">
        <v>0</v>
      </c>
      <c r="AH50" s="1">
        <v>0</v>
      </c>
      <c r="AI50" s="1" t="s">
        <v>83</v>
      </c>
      <c r="AJ50" s="1">
        <v>5</v>
      </c>
      <c r="AK50" s="1">
        <v>5</v>
      </c>
      <c r="AL50" s="1" t="s">
        <v>83</v>
      </c>
      <c r="AM50" s="1">
        <v>6</v>
      </c>
      <c r="AN50" s="1">
        <v>6</v>
      </c>
      <c r="AO50" s="1" t="s">
        <v>83</v>
      </c>
      <c r="AP50" s="1">
        <v>6</v>
      </c>
      <c r="AQ50" s="1">
        <v>6</v>
      </c>
      <c r="AR50" s="1" t="s">
        <v>83</v>
      </c>
      <c r="AS50" s="1">
        <v>5</v>
      </c>
      <c r="AT50" s="1">
        <v>5</v>
      </c>
      <c r="AU50" s="1" t="s">
        <v>83</v>
      </c>
      <c r="AV50" s="1">
        <v>6</v>
      </c>
      <c r="AW50" s="1">
        <v>6</v>
      </c>
      <c r="AX50" s="1" t="s">
        <v>83</v>
      </c>
      <c r="AY50" s="1">
        <v>0</v>
      </c>
      <c r="AZ50" s="1">
        <v>0</v>
      </c>
      <c r="BA50" s="1">
        <v>0</v>
      </c>
      <c r="BB50" s="1" t="s">
        <v>470</v>
      </c>
      <c r="BC50" s="1">
        <v>2</v>
      </c>
      <c r="BD50" s="1" t="s">
        <v>462</v>
      </c>
      <c r="BE50" s="1" t="s">
        <v>462</v>
      </c>
      <c r="BF50" s="1" t="s">
        <v>462</v>
      </c>
      <c r="BG50" s="1" t="s">
        <v>83</v>
      </c>
    </row>
    <row r="51" spans="1:59" x14ac:dyDescent="0.35">
      <c r="A51" s="1">
        <v>50</v>
      </c>
      <c r="B51" s="1">
        <v>45838.944027777776</v>
      </c>
      <c r="C51" s="1" t="s">
        <v>471</v>
      </c>
      <c r="D51" s="1" t="s">
        <v>472</v>
      </c>
      <c r="E51" s="1" t="s">
        <v>63</v>
      </c>
      <c r="F51" s="1" t="s">
        <v>63</v>
      </c>
      <c r="G51" s="1" t="s">
        <v>473</v>
      </c>
      <c r="H51" s="1" t="s">
        <v>459</v>
      </c>
      <c r="I51" s="1" t="s">
        <v>439</v>
      </c>
      <c r="J51" s="1" t="s">
        <v>67</v>
      </c>
      <c r="K51" s="1" t="s">
        <v>474</v>
      </c>
      <c r="L51" s="1" t="s">
        <v>69</v>
      </c>
      <c r="M51" s="1" t="s">
        <v>69</v>
      </c>
      <c r="N51" s="1" t="s">
        <v>69</v>
      </c>
      <c r="O51" s="1" t="s">
        <v>69</v>
      </c>
      <c r="P51" s="1" t="s">
        <v>70</v>
      </c>
      <c r="Q51" s="1" t="s">
        <v>107</v>
      </c>
      <c r="R51" s="1" t="s">
        <v>475</v>
      </c>
      <c r="S51" s="1">
        <v>54</v>
      </c>
      <c r="T51" s="1" t="s">
        <v>383</v>
      </c>
      <c r="U51" s="1" t="s">
        <v>93</v>
      </c>
      <c r="V51" s="1" t="s">
        <v>476</v>
      </c>
      <c r="W51" s="1" t="s">
        <v>184</v>
      </c>
      <c r="X51" s="1">
        <v>5</v>
      </c>
      <c r="Y51" s="1">
        <v>6</v>
      </c>
      <c r="Z51" s="1" t="s">
        <v>83</v>
      </c>
      <c r="AA51" s="1">
        <v>6</v>
      </c>
      <c r="AB51" s="1">
        <v>6</v>
      </c>
      <c r="AC51" s="1" t="s">
        <v>83</v>
      </c>
      <c r="AD51" s="1">
        <v>6</v>
      </c>
      <c r="AE51" s="1">
        <v>6</v>
      </c>
      <c r="AF51" s="1" t="s">
        <v>83</v>
      </c>
      <c r="AG51" s="1">
        <v>0</v>
      </c>
      <c r="AH51" s="1">
        <v>0</v>
      </c>
      <c r="AI51" s="1" t="s">
        <v>83</v>
      </c>
      <c r="AJ51" s="1">
        <v>6</v>
      </c>
      <c r="AK51" s="1">
        <v>6</v>
      </c>
      <c r="AL51" s="1" t="s">
        <v>83</v>
      </c>
      <c r="AM51" s="1">
        <v>6</v>
      </c>
      <c r="AN51" s="1">
        <v>6</v>
      </c>
      <c r="AO51" s="1" t="s">
        <v>83</v>
      </c>
      <c r="AP51" s="1">
        <v>6</v>
      </c>
      <c r="AQ51" s="1">
        <v>6</v>
      </c>
      <c r="AR51" s="1" t="s">
        <v>83</v>
      </c>
      <c r="AS51" s="1">
        <v>6</v>
      </c>
      <c r="AT51" s="1">
        <v>6</v>
      </c>
      <c r="AU51" s="1" t="s">
        <v>83</v>
      </c>
      <c r="AV51" s="1">
        <v>6</v>
      </c>
      <c r="AW51" s="1">
        <v>6</v>
      </c>
      <c r="AX51" s="1" t="s">
        <v>83</v>
      </c>
      <c r="AY51" s="1">
        <v>2</v>
      </c>
      <c r="AZ51" s="1">
        <v>0</v>
      </c>
      <c r="BA51" s="1">
        <v>0</v>
      </c>
      <c r="BB51" s="1" t="s">
        <v>83</v>
      </c>
      <c r="BC51" s="1">
        <v>0</v>
      </c>
      <c r="BD51" s="1" t="s">
        <v>462</v>
      </c>
      <c r="BE51" s="1" t="s">
        <v>477</v>
      </c>
      <c r="BF51" s="1" t="s">
        <v>462</v>
      </c>
      <c r="BG51" s="1" t="s">
        <v>83</v>
      </c>
    </row>
    <row r="52" spans="1:59" x14ac:dyDescent="0.35">
      <c r="A52" s="1">
        <v>51</v>
      </c>
      <c r="B52" s="1">
        <v>45838.953194444446</v>
      </c>
      <c r="C52" s="1" t="s">
        <v>478</v>
      </c>
      <c r="D52" s="1" t="s">
        <v>479</v>
      </c>
      <c r="E52" s="1" t="s">
        <v>63</v>
      </c>
      <c r="F52" s="1" t="s">
        <v>480</v>
      </c>
      <c r="G52" s="1" t="s">
        <v>481</v>
      </c>
      <c r="H52" s="1" t="s">
        <v>459</v>
      </c>
      <c r="I52" s="1" t="s">
        <v>439</v>
      </c>
      <c r="J52" s="1" t="s">
        <v>67</v>
      </c>
      <c r="K52" s="1" t="s">
        <v>482</v>
      </c>
      <c r="L52" s="1" t="s">
        <v>69</v>
      </c>
      <c r="M52" s="1" t="s">
        <v>69</v>
      </c>
      <c r="N52" s="1" t="s">
        <v>69</v>
      </c>
      <c r="O52" s="1" t="s">
        <v>69</v>
      </c>
      <c r="P52" s="1" t="s">
        <v>70</v>
      </c>
      <c r="Q52" s="1" t="s">
        <v>107</v>
      </c>
      <c r="R52" s="1" t="s">
        <v>483</v>
      </c>
      <c r="S52" s="1">
        <v>28</v>
      </c>
      <c r="T52" s="1" t="s">
        <v>92</v>
      </c>
      <c r="U52" s="1" t="s">
        <v>93</v>
      </c>
      <c r="V52" s="1" t="s">
        <v>246</v>
      </c>
      <c r="W52" s="1" t="s">
        <v>246</v>
      </c>
      <c r="X52" s="1">
        <v>3</v>
      </c>
      <c r="Y52" s="1">
        <v>4</v>
      </c>
      <c r="Z52" s="1" t="s">
        <v>2453</v>
      </c>
      <c r="AA52" s="1">
        <v>3</v>
      </c>
      <c r="AB52" s="1">
        <v>4</v>
      </c>
      <c r="AC52" s="1" t="s">
        <v>2454</v>
      </c>
      <c r="AD52" s="1">
        <v>4</v>
      </c>
      <c r="AE52" s="1">
        <v>4</v>
      </c>
      <c r="AF52" s="1" t="s">
        <v>83</v>
      </c>
      <c r="AG52" s="1">
        <v>0</v>
      </c>
      <c r="AH52" s="1">
        <v>0</v>
      </c>
      <c r="AI52" s="1" t="s">
        <v>83</v>
      </c>
      <c r="AJ52" s="1">
        <v>5</v>
      </c>
      <c r="AK52" s="1">
        <v>5</v>
      </c>
      <c r="AL52" s="1" t="s">
        <v>83</v>
      </c>
      <c r="AM52" s="1">
        <v>4</v>
      </c>
      <c r="AN52" s="1">
        <v>4</v>
      </c>
      <c r="AO52" s="1" t="s">
        <v>83</v>
      </c>
      <c r="AP52" s="1">
        <v>4</v>
      </c>
      <c r="AQ52" s="1">
        <v>4</v>
      </c>
      <c r="AR52" s="1" t="s">
        <v>83</v>
      </c>
      <c r="AS52" s="1">
        <v>5</v>
      </c>
      <c r="AT52" s="1">
        <v>5</v>
      </c>
      <c r="AU52" s="1" t="s">
        <v>83</v>
      </c>
      <c r="AV52" s="1">
        <v>6</v>
      </c>
      <c r="AW52" s="1">
        <v>6</v>
      </c>
      <c r="AX52" s="1" t="s">
        <v>83</v>
      </c>
      <c r="AY52" s="1">
        <v>0</v>
      </c>
      <c r="AZ52" s="1">
        <v>0</v>
      </c>
      <c r="BA52" s="1">
        <v>0</v>
      </c>
      <c r="BB52" s="1" t="s">
        <v>484</v>
      </c>
      <c r="BC52" s="1">
        <v>3</v>
      </c>
      <c r="BD52" s="1" t="s">
        <v>485</v>
      </c>
      <c r="BE52" s="1" t="s">
        <v>487</v>
      </c>
      <c r="BF52" s="1" t="s">
        <v>442</v>
      </c>
      <c r="BG52" s="1" t="s">
        <v>83</v>
      </c>
    </row>
    <row r="53" spans="1:59" x14ac:dyDescent="0.35">
      <c r="A53" s="1">
        <v>52</v>
      </c>
      <c r="B53" s="1">
        <v>45838.957766203705</v>
      </c>
      <c r="C53" s="1" t="s">
        <v>488</v>
      </c>
      <c r="D53" s="1" t="s">
        <v>489</v>
      </c>
      <c r="E53" s="1" t="s">
        <v>63</v>
      </c>
      <c r="F53" s="1" t="s">
        <v>63</v>
      </c>
      <c r="G53" s="1" t="s">
        <v>490</v>
      </c>
      <c r="H53" s="1" t="s">
        <v>459</v>
      </c>
      <c r="I53" s="1" t="s">
        <v>439</v>
      </c>
      <c r="J53" s="1" t="s">
        <v>67</v>
      </c>
      <c r="K53" s="1" t="s">
        <v>491</v>
      </c>
      <c r="L53" s="1" t="s">
        <v>69</v>
      </c>
      <c r="M53" s="1" t="s">
        <v>69</v>
      </c>
      <c r="N53" s="1" t="s">
        <v>69</v>
      </c>
      <c r="O53" s="1" t="s">
        <v>69</v>
      </c>
      <c r="P53" s="1" t="s">
        <v>106</v>
      </c>
      <c r="Q53" s="1" t="s">
        <v>71</v>
      </c>
      <c r="R53" s="1" t="s">
        <v>492</v>
      </c>
      <c r="S53" s="1">
        <v>24</v>
      </c>
      <c r="T53" s="1" t="s">
        <v>72</v>
      </c>
      <c r="U53" s="1" t="s">
        <v>93</v>
      </c>
      <c r="V53" s="1" t="s">
        <v>493</v>
      </c>
      <c r="W53" s="1" t="s">
        <v>74</v>
      </c>
      <c r="X53" s="1">
        <v>6</v>
      </c>
      <c r="Y53" s="1">
        <v>6</v>
      </c>
      <c r="Z53" s="1" t="s">
        <v>83</v>
      </c>
      <c r="AA53" s="1">
        <v>5</v>
      </c>
      <c r="AB53" s="1">
        <v>6</v>
      </c>
      <c r="AC53" s="1" t="s">
        <v>83</v>
      </c>
      <c r="AD53" s="1">
        <v>5</v>
      </c>
      <c r="AE53" s="1">
        <v>6</v>
      </c>
      <c r="AF53" s="1" t="s">
        <v>83</v>
      </c>
      <c r="AG53" s="1">
        <v>6</v>
      </c>
      <c r="AH53" s="1">
        <v>6</v>
      </c>
      <c r="AI53" s="1" t="s">
        <v>83</v>
      </c>
      <c r="AJ53" s="1">
        <v>6</v>
      </c>
      <c r="AK53" s="1">
        <v>6</v>
      </c>
      <c r="AL53" s="1" t="s">
        <v>83</v>
      </c>
      <c r="AM53" s="1">
        <v>5</v>
      </c>
      <c r="AN53" s="1">
        <v>5</v>
      </c>
      <c r="AO53" s="1" t="s">
        <v>83</v>
      </c>
      <c r="AP53" s="1">
        <v>5</v>
      </c>
      <c r="AQ53" s="1">
        <v>5</v>
      </c>
      <c r="AR53" s="1" t="s">
        <v>83</v>
      </c>
      <c r="AS53" s="1">
        <v>5</v>
      </c>
      <c r="AT53" s="1">
        <v>5</v>
      </c>
      <c r="AU53" s="1" t="s">
        <v>83</v>
      </c>
      <c r="AV53" s="1">
        <v>6</v>
      </c>
      <c r="AW53" s="1">
        <v>6</v>
      </c>
      <c r="AX53" s="1" t="s">
        <v>83</v>
      </c>
      <c r="AY53" s="1">
        <v>0</v>
      </c>
      <c r="AZ53" s="1">
        <v>1</v>
      </c>
      <c r="BA53" s="1">
        <v>0</v>
      </c>
      <c r="BB53" s="1" t="s">
        <v>83</v>
      </c>
      <c r="BC53" s="1">
        <v>0</v>
      </c>
      <c r="BD53" s="1" t="s">
        <v>494</v>
      </c>
      <c r="BE53" s="1" t="s">
        <v>442</v>
      </c>
      <c r="BF53" s="1" t="s">
        <v>442</v>
      </c>
      <c r="BG53" s="1" t="s">
        <v>83</v>
      </c>
    </row>
    <row r="54" spans="1:59" x14ac:dyDescent="0.35">
      <c r="A54" s="1">
        <v>53</v>
      </c>
      <c r="B54" s="1">
        <v>45838.964699074073</v>
      </c>
      <c r="C54" s="1" t="s">
        <v>495</v>
      </c>
      <c r="D54" s="1" t="s">
        <v>496</v>
      </c>
      <c r="E54" s="1" t="s">
        <v>63</v>
      </c>
      <c r="F54" s="1" t="s">
        <v>125</v>
      </c>
      <c r="G54" s="1" t="s">
        <v>497</v>
      </c>
      <c r="H54" s="1" t="s">
        <v>459</v>
      </c>
      <c r="I54" s="1" t="s">
        <v>439</v>
      </c>
      <c r="J54" s="1" t="s">
        <v>67</v>
      </c>
      <c r="K54" s="1" t="s">
        <v>498</v>
      </c>
      <c r="L54" s="1" t="s">
        <v>69</v>
      </c>
      <c r="M54" s="1" t="s">
        <v>69</v>
      </c>
      <c r="N54" s="1" t="s">
        <v>69</v>
      </c>
      <c r="O54" s="1" t="s">
        <v>69</v>
      </c>
      <c r="P54" s="1" t="s">
        <v>70</v>
      </c>
      <c r="Q54" s="1" t="s">
        <v>71</v>
      </c>
      <c r="R54" s="1" t="s">
        <v>499</v>
      </c>
      <c r="S54" s="1">
        <v>22</v>
      </c>
      <c r="T54" s="1" t="s">
        <v>72</v>
      </c>
      <c r="U54" s="1" t="s">
        <v>93</v>
      </c>
      <c r="V54" s="1" t="s">
        <v>94</v>
      </c>
      <c r="W54" s="1" t="s">
        <v>95</v>
      </c>
      <c r="X54" s="1">
        <v>5</v>
      </c>
      <c r="Y54" s="1">
        <v>5</v>
      </c>
      <c r="Z54" s="1" t="s">
        <v>83</v>
      </c>
      <c r="AA54" s="1">
        <v>4</v>
      </c>
      <c r="AB54" s="1">
        <v>4</v>
      </c>
      <c r="AC54" s="1" t="s">
        <v>83</v>
      </c>
      <c r="AD54" s="1">
        <v>5</v>
      </c>
      <c r="AE54" s="1">
        <v>5</v>
      </c>
      <c r="AF54" s="1" t="s">
        <v>83</v>
      </c>
      <c r="AG54" s="1">
        <v>6</v>
      </c>
      <c r="AH54" s="1">
        <v>6</v>
      </c>
      <c r="AI54" s="1" t="s">
        <v>83</v>
      </c>
      <c r="AJ54" s="1">
        <v>6</v>
      </c>
      <c r="AK54" s="1">
        <v>6</v>
      </c>
      <c r="AL54" s="1" t="s">
        <v>83</v>
      </c>
      <c r="AM54" s="1">
        <v>4</v>
      </c>
      <c r="AN54" s="1">
        <v>4</v>
      </c>
      <c r="AO54" s="1" t="s">
        <v>83</v>
      </c>
      <c r="AP54" s="1">
        <v>4</v>
      </c>
      <c r="AQ54" s="1">
        <v>4</v>
      </c>
      <c r="AR54" s="1" t="s">
        <v>83</v>
      </c>
      <c r="AS54" s="1">
        <v>5</v>
      </c>
      <c r="AT54" s="1">
        <v>5</v>
      </c>
      <c r="AU54" s="1" t="s">
        <v>83</v>
      </c>
      <c r="AV54" s="1">
        <v>6</v>
      </c>
      <c r="AW54" s="1">
        <v>6</v>
      </c>
      <c r="AX54" s="1" t="s">
        <v>83</v>
      </c>
      <c r="AY54" s="1">
        <v>0</v>
      </c>
      <c r="AZ54" s="1">
        <v>2</v>
      </c>
      <c r="BA54" s="1">
        <v>0</v>
      </c>
      <c r="BB54" s="1" t="s">
        <v>83</v>
      </c>
      <c r="BC54" s="1">
        <v>0</v>
      </c>
      <c r="BD54" s="1" t="s">
        <v>500</v>
      </c>
      <c r="BE54" s="1" t="s">
        <v>501</v>
      </c>
      <c r="BF54" s="1" t="s">
        <v>503</v>
      </c>
      <c r="BG54" s="1" t="s">
        <v>83</v>
      </c>
    </row>
    <row r="55" spans="1:59" x14ac:dyDescent="0.35">
      <c r="A55" s="1">
        <v>54</v>
      </c>
      <c r="B55" s="1">
        <v>45838.969513888886</v>
      </c>
      <c r="C55" s="1" t="s">
        <v>504</v>
      </c>
      <c r="D55" s="1" t="s">
        <v>505</v>
      </c>
      <c r="E55" s="1" t="s">
        <v>63</v>
      </c>
      <c r="F55" s="1" t="s">
        <v>125</v>
      </c>
      <c r="G55" s="1" t="s">
        <v>506</v>
      </c>
      <c r="H55" s="1" t="s">
        <v>459</v>
      </c>
      <c r="I55" s="1" t="s">
        <v>439</v>
      </c>
      <c r="J55" s="1" t="s">
        <v>67</v>
      </c>
      <c r="K55" s="1" t="s">
        <v>507</v>
      </c>
      <c r="L55" s="1" t="s">
        <v>69</v>
      </c>
      <c r="M55" s="1" t="s">
        <v>69</v>
      </c>
      <c r="N55" s="1" t="s">
        <v>69</v>
      </c>
      <c r="O55" s="1" t="s">
        <v>69</v>
      </c>
      <c r="P55" s="1" t="s">
        <v>70</v>
      </c>
      <c r="Q55" s="1" t="s">
        <v>71</v>
      </c>
      <c r="R55" s="1" t="s">
        <v>499</v>
      </c>
      <c r="S55" s="1">
        <v>22</v>
      </c>
      <c r="T55" s="1" t="s">
        <v>72</v>
      </c>
      <c r="U55" s="1" t="s">
        <v>73</v>
      </c>
      <c r="V55" s="1" t="s">
        <v>508</v>
      </c>
      <c r="W55" s="1" t="s">
        <v>133</v>
      </c>
      <c r="X55" s="1">
        <v>5</v>
      </c>
      <c r="Y55" s="1">
        <v>5</v>
      </c>
      <c r="Z55" s="1" t="s">
        <v>83</v>
      </c>
      <c r="AA55" s="1">
        <v>4</v>
      </c>
      <c r="AB55" s="1">
        <v>5</v>
      </c>
      <c r="AC55" s="1" t="s">
        <v>83</v>
      </c>
      <c r="AD55" s="1">
        <v>4</v>
      </c>
      <c r="AE55" s="1">
        <v>4</v>
      </c>
      <c r="AF55" s="1" t="s">
        <v>83</v>
      </c>
      <c r="AG55" s="1">
        <v>5</v>
      </c>
      <c r="AH55" s="1">
        <v>5</v>
      </c>
      <c r="AI55" s="1" t="s">
        <v>83</v>
      </c>
      <c r="AJ55" s="1">
        <v>5</v>
      </c>
      <c r="AK55" s="1">
        <v>5</v>
      </c>
      <c r="AL55" s="1" t="s">
        <v>83</v>
      </c>
      <c r="AM55" s="1">
        <v>5</v>
      </c>
      <c r="AN55" s="1">
        <v>5</v>
      </c>
      <c r="AO55" s="1" t="s">
        <v>83</v>
      </c>
      <c r="AP55" s="1">
        <v>5</v>
      </c>
      <c r="AQ55" s="1">
        <v>5</v>
      </c>
      <c r="AR55" s="1" t="s">
        <v>83</v>
      </c>
      <c r="AS55" s="1">
        <v>5</v>
      </c>
      <c r="AT55" s="1">
        <v>5</v>
      </c>
      <c r="AU55" s="1" t="s">
        <v>83</v>
      </c>
      <c r="AV55" s="1">
        <v>6</v>
      </c>
      <c r="AW55" s="1">
        <v>6</v>
      </c>
      <c r="AX55" s="1" t="s">
        <v>83</v>
      </c>
      <c r="AY55" s="1">
        <v>0</v>
      </c>
      <c r="AZ55" s="1">
        <v>0</v>
      </c>
      <c r="BA55" s="1">
        <v>0</v>
      </c>
      <c r="BB55" s="1" t="s">
        <v>144</v>
      </c>
      <c r="BC55" s="1">
        <v>2</v>
      </c>
      <c r="BD55" s="1" t="s">
        <v>442</v>
      </c>
      <c r="BE55" s="1" t="s">
        <v>509</v>
      </c>
      <c r="BF55" s="1" t="s">
        <v>503</v>
      </c>
      <c r="BG55" s="1" t="s">
        <v>83</v>
      </c>
    </row>
    <row r="56" spans="1:59" x14ac:dyDescent="0.35">
      <c r="A56" s="1">
        <v>55</v>
      </c>
      <c r="B56" s="1">
        <v>45838.973576388889</v>
      </c>
      <c r="C56" s="1" t="s">
        <v>510</v>
      </c>
      <c r="D56" s="1" t="s">
        <v>312</v>
      </c>
      <c r="E56" s="1" t="s">
        <v>63</v>
      </c>
      <c r="F56" s="1" t="s">
        <v>312</v>
      </c>
      <c r="G56" s="1" t="s">
        <v>511</v>
      </c>
      <c r="H56" s="1" t="s">
        <v>459</v>
      </c>
      <c r="I56" s="1" t="s">
        <v>439</v>
      </c>
      <c r="J56" s="1" t="s">
        <v>67</v>
      </c>
      <c r="K56" s="1" t="s">
        <v>512</v>
      </c>
      <c r="L56" s="1" t="s">
        <v>69</v>
      </c>
      <c r="M56" s="1" t="s">
        <v>69</v>
      </c>
      <c r="N56" s="1" t="s">
        <v>69</v>
      </c>
      <c r="O56" s="1" t="s">
        <v>69</v>
      </c>
      <c r="P56" s="1" t="s">
        <v>70</v>
      </c>
      <c r="Q56" s="1" t="s">
        <v>71</v>
      </c>
      <c r="R56" s="1" t="s">
        <v>91</v>
      </c>
      <c r="S56" s="1">
        <v>27</v>
      </c>
      <c r="T56" s="1" t="s">
        <v>92</v>
      </c>
      <c r="U56" s="1" t="s">
        <v>93</v>
      </c>
      <c r="V56" s="1" t="s">
        <v>232</v>
      </c>
      <c r="W56" s="1" t="s">
        <v>232</v>
      </c>
      <c r="X56" s="1">
        <v>5</v>
      </c>
      <c r="Y56" s="1">
        <v>5</v>
      </c>
      <c r="Z56" s="1" t="s">
        <v>83</v>
      </c>
      <c r="AA56" s="1">
        <v>4</v>
      </c>
      <c r="AB56" s="1">
        <v>4</v>
      </c>
      <c r="AC56" s="1" t="s">
        <v>83</v>
      </c>
      <c r="AD56" s="1">
        <v>4</v>
      </c>
      <c r="AE56" s="1">
        <v>4</v>
      </c>
      <c r="AF56" s="1" t="s">
        <v>83</v>
      </c>
      <c r="AG56" s="1">
        <v>5</v>
      </c>
      <c r="AH56" s="1">
        <v>5</v>
      </c>
      <c r="AI56" s="1" t="s">
        <v>83</v>
      </c>
      <c r="AJ56" s="1">
        <v>5</v>
      </c>
      <c r="AK56" s="1">
        <v>5</v>
      </c>
      <c r="AL56" s="1" t="s">
        <v>83</v>
      </c>
      <c r="AM56" s="1">
        <v>3</v>
      </c>
      <c r="AN56" s="1">
        <v>3</v>
      </c>
      <c r="AO56" s="1" t="s">
        <v>2455</v>
      </c>
      <c r="AP56" s="1">
        <v>3</v>
      </c>
      <c r="AQ56" s="1">
        <v>3</v>
      </c>
      <c r="AR56" s="1" t="s">
        <v>2455</v>
      </c>
      <c r="AS56" s="1">
        <v>4</v>
      </c>
      <c r="AT56" s="1">
        <v>4</v>
      </c>
      <c r="AU56" s="1" t="s">
        <v>83</v>
      </c>
      <c r="AV56" s="1">
        <v>5</v>
      </c>
      <c r="AW56" s="1">
        <v>5</v>
      </c>
      <c r="AX56" s="1" t="s">
        <v>83</v>
      </c>
      <c r="AY56" s="1">
        <v>2</v>
      </c>
      <c r="AZ56" s="1">
        <v>0</v>
      </c>
      <c r="BA56" s="1">
        <v>0</v>
      </c>
      <c r="BB56" s="1" t="s">
        <v>83</v>
      </c>
      <c r="BC56" s="1">
        <v>0</v>
      </c>
      <c r="BD56" s="1" t="s">
        <v>513</v>
      </c>
      <c r="BE56" s="1" t="s">
        <v>442</v>
      </c>
      <c r="BF56" s="1" t="s">
        <v>442</v>
      </c>
      <c r="BG56" s="1" t="s">
        <v>83</v>
      </c>
    </row>
    <row r="57" spans="1:59" x14ac:dyDescent="0.35">
      <c r="A57" s="1">
        <v>56</v>
      </c>
      <c r="B57" s="1">
        <v>45839.03533564815</v>
      </c>
      <c r="C57" s="1" t="s">
        <v>514</v>
      </c>
      <c r="D57" s="1" t="s">
        <v>515</v>
      </c>
      <c r="E57" s="1" t="s">
        <v>63</v>
      </c>
      <c r="F57" s="1" t="s">
        <v>86</v>
      </c>
      <c r="G57" s="1" t="s">
        <v>516</v>
      </c>
      <c r="H57" s="1" t="s">
        <v>517</v>
      </c>
      <c r="I57" s="1" t="s">
        <v>518</v>
      </c>
      <c r="J57" s="1" t="s">
        <v>163</v>
      </c>
      <c r="K57" s="1" t="s">
        <v>519</v>
      </c>
      <c r="L57" s="1" t="s">
        <v>69</v>
      </c>
      <c r="M57" s="1" t="s">
        <v>69</v>
      </c>
      <c r="N57" s="1" t="s">
        <v>69</v>
      </c>
      <c r="O57" s="1" t="s">
        <v>69</v>
      </c>
      <c r="P57" s="1" t="s">
        <v>106</v>
      </c>
      <c r="Q57" s="1" t="s">
        <v>71</v>
      </c>
      <c r="R57" s="1" t="s">
        <v>431</v>
      </c>
      <c r="S57" s="1">
        <v>19</v>
      </c>
      <c r="T57" s="1" t="s">
        <v>131</v>
      </c>
      <c r="U57" s="1" t="s">
        <v>73</v>
      </c>
      <c r="V57" s="1" t="s">
        <v>133</v>
      </c>
      <c r="W57" s="1" t="s">
        <v>133</v>
      </c>
      <c r="X57" s="1">
        <v>4</v>
      </c>
      <c r="Y57" s="1">
        <v>5</v>
      </c>
      <c r="Z57" s="1" t="s">
        <v>83</v>
      </c>
      <c r="AA57" s="1">
        <v>5</v>
      </c>
      <c r="AB57" s="1">
        <v>5</v>
      </c>
      <c r="AC57" s="1" t="s">
        <v>83</v>
      </c>
      <c r="AD57" s="1">
        <v>6</v>
      </c>
      <c r="AE57" s="1">
        <v>6</v>
      </c>
      <c r="AF57" s="1" t="s">
        <v>83</v>
      </c>
      <c r="AG57" s="1">
        <v>4</v>
      </c>
      <c r="AH57" s="1">
        <v>3</v>
      </c>
      <c r="AI57" s="1" t="s">
        <v>2456</v>
      </c>
      <c r="AJ57" s="1">
        <v>5</v>
      </c>
      <c r="AK57" s="1">
        <v>6</v>
      </c>
      <c r="AL57" s="1" t="s">
        <v>83</v>
      </c>
      <c r="AM57" s="1">
        <v>3</v>
      </c>
      <c r="AN57" s="1">
        <v>4</v>
      </c>
      <c r="AO57" s="1" t="s">
        <v>2457</v>
      </c>
      <c r="AP57" s="1">
        <v>3</v>
      </c>
      <c r="AQ57" s="1">
        <v>4</v>
      </c>
      <c r="AR57" s="1" t="s">
        <v>2458</v>
      </c>
      <c r="AS57" s="1">
        <v>4</v>
      </c>
      <c r="AT57" s="1">
        <v>4</v>
      </c>
      <c r="AU57" s="1" t="s">
        <v>83</v>
      </c>
      <c r="AV57" s="1">
        <v>5</v>
      </c>
      <c r="AW57" s="1">
        <v>6</v>
      </c>
      <c r="AX57" s="1" t="s">
        <v>83</v>
      </c>
      <c r="AY57" s="1">
        <v>2</v>
      </c>
      <c r="AZ57" s="1">
        <v>2</v>
      </c>
      <c r="BA57" s="1">
        <v>2</v>
      </c>
      <c r="BB57" s="1" t="s">
        <v>83</v>
      </c>
      <c r="BC57" s="1">
        <v>2</v>
      </c>
      <c r="BD57" s="1" t="s">
        <v>520</v>
      </c>
      <c r="BE57" s="1" t="s">
        <v>521</v>
      </c>
      <c r="BF57" s="1" t="s">
        <v>503</v>
      </c>
      <c r="BG57" s="1" t="s">
        <v>83</v>
      </c>
    </row>
    <row r="58" spans="1:59" x14ac:dyDescent="0.35">
      <c r="A58" s="1">
        <v>57</v>
      </c>
      <c r="B58" s="1">
        <v>45839.041620370372</v>
      </c>
      <c r="C58" s="1" t="s">
        <v>522</v>
      </c>
      <c r="D58" s="1" t="s">
        <v>523</v>
      </c>
      <c r="E58" s="1" t="s">
        <v>63</v>
      </c>
      <c r="F58" s="1" t="s">
        <v>63</v>
      </c>
      <c r="G58" s="1" t="s">
        <v>524</v>
      </c>
      <c r="H58" s="1" t="s">
        <v>517</v>
      </c>
      <c r="I58" s="1" t="s">
        <v>518</v>
      </c>
      <c r="J58" s="1" t="s">
        <v>525</v>
      </c>
      <c r="K58" s="1" t="s">
        <v>526</v>
      </c>
      <c r="L58" s="1" t="s">
        <v>69</v>
      </c>
      <c r="M58" s="1" t="s">
        <v>69</v>
      </c>
      <c r="N58" s="1" t="s">
        <v>69</v>
      </c>
      <c r="O58" s="1" t="s">
        <v>69</v>
      </c>
      <c r="P58" s="1" t="s">
        <v>70</v>
      </c>
      <c r="Q58" s="1" t="s">
        <v>71</v>
      </c>
      <c r="R58" s="1" t="s">
        <v>431</v>
      </c>
      <c r="S58" s="1">
        <v>19</v>
      </c>
      <c r="T58" s="1" t="s">
        <v>131</v>
      </c>
      <c r="U58" s="1" t="s">
        <v>73</v>
      </c>
      <c r="V58" s="1" t="s">
        <v>133</v>
      </c>
      <c r="W58" s="1" t="s">
        <v>133</v>
      </c>
      <c r="X58" s="1">
        <v>5</v>
      </c>
      <c r="Y58" s="1">
        <v>5</v>
      </c>
      <c r="Z58" s="1" t="s">
        <v>83</v>
      </c>
      <c r="AA58" s="1">
        <v>5</v>
      </c>
      <c r="AB58" s="1">
        <v>5</v>
      </c>
      <c r="AC58" s="1" t="s">
        <v>83</v>
      </c>
      <c r="AD58" s="1">
        <v>4</v>
      </c>
      <c r="AE58" s="1">
        <v>5</v>
      </c>
      <c r="AF58" s="1" t="s">
        <v>83</v>
      </c>
      <c r="AG58" s="1">
        <v>5</v>
      </c>
      <c r="AH58" s="1">
        <v>5</v>
      </c>
      <c r="AI58" s="1" t="s">
        <v>83</v>
      </c>
      <c r="AJ58" s="1">
        <v>5</v>
      </c>
      <c r="AK58" s="1">
        <v>5</v>
      </c>
      <c r="AL58" s="1" t="s">
        <v>83</v>
      </c>
      <c r="AM58" s="1">
        <v>5</v>
      </c>
      <c r="AN58" s="1">
        <v>5</v>
      </c>
      <c r="AO58" s="1" t="s">
        <v>83</v>
      </c>
      <c r="AP58" s="1">
        <v>5</v>
      </c>
      <c r="AQ58" s="1">
        <v>5</v>
      </c>
      <c r="AR58" s="1" t="s">
        <v>83</v>
      </c>
      <c r="AS58" s="1">
        <v>5</v>
      </c>
      <c r="AT58" s="1">
        <v>5</v>
      </c>
      <c r="AU58" s="1" t="s">
        <v>83</v>
      </c>
      <c r="AV58" s="1">
        <v>5</v>
      </c>
      <c r="AW58" s="1">
        <v>5</v>
      </c>
      <c r="AX58" s="1" t="s">
        <v>83</v>
      </c>
      <c r="AY58" s="1">
        <v>2</v>
      </c>
      <c r="AZ58" s="1">
        <v>2</v>
      </c>
      <c r="BA58" s="1">
        <v>2</v>
      </c>
      <c r="BB58" s="1" t="s">
        <v>83</v>
      </c>
      <c r="BC58" s="1">
        <v>2</v>
      </c>
      <c r="BD58" s="1" t="s">
        <v>527</v>
      </c>
      <c r="BE58" s="1" t="s">
        <v>528</v>
      </c>
      <c r="BF58" s="1" t="s">
        <v>503</v>
      </c>
      <c r="BG58" s="1" t="s">
        <v>83</v>
      </c>
    </row>
    <row r="59" spans="1:59" x14ac:dyDescent="0.35">
      <c r="A59" s="1">
        <v>58</v>
      </c>
      <c r="B59" s="1">
        <v>45839.047430555554</v>
      </c>
      <c r="C59" s="1" t="s">
        <v>529</v>
      </c>
      <c r="D59" s="1" t="s">
        <v>530</v>
      </c>
      <c r="E59" s="1" t="s">
        <v>179</v>
      </c>
      <c r="F59" s="1" t="s">
        <v>63</v>
      </c>
      <c r="G59" s="1" t="s">
        <v>531</v>
      </c>
      <c r="H59" s="1" t="s">
        <v>517</v>
      </c>
      <c r="I59" s="1" t="s">
        <v>518</v>
      </c>
      <c r="J59" s="1" t="s">
        <v>525</v>
      </c>
      <c r="K59" s="1" t="s">
        <v>205</v>
      </c>
      <c r="L59" s="1" t="s">
        <v>69</v>
      </c>
      <c r="M59" s="1" t="s">
        <v>69</v>
      </c>
      <c r="N59" s="1" t="s">
        <v>69</v>
      </c>
      <c r="O59" s="1" t="s">
        <v>69</v>
      </c>
      <c r="P59" s="1" t="s">
        <v>106</v>
      </c>
      <c r="Q59" s="1" t="s">
        <v>71</v>
      </c>
      <c r="R59" s="1" t="s">
        <v>492</v>
      </c>
      <c r="S59" s="1">
        <v>24</v>
      </c>
      <c r="T59" s="1" t="s">
        <v>72</v>
      </c>
      <c r="U59" s="1" t="s">
        <v>73</v>
      </c>
      <c r="V59" s="1" t="s">
        <v>74</v>
      </c>
      <c r="W59" s="1" t="s">
        <v>74</v>
      </c>
      <c r="X59" s="1">
        <v>6</v>
      </c>
      <c r="Y59" s="1">
        <v>5</v>
      </c>
      <c r="Z59" s="1" t="s">
        <v>83</v>
      </c>
      <c r="AA59" s="1">
        <v>5</v>
      </c>
      <c r="AB59" s="1">
        <v>5</v>
      </c>
      <c r="AC59" s="1" t="s">
        <v>83</v>
      </c>
      <c r="AD59" s="1">
        <v>6</v>
      </c>
      <c r="AE59" s="1">
        <v>5</v>
      </c>
      <c r="AF59" s="1" t="s">
        <v>83</v>
      </c>
      <c r="AG59" s="1">
        <v>5</v>
      </c>
      <c r="AH59" s="1">
        <v>3</v>
      </c>
      <c r="AI59" s="1" t="s">
        <v>2459</v>
      </c>
      <c r="AJ59" s="1">
        <v>6</v>
      </c>
      <c r="AK59" s="1">
        <v>6</v>
      </c>
      <c r="AL59" s="1" t="s">
        <v>83</v>
      </c>
      <c r="AM59" s="1">
        <v>6</v>
      </c>
      <c r="AN59" s="1">
        <v>6</v>
      </c>
      <c r="AO59" s="1" t="s">
        <v>83</v>
      </c>
      <c r="AP59" s="1">
        <v>6</v>
      </c>
      <c r="AQ59" s="1">
        <v>6</v>
      </c>
      <c r="AR59" s="1" t="s">
        <v>83</v>
      </c>
      <c r="AS59" s="1">
        <v>6</v>
      </c>
      <c r="AT59" s="1">
        <v>6</v>
      </c>
      <c r="AU59" s="1" t="s">
        <v>83</v>
      </c>
      <c r="AV59" s="1">
        <v>6</v>
      </c>
      <c r="AW59" s="1">
        <v>6</v>
      </c>
      <c r="AX59" s="1" t="s">
        <v>83</v>
      </c>
      <c r="AY59" s="1">
        <v>2</v>
      </c>
      <c r="AZ59" s="1">
        <v>2</v>
      </c>
      <c r="BA59" s="1">
        <v>2</v>
      </c>
      <c r="BB59" s="1" t="s">
        <v>532</v>
      </c>
      <c r="BC59" s="1">
        <v>1</v>
      </c>
      <c r="BD59" s="1" t="s">
        <v>503</v>
      </c>
      <c r="BE59" s="1" t="s">
        <v>533</v>
      </c>
      <c r="BF59" s="1" t="s">
        <v>503</v>
      </c>
      <c r="BG59" s="1" t="s">
        <v>83</v>
      </c>
    </row>
    <row r="60" spans="1:59" x14ac:dyDescent="0.35">
      <c r="A60" s="1">
        <v>59</v>
      </c>
      <c r="B60" s="1">
        <v>45839.052824074075</v>
      </c>
      <c r="C60" s="1" t="s">
        <v>534</v>
      </c>
      <c r="D60" s="1" t="s">
        <v>535</v>
      </c>
      <c r="E60" s="1" t="s">
        <v>63</v>
      </c>
      <c r="F60" s="1" t="s">
        <v>125</v>
      </c>
      <c r="G60" s="1" t="s">
        <v>536</v>
      </c>
      <c r="H60" s="1" t="s">
        <v>517</v>
      </c>
      <c r="I60" s="1" t="s">
        <v>518</v>
      </c>
      <c r="J60" s="1" t="s">
        <v>525</v>
      </c>
      <c r="K60" s="1" t="s">
        <v>537</v>
      </c>
      <c r="L60" s="1" t="s">
        <v>69</v>
      </c>
      <c r="M60" s="1" t="s">
        <v>69</v>
      </c>
      <c r="N60" s="1" t="s">
        <v>69</v>
      </c>
      <c r="O60" s="1" t="s">
        <v>69</v>
      </c>
      <c r="P60" s="1" t="s">
        <v>70</v>
      </c>
      <c r="Q60" s="1" t="s">
        <v>71</v>
      </c>
      <c r="R60" s="1" t="s">
        <v>538</v>
      </c>
      <c r="S60" s="1">
        <v>41</v>
      </c>
      <c r="T60" s="1" t="s">
        <v>197</v>
      </c>
      <c r="U60" s="1" t="s">
        <v>254</v>
      </c>
      <c r="V60" s="1" t="s">
        <v>74</v>
      </c>
      <c r="W60" s="1" t="s">
        <v>74</v>
      </c>
      <c r="X60" s="1">
        <v>5</v>
      </c>
      <c r="Y60" s="1">
        <v>6</v>
      </c>
      <c r="Z60" s="1" t="s">
        <v>83</v>
      </c>
      <c r="AA60" s="1">
        <v>5</v>
      </c>
      <c r="AB60" s="1">
        <v>6</v>
      </c>
      <c r="AC60" s="1" t="s">
        <v>83</v>
      </c>
      <c r="AD60" s="1">
        <v>5</v>
      </c>
      <c r="AE60" s="1">
        <v>5</v>
      </c>
      <c r="AF60" s="1" t="s">
        <v>83</v>
      </c>
      <c r="AG60" s="1">
        <v>5</v>
      </c>
      <c r="AH60" s="1">
        <v>5</v>
      </c>
      <c r="AI60" s="1" t="s">
        <v>83</v>
      </c>
      <c r="AJ60" s="1">
        <v>5</v>
      </c>
      <c r="AK60" s="1">
        <v>5</v>
      </c>
      <c r="AL60" s="1" t="s">
        <v>83</v>
      </c>
      <c r="AM60" s="1">
        <v>5</v>
      </c>
      <c r="AN60" s="1">
        <v>5</v>
      </c>
      <c r="AO60" s="1" t="s">
        <v>83</v>
      </c>
      <c r="AP60" s="1">
        <v>5</v>
      </c>
      <c r="AQ60" s="1">
        <v>5</v>
      </c>
      <c r="AR60" s="1" t="s">
        <v>83</v>
      </c>
      <c r="AS60" s="1">
        <v>5</v>
      </c>
      <c r="AT60" s="1">
        <v>5</v>
      </c>
      <c r="AU60" s="1" t="s">
        <v>83</v>
      </c>
      <c r="AV60" s="1">
        <v>5</v>
      </c>
      <c r="AW60" s="1">
        <v>6</v>
      </c>
      <c r="AX60" s="1" t="s">
        <v>83</v>
      </c>
      <c r="AY60" s="1">
        <v>2</v>
      </c>
      <c r="AZ60" s="1">
        <v>2</v>
      </c>
      <c r="BA60" s="1">
        <v>2</v>
      </c>
      <c r="BB60" s="1" t="s">
        <v>144</v>
      </c>
      <c r="BC60" s="1">
        <v>2</v>
      </c>
      <c r="BD60" s="1" t="s">
        <v>539</v>
      </c>
      <c r="BE60" s="1" t="s">
        <v>503</v>
      </c>
      <c r="BF60" s="1" t="s">
        <v>541</v>
      </c>
      <c r="BG60" s="1" t="s">
        <v>83</v>
      </c>
    </row>
    <row r="61" spans="1:59" x14ac:dyDescent="0.35">
      <c r="A61" s="1">
        <v>60</v>
      </c>
      <c r="B61" s="1">
        <v>45839.056504629632</v>
      </c>
      <c r="C61" s="1" t="s">
        <v>542</v>
      </c>
      <c r="D61" s="1" t="s">
        <v>543</v>
      </c>
      <c r="E61" s="1" t="s">
        <v>289</v>
      </c>
      <c r="F61" s="1" t="s">
        <v>63</v>
      </c>
      <c r="G61" s="1" t="s">
        <v>544</v>
      </c>
      <c r="H61" s="1" t="s">
        <v>517</v>
      </c>
      <c r="I61" s="1" t="s">
        <v>518</v>
      </c>
      <c r="J61" s="1" t="s">
        <v>525</v>
      </c>
      <c r="K61" s="1" t="s">
        <v>545</v>
      </c>
      <c r="L61" s="1" t="s">
        <v>69</v>
      </c>
      <c r="M61" s="1" t="s">
        <v>69</v>
      </c>
      <c r="N61" s="1" t="s">
        <v>69</v>
      </c>
      <c r="O61" s="1" t="s">
        <v>69</v>
      </c>
      <c r="P61" s="1" t="s">
        <v>106</v>
      </c>
      <c r="Q61" s="1" t="s">
        <v>71</v>
      </c>
      <c r="R61" s="1" t="s">
        <v>546</v>
      </c>
      <c r="S61" s="1">
        <v>31</v>
      </c>
      <c r="T61" s="1" t="s">
        <v>109</v>
      </c>
      <c r="U61" s="1" t="s">
        <v>73</v>
      </c>
      <c r="V61" s="1" t="s">
        <v>74</v>
      </c>
      <c r="W61" s="1" t="s">
        <v>74</v>
      </c>
      <c r="X61" s="1">
        <v>5</v>
      </c>
      <c r="Y61" s="1">
        <v>4</v>
      </c>
      <c r="Z61" s="1" t="s">
        <v>83</v>
      </c>
      <c r="AA61" s="1">
        <v>5</v>
      </c>
      <c r="AB61" s="1">
        <v>4</v>
      </c>
      <c r="AC61" s="1" t="s">
        <v>83</v>
      </c>
      <c r="AD61" s="1">
        <v>6</v>
      </c>
      <c r="AE61" s="1">
        <v>6</v>
      </c>
      <c r="AF61" s="1" t="s">
        <v>83</v>
      </c>
      <c r="AG61" s="1">
        <v>5</v>
      </c>
      <c r="AH61" s="1">
        <v>5</v>
      </c>
      <c r="AI61" s="1" t="s">
        <v>83</v>
      </c>
      <c r="AJ61" s="1">
        <v>6</v>
      </c>
      <c r="AK61" s="1">
        <v>6</v>
      </c>
      <c r="AL61" s="1" t="s">
        <v>83</v>
      </c>
      <c r="AM61" s="1">
        <v>6</v>
      </c>
      <c r="AN61" s="1">
        <v>6</v>
      </c>
      <c r="AO61" s="1" t="s">
        <v>83</v>
      </c>
      <c r="AP61" s="1">
        <v>6</v>
      </c>
      <c r="AQ61" s="1">
        <v>6</v>
      </c>
      <c r="AR61" s="1" t="s">
        <v>83</v>
      </c>
      <c r="AS61" s="1">
        <v>6</v>
      </c>
      <c r="AT61" s="1">
        <v>6</v>
      </c>
      <c r="AU61" s="1" t="s">
        <v>83</v>
      </c>
      <c r="AV61" s="1">
        <v>6</v>
      </c>
      <c r="AW61" s="1">
        <v>6</v>
      </c>
      <c r="AX61" s="1" t="s">
        <v>83</v>
      </c>
      <c r="AY61" s="1">
        <v>2</v>
      </c>
      <c r="AZ61" s="1">
        <v>2</v>
      </c>
      <c r="BA61" s="1">
        <v>2</v>
      </c>
      <c r="BB61" s="1" t="s">
        <v>144</v>
      </c>
      <c r="BC61" s="1">
        <v>1</v>
      </c>
      <c r="BD61" s="1" t="s">
        <v>547</v>
      </c>
      <c r="BE61" s="1" t="s">
        <v>503</v>
      </c>
      <c r="BF61" s="1" t="s">
        <v>503</v>
      </c>
      <c r="BG61" s="1" t="s">
        <v>83</v>
      </c>
    </row>
    <row r="62" spans="1:59" x14ac:dyDescent="0.35">
      <c r="A62" s="1">
        <v>61</v>
      </c>
      <c r="B62" s="1">
        <v>45839.061238425929</v>
      </c>
      <c r="C62" s="1" t="s">
        <v>548</v>
      </c>
      <c r="D62" s="1" t="s">
        <v>549</v>
      </c>
      <c r="E62" s="1" t="s">
        <v>63</v>
      </c>
      <c r="F62" s="1" t="s">
        <v>136</v>
      </c>
      <c r="G62" s="1" t="s">
        <v>550</v>
      </c>
      <c r="H62" s="1" t="s">
        <v>517</v>
      </c>
      <c r="I62" s="1" t="s">
        <v>518</v>
      </c>
      <c r="J62" s="1" t="s">
        <v>525</v>
      </c>
      <c r="K62" s="1" t="s">
        <v>291</v>
      </c>
      <c r="L62" s="1" t="s">
        <v>69</v>
      </c>
      <c r="M62" s="1" t="s">
        <v>69</v>
      </c>
      <c r="N62" s="1" t="s">
        <v>69</v>
      </c>
      <c r="O62" s="1" t="s">
        <v>69</v>
      </c>
      <c r="P62" s="1" t="s">
        <v>106</v>
      </c>
      <c r="Q62" s="1" t="s">
        <v>107</v>
      </c>
      <c r="R62" s="1" t="s">
        <v>551</v>
      </c>
      <c r="S62" s="1">
        <v>34</v>
      </c>
      <c r="T62" s="1" t="s">
        <v>109</v>
      </c>
      <c r="U62" s="1" t="s">
        <v>93</v>
      </c>
      <c r="V62" s="1" t="s">
        <v>74</v>
      </c>
      <c r="W62" s="1" t="s">
        <v>74</v>
      </c>
      <c r="X62" s="1">
        <v>6</v>
      </c>
      <c r="Y62" s="1">
        <v>6</v>
      </c>
      <c r="Z62" s="1" t="s">
        <v>83</v>
      </c>
      <c r="AA62" s="1">
        <v>5</v>
      </c>
      <c r="AB62" s="1">
        <v>6</v>
      </c>
      <c r="AC62" s="1" t="s">
        <v>83</v>
      </c>
      <c r="AD62" s="1">
        <v>5</v>
      </c>
      <c r="AE62" s="1">
        <v>6</v>
      </c>
      <c r="AF62" s="1" t="s">
        <v>83</v>
      </c>
      <c r="AG62" s="1">
        <v>0</v>
      </c>
      <c r="AH62" s="1">
        <v>0</v>
      </c>
      <c r="AI62" s="1" t="s">
        <v>83</v>
      </c>
      <c r="AJ62" s="1">
        <v>6</v>
      </c>
      <c r="AK62" s="1">
        <v>6</v>
      </c>
      <c r="AL62" s="1" t="s">
        <v>83</v>
      </c>
      <c r="AM62" s="1">
        <v>6</v>
      </c>
      <c r="AN62" s="1">
        <v>6</v>
      </c>
      <c r="AO62" s="1" t="s">
        <v>83</v>
      </c>
      <c r="AP62" s="1">
        <v>5</v>
      </c>
      <c r="AQ62" s="1">
        <v>6</v>
      </c>
      <c r="AR62" s="1" t="s">
        <v>83</v>
      </c>
      <c r="AS62" s="1">
        <v>6</v>
      </c>
      <c r="AT62" s="1">
        <v>5</v>
      </c>
      <c r="AU62" s="1" t="s">
        <v>83</v>
      </c>
      <c r="AV62" s="1">
        <v>6</v>
      </c>
      <c r="AW62" s="1">
        <v>6</v>
      </c>
      <c r="AX62" s="1" t="s">
        <v>83</v>
      </c>
      <c r="AY62" s="1">
        <v>2</v>
      </c>
      <c r="AZ62" s="1">
        <v>2</v>
      </c>
      <c r="BA62" s="1">
        <v>2</v>
      </c>
      <c r="BB62" s="1" t="s">
        <v>552</v>
      </c>
      <c r="BC62" s="1">
        <v>3</v>
      </c>
      <c r="BD62" s="1" t="s">
        <v>553</v>
      </c>
      <c r="BE62" s="1" t="s">
        <v>554</v>
      </c>
      <c r="BF62" s="1" t="s">
        <v>555</v>
      </c>
      <c r="BG62" s="1" t="s">
        <v>83</v>
      </c>
    </row>
    <row r="63" spans="1:59" x14ac:dyDescent="0.35">
      <c r="A63" s="1">
        <v>62</v>
      </c>
      <c r="B63" s="1">
        <v>45839.065729166665</v>
      </c>
      <c r="C63" s="1" t="s">
        <v>556</v>
      </c>
      <c r="D63" s="1" t="s">
        <v>557</v>
      </c>
      <c r="E63" s="1" t="s">
        <v>63</v>
      </c>
      <c r="F63" s="1" t="s">
        <v>558</v>
      </c>
      <c r="G63" s="1" t="s">
        <v>559</v>
      </c>
      <c r="H63" s="1" t="s">
        <v>517</v>
      </c>
      <c r="I63" s="1" t="s">
        <v>518</v>
      </c>
      <c r="J63" s="1" t="s">
        <v>525</v>
      </c>
      <c r="K63" s="1" t="s">
        <v>560</v>
      </c>
      <c r="L63" s="1" t="s">
        <v>69</v>
      </c>
      <c r="M63" s="1" t="s">
        <v>69</v>
      </c>
      <c r="N63" s="1" t="s">
        <v>69</v>
      </c>
      <c r="O63" s="1" t="s">
        <v>69</v>
      </c>
      <c r="P63" s="1" t="s">
        <v>70</v>
      </c>
      <c r="Q63" s="1" t="s">
        <v>107</v>
      </c>
      <c r="R63" s="1" t="s">
        <v>561</v>
      </c>
      <c r="S63" s="1">
        <v>45</v>
      </c>
      <c r="T63" s="1" t="s">
        <v>197</v>
      </c>
      <c r="U63" s="1" t="s">
        <v>93</v>
      </c>
      <c r="V63" s="1" t="s">
        <v>74</v>
      </c>
      <c r="W63" s="1" t="s">
        <v>74</v>
      </c>
      <c r="X63" s="1">
        <v>6</v>
      </c>
      <c r="Y63" s="1">
        <v>6</v>
      </c>
      <c r="Z63" s="1" t="s">
        <v>83</v>
      </c>
      <c r="AA63" s="1">
        <v>6</v>
      </c>
      <c r="AB63" s="1">
        <v>6</v>
      </c>
      <c r="AC63" s="1" t="s">
        <v>83</v>
      </c>
      <c r="AD63" s="1">
        <v>6</v>
      </c>
      <c r="AE63" s="1">
        <v>6</v>
      </c>
      <c r="AF63" s="1" t="s">
        <v>83</v>
      </c>
      <c r="AG63" s="1">
        <v>0</v>
      </c>
      <c r="AH63" s="1">
        <v>0</v>
      </c>
      <c r="AI63" s="1" t="s">
        <v>83</v>
      </c>
      <c r="AJ63" s="1">
        <v>6</v>
      </c>
      <c r="AK63" s="1">
        <v>6</v>
      </c>
      <c r="AL63" s="1" t="s">
        <v>83</v>
      </c>
      <c r="AM63" s="1">
        <v>6</v>
      </c>
      <c r="AN63" s="1">
        <v>6</v>
      </c>
      <c r="AO63" s="1" t="s">
        <v>83</v>
      </c>
      <c r="AP63" s="1">
        <v>6</v>
      </c>
      <c r="AQ63" s="1">
        <v>6</v>
      </c>
      <c r="AR63" s="1" t="s">
        <v>83</v>
      </c>
      <c r="AS63" s="1">
        <v>6</v>
      </c>
      <c r="AT63" s="1">
        <v>5</v>
      </c>
      <c r="AU63" s="1" t="s">
        <v>83</v>
      </c>
      <c r="AV63" s="1">
        <v>6</v>
      </c>
      <c r="AW63" s="1">
        <v>6</v>
      </c>
      <c r="AX63" s="1" t="s">
        <v>83</v>
      </c>
      <c r="AY63" s="1">
        <v>2</v>
      </c>
      <c r="AZ63" s="1">
        <v>2</v>
      </c>
      <c r="BA63" s="1">
        <v>2</v>
      </c>
      <c r="BB63" s="1" t="s">
        <v>293</v>
      </c>
      <c r="BC63" s="1">
        <v>1</v>
      </c>
      <c r="BD63" s="1" t="s">
        <v>503</v>
      </c>
      <c r="BE63" s="1" t="s">
        <v>503</v>
      </c>
      <c r="BF63" s="1" t="s">
        <v>503</v>
      </c>
      <c r="BG63" s="1" t="s">
        <v>83</v>
      </c>
    </row>
    <row r="64" spans="1:59" x14ac:dyDescent="0.35">
      <c r="A64" s="1">
        <v>63</v>
      </c>
      <c r="B64" s="1">
        <v>45839.069421296299</v>
      </c>
      <c r="C64" s="1" t="s">
        <v>562</v>
      </c>
      <c r="D64" s="1" t="s">
        <v>563</v>
      </c>
      <c r="E64" s="1" t="s">
        <v>63</v>
      </c>
      <c r="F64" s="1" t="s">
        <v>86</v>
      </c>
      <c r="G64" s="1" t="s">
        <v>564</v>
      </c>
      <c r="H64" s="1" t="s">
        <v>517</v>
      </c>
      <c r="I64" s="1" t="s">
        <v>518</v>
      </c>
      <c r="J64" s="1" t="s">
        <v>525</v>
      </c>
      <c r="K64" s="1" t="s">
        <v>565</v>
      </c>
      <c r="L64" s="1" t="s">
        <v>69</v>
      </c>
      <c r="M64" s="1" t="s">
        <v>69</v>
      </c>
      <c r="N64" s="1" t="s">
        <v>69</v>
      </c>
      <c r="O64" s="1" t="s">
        <v>69</v>
      </c>
      <c r="P64" s="1" t="s">
        <v>70</v>
      </c>
      <c r="Q64" s="1" t="s">
        <v>107</v>
      </c>
      <c r="R64" s="1" t="s">
        <v>566</v>
      </c>
      <c r="S64" s="1">
        <v>25</v>
      </c>
      <c r="T64" s="1" t="s">
        <v>72</v>
      </c>
      <c r="U64" s="1" t="s">
        <v>93</v>
      </c>
      <c r="V64" s="1" t="s">
        <v>74</v>
      </c>
      <c r="W64" s="1" t="s">
        <v>74</v>
      </c>
      <c r="X64" s="1">
        <v>5</v>
      </c>
      <c r="Y64" s="1">
        <v>5</v>
      </c>
      <c r="Z64" s="1" t="s">
        <v>83</v>
      </c>
      <c r="AA64" s="1">
        <v>5</v>
      </c>
      <c r="AB64" s="1">
        <v>5</v>
      </c>
      <c r="AC64" s="1" t="s">
        <v>83</v>
      </c>
      <c r="AD64" s="1">
        <v>6</v>
      </c>
      <c r="AE64" s="1">
        <v>6</v>
      </c>
      <c r="AF64" s="1" t="s">
        <v>83</v>
      </c>
      <c r="AG64" s="1">
        <v>0</v>
      </c>
      <c r="AH64" s="1">
        <v>0</v>
      </c>
      <c r="AI64" s="1" t="s">
        <v>83</v>
      </c>
      <c r="AJ64" s="1">
        <v>5</v>
      </c>
      <c r="AK64" s="1">
        <v>5</v>
      </c>
      <c r="AL64" s="1" t="s">
        <v>83</v>
      </c>
      <c r="AM64" s="1">
        <v>6</v>
      </c>
      <c r="AN64" s="1">
        <v>6</v>
      </c>
      <c r="AO64" s="1" t="s">
        <v>83</v>
      </c>
      <c r="AP64" s="1">
        <v>6</v>
      </c>
      <c r="AQ64" s="1">
        <v>6</v>
      </c>
      <c r="AR64" s="1" t="s">
        <v>83</v>
      </c>
      <c r="AS64" s="1">
        <v>5</v>
      </c>
      <c r="AT64" s="1">
        <v>5</v>
      </c>
      <c r="AU64" s="1" t="s">
        <v>83</v>
      </c>
      <c r="AV64" s="1">
        <v>6</v>
      </c>
      <c r="AW64" s="1">
        <v>5</v>
      </c>
      <c r="AX64" s="1" t="s">
        <v>83</v>
      </c>
      <c r="AY64" s="1">
        <v>2</v>
      </c>
      <c r="AZ64" s="1">
        <v>2</v>
      </c>
      <c r="BA64" s="1">
        <v>2</v>
      </c>
      <c r="BB64" s="1" t="s">
        <v>144</v>
      </c>
      <c r="BC64" s="1">
        <v>2</v>
      </c>
      <c r="BD64" s="1" t="s">
        <v>567</v>
      </c>
      <c r="BE64" s="1" t="s">
        <v>248</v>
      </c>
      <c r="BF64" s="1" t="s">
        <v>248</v>
      </c>
      <c r="BG64" s="1" t="s">
        <v>83</v>
      </c>
    </row>
    <row r="65" spans="1:59" x14ac:dyDescent="0.35">
      <c r="A65" s="1">
        <v>64</v>
      </c>
      <c r="B65" s="1">
        <v>45839.357986111114</v>
      </c>
      <c r="C65" s="1" t="s">
        <v>568</v>
      </c>
      <c r="D65" s="1" t="s">
        <v>569</v>
      </c>
      <c r="E65" s="1" t="s">
        <v>63</v>
      </c>
      <c r="F65" s="1" t="s">
        <v>63</v>
      </c>
      <c r="G65" s="1" t="s">
        <v>570</v>
      </c>
      <c r="H65" s="1" t="s">
        <v>103</v>
      </c>
      <c r="I65" s="1" t="s">
        <v>104</v>
      </c>
      <c r="J65" s="1" t="s">
        <v>67</v>
      </c>
      <c r="K65" s="1" t="s">
        <v>571</v>
      </c>
      <c r="L65" s="1" t="s">
        <v>69</v>
      </c>
      <c r="M65" s="1" t="s">
        <v>69</v>
      </c>
      <c r="N65" s="1" t="s">
        <v>69</v>
      </c>
      <c r="O65" s="1" t="s">
        <v>69</v>
      </c>
      <c r="P65" s="1" t="s">
        <v>70</v>
      </c>
      <c r="Q65" s="1" t="s">
        <v>107</v>
      </c>
      <c r="R65" s="1" t="s">
        <v>572</v>
      </c>
      <c r="S65" s="1">
        <v>23</v>
      </c>
      <c r="T65" s="1" t="s">
        <v>72</v>
      </c>
      <c r="U65" s="1" t="s">
        <v>93</v>
      </c>
      <c r="V65" s="1" t="s">
        <v>110</v>
      </c>
      <c r="W65" s="1" t="s">
        <v>110</v>
      </c>
      <c r="X65" s="1">
        <v>6</v>
      </c>
      <c r="Y65" s="1">
        <v>6</v>
      </c>
      <c r="Z65" s="1" t="s">
        <v>83</v>
      </c>
      <c r="AA65" s="1">
        <v>5</v>
      </c>
      <c r="AB65" s="1">
        <v>5</v>
      </c>
      <c r="AC65" s="1" t="s">
        <v>83</v>
      </c>
      <c r="AD65" s="1">
        <v>6</v>
      </c>
      <c r="AE65" s="1">
        <v>6</v>
      </c>
      <c r="AF65" s="1" t="s">
        <v>83</v>
      </c>
      <c r="AG65" s="1">
        <v>0</v>
      </c>
      <c r="AH65" s="1">
        <v>0</v>
      </c>
      <c r="AI65" s="1" t="s">
        <v>96</v>
      </c>
      <c r="AJ65" s="1">
        <v>6</v>
      </c>
      <c r="AK65" s="1">
        <v>6</v>
      </c>
      <c r="AL65" s="1" t="s">
        <v>83</v>
      </c>
      <c r="AM65" s="1">
        <v>5</v>
      </c>
      <c r="AN65" s="1">
        <v>5</v>
      </c>
      <c r="AO65" s="1" t="s">
        <v>83</v>
      </c>
      <c r="AP65" s="1">
        <v>6</v>
      </c>
      <c r="AQ65" s="1">
        <v>6</v>
      </c>
      <c r="AR65" s="1" t="s">
        <v>83</v>
      </c>
      <c r="AS65" s="1">
        <v>5</v>
      </c>
      <c r="AT65" s="1">
        <v>6</v>
      </c>
      <c r="AU65" s="1" t="s">
        <v>83</v>
      </c>
      <c r="AV65" s="1">
        <v>6</v>
      </c>
      <c r="AW65" s="1">
        <v>6</v>
      </c>
      <c r="AX65" s="1" t="s">
        <v>83</v>
      </c>
      <c r="AY65" s="1">
        <v>2</v>
      </c>
      <c r="AZ65" s="1">
        <v>0</v>
      </c>
      <c r="BA65" s="1">
        <v>0</v>
      </c>
      <c r="BB65" s="1" t="s">
        <v>83</v>
      </c>
      <c r="BC65" s="1">
        <v>0</v>
      </c>
      <c r="BD65" s="1" t="s">
        <v>503</v>
      </c>
      <c r="BE65" s="1" t="s">
        <v>573</v>
      </c>
      <c r="BF65" s="1" t="s">
        <v>574</v>
      </c>
      <c r="BG65" s="1" t="s">
        <v>83</v>
      </c>
    </row>
    <row r="66" spans="1:59" x14ac:dyDescent="0.35">
      <c r="A66" s="1">
        <v>65</v>
      </c>
      <c r="B66" s="1">
        <v>45839.483171296299</v>
      </c>
      <c r="C66" s="1" t="s">
        <v>575</v>
      </c>
      <c r="D66" s="1" t="s">
        <v>576</v>
      </c>
      <c r="E66" s="1" t="s">
        <v>63</v>
      </c>
      <c r="F66" s="1" t="s">
        <v>338</v>
      </c>
      <c r="G66" s="1" t="s">
        <v>577</v>
      </c>
      <c r="H66" s="1" t="s">
        <v>578</v>
      </c>
      <c r="I66" s="1" t="s">
        <v>579</v>
      </c>
      <c r="J66" s="1" t="s">
        <v>67</v>
      </c>
      <c r="K66" s="1" t="s">
        <v>580</v>
      </c>
      <c r="L66" s="1" t="s">
        <v>69</v>
      </c>
      <c r="M66" s="1" t="s">
        <v>69</v>
      </c>
      <c r="N66" s="1" t="s">
        <v>69</v>
      </c>
      <c r="O66" s="1" t="s">
        <v>69</v>
      </c>
      <c r="P66" s="1" t="s">
        <v>106</v>
      </c>
      <c r="Q66" s="1" t="s">
        <v>107</v>
      </c>
      <c r="R66" s="1" t="s">
        <v>581</v>
      </c>
      <c r="S66" s="1">
        <v>20</v>
      </c>
      <c r="T66" s="1" t="s">
        <v>131</v>
      </c>
      <c r="U66" s="1" t="s">
        <v>73</v>
      </c>
      <c r="V66" s="1" t="s">
        <v>94</v>
      </c>
      <c r="W66" s="1" t="s">
        <v>95</v>
      </c>
      <c r="X66" s="1">
        <v>5</v>
      </c>
      <c r="Y66" s="1">
        <v>5</v>
      </c>
      <c r="Z66" s="1" t="s">
        <v>83</v>
      </c>
      <c r="AA66" s="1">
        <v>3</v>
      </c>
      <c r="AB66" s="1">
        <v>5</v>
      </c>
      <c r="AC66" s="1" t="s">
        <v>2460</v>
      </c>
      <c r="AD66" s="1">
        <v>5</v>
      </c>
      <c r="AE66" s="1">
        <v>5</v>
      </c>
      <c r="AF66" s="1" t="s">
        <v>83</v>
      </c>
      <c r="AG66" s="1">
        <v>5</v>
      </c>
      <c r="AH66" s="1">
        <v>0</v>
      </c>
      <c r="AI66" s="1" t="s">
        <v>2461</v>
      </c>
      <c r="AJ66" s="1">
        <v>5</v>
      </c>
      <c r="AK66" s="1">
        <v>5</v>
      </c>
      <c r="AL66" s="1" t="s">
        <v>83</v>
      </c>
      <c r="AM66" s="1">
        <v>6</v>
      </c>
      <c r="AN66" s="1">
        <v>6</v>
      </c>
      <c r="AO66" s="1" t="s">
        <v>83</v>
      </c>
      <c r="AP66" s="1">
        <v>6</v>
      </c>
      <c r="AQ66" s="1">
        <v>6</v>
      </c>
      <c r="AR66" s="1" t="s">
        <v>83</v>
      </c>
      <c r="AS66" s="1">
        <v>5</v>
      </c>
      <c r="AT66" s="1">
        <v>5</v>
      </c>
      <c r="AU66" s="1" t="s">
        <v>83</v>
      </c>
      <c r="AV66" s="1">
        <v>5</v>
      </c>
      <c r="AW66" s="1">
        <v>5</v>
      </c>
      <c r="AX66" s="1" t="s">
        <v>83</v>
      </c>
      <c r="AY66" s="1">
        <v>2</v>
      </c>
      <c r="AZ66" s="1">
        <v>0</v>
      </c>
      <c r="BA66" s="1">
        <v>0</v>
      </c>
      <c r="BB66" s="1" t="s">
        <v>83</v>
      </c>
      <c r="BC66" s="1">
        <v>0</v>
      </c>
      <c r="BD66" s="1" t="s">
        <v>582</v>
      </c>
      <c r="BE66" s="1" t="s">
        <v>583</v>
      </c>
      <c r="BF66" s="1" t="s">
        <v>442</v>
      </c>
      <c r="BG66" s="1" t="s">
        <v>584</v>
      </c>
    </row>
    <row r="67" spans="1:59" x14ac:dyDescent="0.35">
      <c r="A67" s="1">
        <v>66</v>
      </c>
      <c r="B67" s="1">
        <v>45839.486724537041</v>
      </c>
      <c r="C67" s="1" t="s">
        <v>585</v>
      </c>
      <c r="D67" s="1" t="s">
        <v>586</v>
      </c>
      <c r="E67" s="1" t="s">
        <v>63</v>
      </c>
      <c r="F67" s="1" t="s">
        <v>63</v>
      </c>
      <c r="G67" s="1" t="s">
        <v>587</v>
      </c>
      <c r="H67" s="1" t="s">
        <v>578</v>
      </c>
      <c r="I67" s="1" t="s">
        <v>588</v>
      </c>
      <c r="J67" s="1" t="s">
        <v>67</v>
      </c>
      <c r="K67" s="1" t="s">
        <v>589</v>
      </c>
      <c r="L67" s="1" t="s">
        <v>69</v>
      </c>
      <c r="M67" s="1" t="s">
        <v>69</v>
      </c>
      <c r="N67" s="1" t="s">
        <v>69</v>
      </c>
      <c r="O67" s="1" t="s">
        <v>69</v>
      </c>
      <c r="P67" s="1" t="s">
        <v>70</v>
      </c>
      <c r="Q67" s="1" t="s">
        <v>107</v>
      </c>
      <c r="R67" s="1" t="s">
        <v>590</v>
      </c>
      <c r="S67" s="1">
        <v>42</v>
      </c>
      <c r="T67" s="1" t="s">
        <v>197</v>
      </c>
      <c r="U67" s="1" t="s">
        <v>73</v>
      </c>
      <c r="V67" s="1" t="s">
        <v>110</v>
      </c>
      <c r="W67" s="1" t="s">
        <v>110</v>
      </c>
      <c r="X67" s="1">
        <v>5</v>
      </c>
      <c r="Y67" s="1">
        <v>5</v>
      </c>
      <c r="Z67" s="1" t="s">
        <v>83</v>
      </c>
      <c r="AA67" s="1">
        <v>5</v>
      </c>
      <c r="AB67" s="1">
        <v>6</v>
      </c>
      <c r="AC67" s="1" t="s">
        <v>83</v>
      </c>
      <c r="AD67" s="1">
        <v>6</v>
      </c>
      <c r="AE67" s="1">
        <v>6</v>
      </c>
      <c r="AF67" s="1" t="s">
        <v>83</v>
      </c>
      <c r="AG67" s="1">
        <v>0</v>
      </c>
      <c r="AH67" s="1">
        <v>0</v>
      </c>
      <c r="AI67" s="1" t="s">
        <v>2461</v>
      </c>
      <c r="AJ67" s="1">
        <v>6</v>
      </c>
      <c r="AK67" s="1">
        <v>6</v>
      </c>
      <c r="AL67" s="1" t="s">
        <v>83</v>
      </c>
      <c r="AM67" s="1">
        <v>6</v>
      </c>
      <c r="AN67" s="1">
        <v>6</v>
      </c>
      <c r="AO67" s="1" t="s">
        <v>83</v>
      </c>
      <c r="AP67" s="1">
        <v>6</v>
      </c>
      <c r="AQ67" s="1">
        <v>6</v>
      </c>
      <c r="AR67" s="1" t="s">
        <v>83</v>
      </c>
      <c r="AS67" s="1">
        <v>6</v>
      </c>
      <c r="AT67" s="1">
        <v>6</v>
      </c>
      <c r="AU67" s="1" t="s">
        <v>83</v>
      </c>
      <c r="AV67" s="1">
        <v>6</v>
      </c>
      <c r="AW67" s="1">
        <v>6</v>
      </c>
      <c r="AX67" s="1" t="s">
        <v>83</v>
      </c>
      <c r="AY67" s="1">
        <v>0</v>
      </c>
      <c r="AZ67" s="1">
        <v>0</v>
      </c>
      <c r="BA67" s="1">
        <v>0</v>
      </c>
      <c r="BB67" s="1" t="s">
        <v>591</v>
      </c>
      <c r="BC67" s="1">
        <v>2</v>
      </c>
      <c r="BD67" s="1" t="s">
        <v>592</v>
      </c>
      <c r="BE67" s="1" t="s">
        <v>592</v>
      </c>
      <c r="BF67" s="1" t="s">
        <v>592</v>
      </c>
      <c r="BG67" s="1" t="s">
        <v>83</v>
      </c>
    </row>
    <row r="68" spans="1:59" x14ac:dyDescent="0.35">
      <c r="A68" s="1">
        <v>67</v>
      </c>
      <c r="B68" s="1">
        <v>45839.495428240742</v>
      </c>
      <c r="C68" s="1" t="s">
        <v>593</v>
      </c>
      <c r="D68" s="1" t="s">
        <v>594</v>
      </c>
      <c r="E68" s="1" t="s">
        <v>63</v>
      </c>
      <c r="F68" s="1" t="s">
        <v>179</v>
      </c>
      <c r="G68" s="1" t="s">
        <v>595</v>
      </c>
      <c r="H68" s="1" t="s">
        <v>578</v>
      </c>
      <c r="I68" s="1" t="s">
        <v>596</v>
      </c>
      <c r="J68" s="1" t="s">
        <v>67</v>
      </c>
      <c r="K68" s="1" t="s">
        <v>597</v>
      </c>
      <c r="L68" s="1" t="s">
        <v>69</v>
      </c>
      <c r="M68" s="1" t="s">
        <v>69</v>
      </c>
      <c r="N68" s="1" t="s">
        <v>69</v>
      </c>
      <c r="O68" s="1" t="s">
        <v>69</v>
      </c>
      <c r="P68" s="1" t="s">
        <v>106</v>
      </c>
      <c r="Q68" s="1" t="s">
        <v>71</v>
      </c>
      <c r="R68" s="1" t="s">
        <v>598</v>
      </c>
      <c r="S68" s="1">
        <v>18</v>
      </c>
      <c r="T68" s="1" t="s">
        <v>131</v>
      </c>
      <c r="U68" s="1" t="s">
        <v>73</v>
      </c>
      <c r="V68" s="1" t="s">
        <v>94</v>
      </c>
      <c r="W68" s="1" t="s">
        <v>95</v>
      </c>
      <c r="X68" s="1">
        <v>5</v>
      </c>
      <c r="Y68" s="1">
        <v>6</v>
      </c>
      <c r="Z68" s="1" t="s">
        <v>83</v>
      </c>
      <c r="AA68" s="1">
        <v>5</v>
      </c>
      <c r="AB68" s="1">
        <v>5</v>
      </c>
      <c r="AC68" s="1" t="s">
        <v>83</v>
      </c>
      <c r="AD68" s="1">
        <v>6</v>
      </c>
      <c r="AE68" s="1">
        <v>5</v>
      </c>
      <c r="AF68" s="1" t="s">
        <v>83</v>
      </c>
      <c r="AG68" s="1">
        <v>6</v>
      </c>
      <c r="AH68" s="1">
        <v>5</v>
      </c>
      <c r="AI68" s="1" t="s">
        <v>83</v>
      </c>
      <c r="AJ68" s="1">
        <v>6</v>
      </c>
      <c r="AK68" s="1">
        <v>6</v>
      </c>
      <c r="AL68" s="1" t="s">
        <v>83</v>
      </c>
      <c r="AM68" s="1">
        <v>5</v>
      </c>
      <c r="AN68" s="1">
        <v>5</v>
      </c>
      <c r="AO68" s="1" t="s">
        <v>83</v>
      </c>
      <c r="AP68" s="1">
        <v>5</v>
      </c>
      <c r="AQ68" s="1">
        <v>6</v>
      </c>
      <c r="AR68" s="1" t="s">
        <v>83</v>
      </c>
      <c r="AS68" s="1">
        <v>5</v>
      </c>
      <c r="AT68" s="1">
        <v>5</v>
      </c>
      <c r="AU68" s="1" t="s">
        <v>83</v>
      </c>
      <c r="AV68" s="1">
        <v>5</v>
      </c>
      <c r="AW68" s="1">
        <v>5</v>
      </c>
      <c r="AX68" s="1" t="s">
        <v>83</v>
      </c>
      <c r="AY68" s="1">
        <v>2</v>
      </c>
      <c r="AZ68" s="1">
        <v>0</v>
      </c>
      <c r="BA68" s="1">
        <v>0</v>
      </c>
      <c r="BB68" s="1" t="s">
        <v>83</v>
      </c>
      <c r="BC68" s="1">
        <v>0</v>
      </c>
      <c r="BD68" s="1" t="s">
        <v>599</v>
      </c>
      <c r="BE68" s="1" t="s">
        <v>599</v>
      </c>
      <c r="BF68" s="1" t="s">
        <v>600</v>
      </c>
      <c r="BG68" s="1" t="s">
        <v>83</v>
      </c>
    </row>
    <row r="69" spans="1:59" x14ac:dyDescent="0.35">
      <c r="A69" s="1">
        <v>68</v>
      </c>
      <c r="B69" s="1">
        <v>45839.504895833335</v>
      </c>
      <c r="C69" s="1" t="s">
        <v>601</v>
      </c>
      <c r="D69" s="1" t="s">
        <v>602</v>
      </c>
      <c r="E69" s="1" t="s">
        <v>63</v>
      </c>
      <c r="F69" s="1" t="s">
        <v>86</v>
      </c>
      <c r="G69" s="1" t="s">
        <v>603</v>
      </c>
      <c r="H69" s="1" t="s">
        <v>578</v>
      </c>
      <c r="I69" s="1" t="s">
        <v>596</v>
      </c>
      <c r="J69" s="1" t="s">
        <v>67</v>
      </c>
      <c r="K69" s="1" t="s">
        <v>604</v>
      </c>
      <c r="L69" s="1" t="s">
        <v>69</v>
      </c>
      <c r="M69" s="1" t="s">
        <v>69</v>
      </c>
      <c r="N69" s="1" t="s">
        <v>69</v>
      </c>
      <c r="O69" s="1" t="s">
        <v>69</v>
      </c>
      <c r="P69" s="1" t="s">
        <v>70</v>
      </c>
      <c r="Q69" s="1" t="s">
        <v>71</v>
      </c>
      <c r="R69" s="1" t="s">
        <v>598</v>
      </c>
      <c r="S69" s="1">
        <v>18</v>
      </c>
      <c r="T69" s="1" t="s">
        <v>131</v>
      </c>
      <c r="U69" s="1" t="s">
        <v>73</v>
      </c>
      <c r="V69" s="1" t="s">
        <v>94</v>
      </c>
      <c r="W69" s="1" t="s">
        <v>95</v>
      </c>
      <c r="X69" s="1">
        <v>5</v>
      </c>
      <c r="Y69" s="1">
        <v>6</v>
      </c>
      <c r="Z69" s="1" t="s">
        <v>83</v>
      </c>
      <c r="AA69" s="1">
        <v>4</v>
      </c>
      <c r="AB69" s="1">
        <v>5</v>
      </c>
      <c r="AC69" s="1" t="s">
        <v>2462</v>
      </c>
      <c r="AD69" s="1">
        <v>4</v>
      </c>
      <c r="AE69" s="1">
        <v>5</v>
      </c>
      <c r="AF69" s="1" t="s">
        <v>83</v>
      </c>
      <c r="AG69" s="1">
        <v>5</v>
      </c>
      <c r="AH69" s="1">
        <v>5</v>
      </c>
      <c r="AI69" s="1" t="s">
        <v>83</v>
      </c>
      <c r="AJ69" s="1">
        <v>5</v>
      </c>
      <c r="AK69" s="1">
        <v>5</v>
      </c>
      <c r="AL69" s="1" t="s">
        <v>83</v>
      </c>
      <c r="AM69" s="1">
        <v>5</v>
      </c>
      <c r="AN69" s="1">
        <v>5</v>
      </c>
      <c r="AO69" s="1" t="s">
        <v>83</v>
      </c>
      <c r="AP69" s="1">
        <v>4</v>
      </c>
      <c r="AQ69" s="1">
        <v>5</v>
      </c>
      <c r="AR69" s="1" t="s">
        <v>83</v>
      </c>
      <c r="AS69" s="1">
        <v>5</v>
      </c>
      <c r="AT69" s="1">
        <v>5</v>
      </c>
      <c r="AU69" s="1" t="s">
        <v>83</v>
      </c>
      <c r="AV69" s="1">
        <v>5</v>
      </c>
      <c r="AW69" s="1">
        <v>5</v>
      </c>
      <c r="AX69" s="1" t="s">
        <v>83</v>
      </c>
      <c r="AY69" s="1">
        <v>0</v>
      </c>
      <c r="AZ69" s="1">
        <v>0</v>
      </c>
      <c r="BA69" s="1">
        <v>0</v>
      </c>
      <c r="BB69" s="1" t="s">
        <v>144</v>
      </c>
      <c r="BC69" s="1">
        <v>2</v>
      </c>
      <c r="BD69" s="1" t="s">
        <v>605</v>
      </c>
      <c r="BE69" s="1" t="s">
        <v>606</v>
      </c>
      <c r="BF69" s="1" t="s">
        <v>607</v>
      </c>
      <c r="BG69" s="1" t="s">
        <v>608</v>
      </c>
    </row>
    <row r="70" spans="1:59" x14ac:dyDescent="0.35">
      <c r="A70" s="1">
        <v>69</v>
      </c>
      <c r="B70" s="1">
        <v>45839.578460648147</v>
      </c>
      <c r="C70" s="1" t="s">
        <v>609</v>
      </c>
      <c r="D70" s="1" t="s">
        <v>610</v>
      </c>
      <c r="E70" s="1" t="s">
        <v>63</v>
      </c>
      <c r="F70" s="1" t="s">
        <v>86</v>
      </c>
      <c r="G70" s="1" t="s">
        <v>611</v>
      </c>
      <c r="H70" s="1" t="s">
        <v>578</v>
      </c>
      <c r="I70" s="1" t="s">
        <v>596</v>
      </c>
      <c r="J70" s="1" t="s">
        <v>67</v>
      </c>
      <c r="K70" s="1" t="s">
        <v>612</v>
      </c>
      <c r="L70" s="1" t="s">
        <v>69</v>
      </c>
      <c r="M70" s="1" t="s">
        <v>69</v>
      </c>
      <c r="N70" s="1" t="s">
        <v>69</v>
      </c>
      <c r="O70" s="1" t="s">
        <v>69</v>
      </c>
      <c r="P70" s="1" t="s">
        <v>70</v>
      </c>
      <c r="Q70" s="1" t="s">
        <v>71</v>
      </c>
      <c r="R70" s="1" t="s">
        <v>598</v>
      </c>
      <c r="S70" s="1">
        <v>18</v>
      </c>
      <c r="T70" s="1" t="s">
        <v>131</v>
      </c>
      <c r="U70" s="1" t="s">
        <v>73</v>
      </c>
      <c r="V70" s="1" t="s">
        <v>94</v>
      </c>
      <c r="W70" s="1" t="s">
        <v>95</v>
      </c>
      <c r="X70" s="1">
        <v>4</v>
      </c>
      <c r="Y70" s="1">
        <v>5</v>
      </c>
      <c r="Z70" s="1" t="s">
        <v>83</v>
      </c>
      <c r="AA70" s="1">
        <v>4</v>
      </c>
      <c r="AB70" s="1">
        <v>5</v>
      </c>
      <c r="AC70" s="1" t="s">
        <v>83</v>
      </c>
      <c r="AD70" s="1">
        <v>4</v>
      </c>
      <c r="AE70" s="1">
        <v>5</v>
      </c>
      <c r="AF70" s="1" t="s">
        <v>83</v>
      </c>
      <c r="AG70" s="1">
        <v>5</v>
      </c>
      <c r="AH70" s="1">
        <v>5</v>
      </c>
      <c r="AI70" s="1" t="s">
        <v>83</v>
      </c>
      <c r="AJ70" s="1">
        <v>5</v>
      </c>
      <c r="AK70" s="1">
        <v>5</v>
      </c>
      <c r="AL70" s="1" t="s">
        <v>83</v>
      </c>
      <c r="AM70" s="1">
        <v>4</v>
      </c>
      <c r="AN70" s="1">
        <v>5</v>
      </c>
      <c r="AO70" s="1" t="s">
        <v>83</v>
      </c>
      <c r="AP70" s="1">
        <v>4</v>
      </c>
      <c r="AQ70" s="1">
        <v>5</v>
      </c>
      <c r="AR70" s="1" t="s">
        <v>83</v>
      </c>
      <c r="AS70" s="1">
        <v>5</v>
      </c>
      <c r="AT70" s="1">
        <v>5</v>
      </c>
      <c r="AU70" s="1" t="s">
        <v>83</v>
      </c>
      <c r="AV70" s="1">
        <v>4</v>
      </c>
      <c r="AW70" s="1">
        <v>5</v>
      </c>
      <c r="AX70" s="1" t="s">
        <v>83</v>
      </c>
      <c r="AY70" s="1">
        <v>0</v>
      </c>
      <c r="AZ70" s="1">
        <v>0</v>
      </c>
      <c r="BA70" s="1">
        <v>0</v>
      </c>
      <c r="BB70" s="1" t="s">
        <v>144</v>
      </c>
      <c r="BC70" s="1">
        <v>2</v>
      </c>
      <c r="BD70" s="1" t="s">
        <v>613</v>
      </c>
      <c r="BE70" s="1" t="s">
        <v>614</v>
      </c>
      <c r="BF70" s="1" t="s">
        <v>615</v>
      </c>
      <c r="BG70" s="1" t="s">
        <v>616</v>
      </c>
    </row>
    <row r="71" spans="1:59" x14ac:dyDescent="0.35">
      <c r="A71" s="1">
        <v>70</v>
      </c>
      <c r="B71" s="1">
        <v>45839.587361111109</v>
      </c>
      <c r="C71" s="1" t="s">
        <v>617</v>
      </c>
      <c r="D71" s="1" t="s">
        <v>618</v>
      </c>
      <c r="E71" s="1" t="s">
        <v>63</v>
      </c>
      <c r="F71" s="1" t="s">
        <v>619</v>
      </c>
      <c r="G71" s="1" t="s">
        <v>620</v>
      </c>
      <c r="H71" s="1" t="s">
        <v>578</v>
      </c>
      <c r="I71" s="1" t="s">
        <v>596</v>
      </c>
      <c r="J71" s="1" t="s">
        <v>67</v>
      </c>
      <c r="K71" s="1" t="s">
        <v>621</v>
      </c>
      <c r="L71" s="1" t="s">
        <v>69</v>
      </c>
      <c r="M71" s="1" t="s">
        <v>69</v>
      </c>
      <c r="N71" s="1" t="s">
        <v>69</v>
      </c>
      <c r="O71" s="1" t="s">
        <v>69</v>
      </c>
      <c r="P71" s="1" t="s">
        <v>70</v>
      </c>
      <c r="Q71" s="1" t="s">
        <v>71</v>
      </c>
      <c r="R71" s="1" t="s">
        <v>622</v>
      </c>
      <c r="S71" s="1">
        <v>19</v>
      </c>
      <c r="T71" s="1" t="s">
        <v>131</v>
      </c>
      <c r="U71" s="1" t="s">
        <v>73</v>
      </c>
      <c r="V71" s="1" t="s">
        <v>94</v>
      </c>
      <c r="W71" s="1" t="s">
        <v>95</v>
      </c>
      <c r="X71" s="1">
        <v>5</v>
      </c>
      <c r="Y71" s="1">
        <v>6</v>
      </c>
      <c r="Z71" s="1" t="s">
        <v>83</v>
      </c>
      <c r="AA71" s="1">
        <v>4</v>
      </c>
      <c r="AB71" s="1">
        <v>6</v>
      </c>
      <c r="AC71" s="1" t="s">
        <v>83</v>
      </c>
      <c r="AD71" s="1">
        <v>5</v>
      </c>
      <c r="AE71" s="1">
        <v>6</v>
      </c>
      <c r="AF71" s="1" t="s">
        <v>83</v>
      </c>
      <c r="AG71" s="1">
        <v>5</v>
      </c>
      <c r="AH71" s="1">
        <v>6</v>
      </c>
      <c r="AI71" s="1" t="s">
        <v>83</v>
      </c>
      <c r="AJ71" s="1">
        <v>6</v>
      </c>
      <c r="AK71" s="1">
        <v>6</v>
      </c>
      <c r="AL71" s="1" t="s">
        <v>83</v>
      </c>
      <c r="AM71" s="1">
        <v>5</v>
      </c>
      <c r="AN71" s="1">
        <v>6</v>
      </c>
      <c r="AO71" s="1" t="s">
        <v>83</v>
      </c>
      <c r="AP71" s="1">
        <v>5</v>
      </c>
      <c r="AQ71" s="1">
        <v>6</v>
      </c>
      <c r="AR71" s="1" t="s">
        <v>83</v>
      </c>
      <c r="AS71" s="1">
        <v>5</v>
      </c>
      <c r="AT71" s="1">
        <v>6</v>
      </c>
      <c r="AU71" s="1" t="s">
        <v>83</v>
      </c>
      <c r="AV71" s="1">
        <v>5</v>
      </c>
      <c r="AW71" s="1">
        <v>5</v>
      </c>
      <c r="AX71" s="1" t="s">
        <v>83</v>
      </c>
      <c r="AY71" s="1">
        <v>0</v>
      </c>
      <c r="AZ71" s="1">
        <v>0</v>
      </c>
      <c r="BA71" s="1">
        <v>0</v>
      </c>
      <c r="BB71" s="1" t="s">
        <v>144</v>
      </c>
      <c r="BC71" s="1">
        <v>1</v>
      </c>
      <c r="BD71" s="1" t="s">
        <v>623</v>
      </c>
      <c r="BE71" s="1" t="s">
        <v>624</v>
      </c>
      <c r="BF71" s="1" t="s">
        <v>442</v>
      </c>
      <c r="BG71" s="1" t="s">
        <v>625</v>
      </c>
    </row>
    <row r="72" spans="1:59" x14ac:dyDescent="0.35">
      <c r="A72" s="1">
        <v>71</v>
      </c>
      <c r="B72" s="1">
        <v>45839.611574074072</v>
      </c>
      <c r="C72" s="1" t="s">
        <v>626</v>
      </c>
      <c r="D72" s="1" t="s">
        <v>627</v>
      </c>
      <c r="E72" s="1" t="s">
        <v>63</v>
      </c>
      <c r="F72" s="1" t="s">
        <v>125</v>
      </c>
      <c r="G72" s="1" t="s">
        <v>628</v>
      </c>
      <c r="H72" s="1" t="s">
        <v>578</v>
      </c>
      <c r="I72" s="1" t="s">
        <v>588</v>
      </c>
      <c r="J72" s="1" t="s">
        <v>67</v>
      </c>
      <c r="K72" s="1" t="s">
        <v>629</v>
      </c>
      <c r="L72" s="1" t="s">
        <v>69</v>
      </c>
      <c r="M72" s="1" t="s">
        <v>69</v>
      </c>
      <c r="N72" s="1" t="s">
        <v>69</v>
      </c>
      <c r="O72" s="1" t="s">
        <v>69</v>
      </c>
      <c r="P72" s="1" t="s">
        <v>70</v>
      </c>
      <c r="Q72" s="1" t="s">
        <v>107</v>
      </c>
      <c r="R72" s="1" t="s">
        <v>630</v>
      </c>
      <c r="S72" s="1">
        <v>38</v>
      </c>
      <c r="T72" s="1" t="s">
        <v>153</v>
      </c>
      <c r="U72" s="1" t="s">
        <v>73</v>
      </c>
      <c r="V72" s="1" t="s">
        <v>110</v>
      </c>
      <c r="W72" s="1" t="s">
        <v>110</v>
      </c>
      <c r="X72" s="1">
        <v>6</v>
      </c>
      <c r="Y72" s="1">
        <v>6</v>
      </c>
      <c r="Z72" s="1" t="s">
        <v>83</v>
      </c>
      <c r="AA72" s="1">
        <v>6</v>
      </c>
      <c r="AB72" s="1">
        <v>6</v>
      </c>
      <c r="AC72" s="1" t="s">
        <v>83</v>
      </c>
      <c r="AD72" s="1">
        <v>6</v>
      </c>
      <c r="AE72" s="1">
        <v>6</v>
      </c>
      <c r="AF72" s="1" t="s">
        <v>83</v>
      </c>
      <c r="AG72" s="1">
        <v>0</v>
      </c>
      <c r="AH72" s="1">
        <v>0</v>
      </c>
      <c r="AI72" s="1" t="s">
        <v>83</v>
      </c>
      <c r="AJ72" s="1">
        <v>6</v>
      </c>
      <c r="AK72" s="1">
        <v>6</v>
      </c>
      <c r="AL72" s="1" t="s">
        <v>83</v>
      </c>
      <c r="AM72" s="1">
        <v>6</v>
      </c>
      <c r="AN72" s="1">
        <v>6</v>
      </c>
      <c r="AO72" s="1" t="s">
        <v>83</v>
      </c>
      <c r="AP72" s="1">
        <v>6</v>
      </c>
      <c r="AQ72" s="1">
        <v>6</v>
      </c>
      <c r="AR72" s="1" t="s">
        <v>83</v>
      </c>
      <c r="AS72" s="1">
        <v>6</v>
      </c>
      <c r="AT72" s="1">
        <v>6</v>
      </c>
      <c r="AU72" s="1" t="s">
        <v>83</v>
      </c>
      <c r="AV72" s="1">
        <v>6</v>
      </c>
      <c r="AW72" s="1">
        <v>6</v>
      </c>
      <c r="AX72" s="1" t="s">
        <v>83</v>
      </c>
      <c r="AY72" s="1">
        <v>0</v>
      </c>
      <c r="AZ72" s="1">
        <v>0</v>
      </c>
      <c r="BA72" s="1">
        <v>0</v>
      </c>
      <c r="BB72" s="1" t="s">
        <v>631</v>
      </c>
      <c r="BC72" s="1">
        <v>2</v>
      </c>
      <c r="BD72" s="1" t="s">
        <v>632</v>
      </c>
      <c r="BE72" s="1" t="s">
        <v>633</v>
      </c>
      <c r="BF72" s="1" t="s">
        <v>634</v>
      </c>
      <c r="BG72" s="1" t="s">
        <v>635</v>
      </c>
    </row>
    <row r="73" spans="1:59" x14ac:dyDescent="0.35">
      <c r="A73" s="1">
        <v>72</v>
      </c>
      <c r="B73" s="1">
        <v>45839.61619212963</v>
      </c>
      <c r="C73" s="1" t="s">
        <v>636</v>
      </c>
      <c r="D73" s="1" t="s">
        <v>637</v>
      </c>
      <c r="E73" s="1" t="s">
        <v>63</v>
      </c>
      <c r="F73" s="1" t="s">
        <v>125</v>
      </c>
      <c r="G73" s="1" t="s">
        <v>638</v>
      </c>
      <c r="H73" s="1" t="s">
        <v>578</v>
      </c>
      <c r="I73" s="1" t="s">
        <v>596</v>
      </c>
      <c r="J73" s="1" t="s">
        <v>639</v>
      </c>
      <c r="K73" s="1" t="s">
        <v>640</v>
      </c>
      <c r="L73" s="1" t="s">
        <v>69</v>
      </c>
      <c r="M73" s="1" t="s">
        <v>69</v>
      </c>
      <c r="N73" s="1" t="s">
        <v>69</v>
      </c>
      <c r="O73" s="1" t="s">
        <v>69</v>
      </c>
      <c r="P73" s="1" t="s">
        <v>106</v>
      </c>
      <c r="Q73" s="1" t="s">
        <v>107</v>
      </c>
      <c r="R73" s="1" t="s">
        <v>641</v>
      </c>
      <c r="S73" s="1">
        <v>36</v>
      </c>
      <c r="T73" s="1" t="s">
        <v>153</v>
      </c>
      <c r="U73" s="1" t="s">
        <v>73</v>
      </c>
      <c r="V73" s="1" t="s">
        <v>74</v>
      </c>
      <c r="W73" s="1" t="s">
        <v>74</v>
      </c>
      <c r="X73" s="1">
        <v>6</v>
      </c>
      <c r="Y73" s="1">
        <v>6</v>
      </c>
      <c r="Z73" s="1" t="s">
        <v>83</v>
      </c>
      <c r="AA73" s="1">
        <v>6</v>
      </c>
      <c r="AB73" s="1">
        <v>6</v>
      </c>
      <c r="AC73" s="1" t="s">
        <v>83</v>
      </c>
      <c r="AD73" s="1">
        <v>6</v>
      </c>
      <c r="AE73" s="1">
        <v>6</v>
      </c>
      <c r="AF73" s="1" t="s">
        <v>83</v>
      </c>
      <c r="AG73" s="1">
        <v>0</v>
      </c>
      <c r="AH73" s="1">
        <v>0</v>
      </c>
      <c r="AI73" s="1" t="s">
        <v>83</v>
      </c>
      <c r="AJ73" s="1">
        <v>6</v>
      </c>
      <c r="AK73" s="1">
        <v>6</v>
      </c>
      <c r="AL73" s="1" t="s">
        <v>83</v>
      </c>
      <c r="AM73" s="1">
        <v>6</v>
      </c>
      <c r="AN73" s="1">
        <v>6</v>
      </c>
      <c r="AO73" s="1" t="s">
        <v>83</v>
      </c>
      <c r="AP73" s="1">
        <v>6</v>
      </c>
      <c r="AQ73" s="1">
        <v>6</v>
      </c>
      <c r="AR73" s="1" t="s">
        <v>83</v>
      </c>
      <c r="AS73" s="1">
        <v>6</v>
      </c>
      <c r="AT73" s="1">
        <v>6</v>
      </c>
      <c r="AU73" s="1" t="s">
        <v>83</v>
      </c>
      <c r="AV73" s="1">
        <v>6</v>
      </c>
      <c r="AW73" s="1">
        <v>6</v>
      </c>
      <c r="AX73" s="1" t="s">
        <v>83</v>
      </c>
      <c r="AY73" s="1">
        <v>0</v>
      </c>
      <c r="AZ73" s="1">
        <v>2</v>
      </c>
      <c r="BA73" s="1">
        <v>0</v>
      </c>
      <c r="BB73" s="1" t="s">
        <v>83</v>
      </c>
      <c r="BC73" s="1">
        <v>0</v>
      </c>
      <c r="BD73" s="1" t="s">
        <v>642</v>
      </c>
      <c r="BE73" s="1" t="s">
        <v>643</v>
      </c>
      <c r="BF73" s="1" t="s">
        <v>644</v>
      </c>
      <c r="BG73" s="1" t="s">
        <v>645</v>
      </c>
    </row>
    <row r="74" spans="1:59" x14ac:dyDescent="0.35">
      <c r="A74" s="1">
        <v>73</v>
      </c>
      <c r="B74" s="1">
        <v>45839.673437500001</v>
      </c>
      <c r="C74" s="1" t="s">
        <v>646</v>
      </c>
      <c r="D74" s="1" t="s">
        <v>647</v>
      </c>
      <c r="E74" s="1" t="s">
        <v>63</v>
      </c>
      <c r="F74" s="1" t="s">
        <v>240</v>
      </c>
      <c r="G74" s="1" t="s">
        <v>648</v>
      </c>
      <c r="H74" s="1" t="s">
        <v>65</v>
      </c>
      <c r="I74" s="1" t="s">
        <v>66</v>
      </c>
      <c r="J74" s="1" t="s">
        <v>649</v>
      </c>
      <c r="K74" s="1" t="s">
        <v>650</v>
      </c>
      <c r="L74" s="1" t="s">
        <v>69</v>
      </c>
      <c r="M74" s="1" t="s">
        <v>69</v>
      </c>
      <c r="N74" s="1" t="s">
        <v>69</v>
      </c>
      <c r="O74" s="1" t="s">
        <v>69</v>
      </c>
      <c r="P74" s="1" t="s">
        <v>106</v>
      </c>
      <c r="Q74" s="1" t="s">
        <v>71</v>
      </c>
      <c r="R74" s="1" t="s">
        <v>2463</v>
      </c>
      <c r="S74" s="1">
        <v>33</v>
      </c>
      <c r="T74" s="1" t="s">
        <v>109</v>
      </c>
      <c r="U74" s="1" t="s">
        <v>254</v>
      </c>
      <c r="V74" s="1" t="s">
        <v>74</v>
      </c>
      <c r="W74" s="1" t="s">
        <v>74</v>
      </c>
      <c r="X74" s="1">
        <v>5</v>
      </c>
      <c r="Y74" s="1">
        <v>6</v>
      </c>
      <c r="Z74" s="1" t="s">
        <v>83</v>
      </c>
      <c r="AA74" s="1">
        <v>5</v>
      </c>
      <c r="AB74" s="1">
        <v>5</v>
      </c>
      <c r="AC74" s="1" t="s">
        <v>83</v>
      </c>
      <c r="AD74" s="1">
        <v>5</v>
      </c>
      <c r="AE74" s="1">
        <v>5</v>
      </c>
      <c r="AF74" s="1" t="s">
        <v>83</v>
      </c>
      <c r="AG74" s="1">
        <v>5</v>
      </c>
      <c r="AH74" s="1">
        <v>5</v>
      </c>
      <c r="AI74" s="1" t="s">
        <v>83</v>
      </c>
      <c r="AJ74" s="1">
        <v>5</v>
      </c>
      <c r="AK74" s="1">
        <v>5</v>
      </c>
      <c r="AL74" s="1" t="s">
        <v>83</v>
      </c>
      <c r="AM74" s="1">
        <v>5</v>
      </c>
      <c r="AN74" s="1">
        <v>5</v>
      </c>
      <c r="AO74" s="1" t="s">
        <v>83</v>
      </c>
      <c r="AP74" s="1">
        <v>6</v>
      </c>
      <c r="AQ74" s="1">
        <v>5</v>
      </c>
      <c r="AR74" s="1" t="s">
        <v>83</v>
      </c>
      <c r="AS74" s="1">
        <v>5</v>
      </c>
      <c r="AT74" s="1">
        <v>5</v>
      </c>
      <c r="AU74" s="1" t="s">
        <v>83</v>
      </c>
      <c r="AV74" s="1">
        <v>3</v>
      </c>
      <c r="AW74" s="1">
        <v>5</v>
      </c>
      <c r="AX74" s="1" t="s">
        <v>2464</v>
      </c>
      <c r="AY74" s="1">
        <v>0</v>
      </c>
      <c r="AZ74" s="1">
        <v>0</v>
      </c>
      <c r="BA74" s="1">
        <v>1</v>
      </c>
      <c r="BB74" s="1" t="s">
        <v>83</v>
      </c>
      <c r="BC74" s="1">
        <v>0</v>
      </c>
      <c r="BD74" s="1" t="s">
        <v>651</v>
      </c>
      <c r="BE74" s="1" t="s">
        <v>651</v>
      </c>
      <c r="BF74" s="1" t="s">
        <v>652</v>
      </c>
      <c r="BG74" s="1" t="s">
        <v>83</v>
      </c>
    </row>
    <row r="75" spans="1:59" x14ac:dyDescent="0.35">
      <c r="A75" s="1">
        <v>74</v>
      </c>
      <c r="B75" s="1">
        <v>45839.674768518518</v>
      </c>
      <c r="C75" s="1" t="s">
        <v>654</v>
      </c>
      <c r="D75" s="1" t="s">
        <v>655</v>
      </c>
      <c r="E75" s="1" t="s">
        <v>63</v>
      </c>
      <c r="F75" s="1" t="s">
        <v>416</v>
      </c>
      <c r="G75" s="1" t="s">
        <v>656</v>
      </c>
      <c r="H75" s="1" t="s">
        <v>657</v>
      </c>
      <c r="I75" s="1" t="s">
        <v>66</v>
      </c>
      <c r="J75" s="1" t="s">
        <v>639</v>
      </c>
      <c r="K75" s="1" t="s">
        <v>658</v>
      </c>
      <c r="L75" s="1" t="s">
        <v>69</v>
      </c>
      <c r="M75" s="1" t="s">
        <v>69</v>
      </c>
      <c r="N75" s="1" t="s">
        <v>69</v>
      </c>
      <c r="O75" s="1" t="s">
        <v>69</v>
      </c>
      <c r="P75" s="1" t="s">
        <v>106</v>
      </c>
      <c r="Q75" s="1" t="s">
        <v>271</v>
      </c>
      <c r="R75" s="1" t="s">
        <v>492</v>
      </c>
      <c r="S75" s="1">
        <v>24</v>
      </c>
      <c r="T75" s="1" t="s">
        <v>72</v>
      </c>
      <c r="U75" s="1" t="s">
        <v>73</v>
      </c>
      <c r="V75" s="1" t="s">
        <v>74</v>
      </c>
      <c r="W75" s="1" t="s">
        <v>74</v>
      </c>
      <c r="X75" s="1">
        <v>6</v>
      </c>
      <c r="Y75" s="1">
        <v>6</v>
      </c>
      <c r="Z75" s="1" t="s">
        <v>83</v>
      </c>
      <c r="AA75" s="1">
        <v>5</v>
      </c>
      <c r="AB75" s="1">
        <v>5</v>
      </c>
      <c r="AC75" s="1" t="s">
        <v>83</v>
      </c>
      <c r="AD75" s="1">
        <v>6</v>
      </c>
      <c r="AE75" s="1">
        <v>6</v>
      </c>
      <c r="AF75" s="1" t="s">
        <v>83</v>
      </c>
      <c r="AG75" s="1">
        <v>6</v>
      </c>
      <c r="AH75" s="1">
        <v>6</v>
      </c>
      <c r="AI75" s="1" t="s">
        <v>83</v>
      </c>
      <c r="AJ75" s="1">
        <v>6</v>
      </c>
      <c r="AK75" s="1">
        <v>6</v>
      </c>
      <c r="AL75" s="1" t="s">
        <v>83</v>
      </c>
      <c r="AM75" s="1">
        <v>6</v>
      </c>
      <c r="AN75" s="1">
        <v>6</v>
      </c>
      <c r="AO75" s="1" t="s">
        <v>83</v>
      </c>
      <c r="AP75" s="1">
        <v>5</v>
      </c>
      <c r="AQ75" s="1">
        <v>5</v>
      </c>
      <c r="AR75" s="1" t="s">
        <v>83</v>
      </c>
      <c r="AS75" s="1">
        <v>6</v>
      </c>
      <c r="AT75" s="1">
        <v>6</v>
      </c>
      <c r="AU75" s="1" t="s">
        <v>83</v>
      </c>
      <c r="AV75" s="1">
        <v>5</v>
      </c>
      <c r="AW75" s="1">
        <v>5</v>
      </c>
      <c r="AX75" s="1" t="s">
        <v>83</v>
      </c>
      <c r="AY75" s="1">
        <v>1</v>
      </c>
      <c r="AZ75" s="1">
        <v>0</v>
      </c>
      <c r="BA75" s="1">
        <v>0</v>
      </c>
      <c r="BB75" s="1" t="s">
        <v>144</v>
      </c>
      <c r="BC75" s="1">
        <v>1</v>
      </c>
      <c r="BD75" s="1" t="s">
        <v>442</v>
      </c>
      <c r="BE75" s="1" t="s">
        <v>248</v>
      </c>
      <c r="BF75" s="1" t="s">
        <v>659</v>
      </c>
      <c r="BG75" s="1" t="s">
        <v>83</v>
      </c>
    </row>
    <row r="76" spans="1:59" x14ac:dyDescent="0.35">
      <c r="A76" s="1">
        <v>75</v>
      </c>
      <c r="B76" s="1">
        <v>45839.678680555553</v>
      </c>
      <c r="C76" s="1" t="s">
        <v>660</v>
      </c>
      <c r="D76" s="1" t="s">
        <v>661</v>
      </c>
      <c r="E76" s="1" t="s">
        <v>63</v>
      </c>
      <c r="F76" s="1" t="s">
        <v>289</v>
      </c>
      <c r="G76" s="1" t="s">
        <v>662</v>
      </c>
      <c r="H76" s="1" t="s">
        <v>65</v>
      </c>
      <c r="I76" s="1" t="s">
        <v>66</v>
      </c>
      <c r="J76" s="1" t="s">
        <v>639</v>
      </c>
      <c r="K76" s="1" t="s">
        <v>663</v>
      </c>
      <c r="L76" s="1" t="s">
        <v>69</v>
      </c>
      <c r="M76" s="1" t="s">
        <v>69</v>
      </c>
      <c r="N76" s="1" t="s">
        <v>69</v>
      </c>
      <c r="O76" s="1" t="s">
        <v>69</v>
      </c>
      <c r="P76" s="1" t="s">
        <v>106</v>
      </c>
      <c r="Q76" s="1" t="s">
        <v>107</v>
      </c>
      <c r="R76" s="1" t="s">
        <v>538</v>
      </c>
      <c r="S76" s="1">
        <v>41</v>
      </c>
      <c r="T76" s="1" t="s">
        <v>197</v>
      </c>
      <c r="U76" s="1" t="s">
        <v>73</v>
      </c>
      <c r="V76" s="1" t="s">
        <v>74</v>
      </c>
      <c r="W76" s="1" t="s">
        <v>74</v>
      </c>
      <c r="X76" s="1">
        <v>6</v>
      </c>
      <c r="Y76" s="1">
        <v>6</v>
      </c>
      <c r="Z76" s="1" t="s">
        <v>83</v>
      </c>
      <c r="AA76" s="1">
        <v>6</v>
      </c>
      <c r="AB76" s="1">
        <v>6</v>
      </c>
      <c r="AC76" s="1" t="s">
        <v>83</v>
      </c>
      <c r="AD76" s="1">
        <v>6</v>
      </c>
      <c r="AE76" s="1">
        <v>6</v>
      </c>
      <c r="AF76" s="1" t="s">
        <v>83</v>
      </c>
      <c r="AG76" s="1">
        <v>0</v>
      </c>
      <c r="AH76" s="1">
        <v>0</v>
      </c>
      <c r="AI76" s="1" t="s">
        <v>83</v>
      </c>
      <c r="AJ76" s="1">
        <v>6</v>
      </c>
      <c r="AK76" s="1">
        <v>6</v>
      </c>
      <c r="AL76" s="1" t="s">
        <v>83</v>
      </c>
      <c r="AM76" s="1">
        <v>6</v>
      </c>
      <c r="AN76" s="1">
        <v>6</v>
      </c>
      <c r="AO76" s="1" t="s">
        <v>83</v>
      </c>
      <c r="AP76" s="1">
        <v>6</v>
      </c>
      <c r="AQ76" s="1">
        <v>6</v>
      </c>
      <c r="AR76" s="1" t="s">
        <v>83</v>
      </c>
      <c r="AS76" s="1">
        <v>6</v>
      </c>
      <c r="AT76" s="1">
        <v>6</v>
      </c>
      <c r="AU76" s="1" t="s">
        <v>83</v>
      </c>
      <c r="AV76" s="1">
        <v>5</v>
      </c>
      <c r="AW76" s="1">
        <v>5</v>
      </c>
      <c r="AX76" s="1" t="s">
        <v>83</v>
      </c>
      <c r="AY76" s="1">
        <v>1</v>
      </c>
      <c r="AZ76" s="1">
        <v>0</v>
      </c>
      <c r="BA76" s="1">
        <v>0</v>
      </c>
      <c r="BB76" s="1" t="s">
        <v>83</v>
      </c>
      <c r="BC76" s="1">
        <v>0</v>
      </c>
      <c r="BD76" s="1" t="s">
        <v>664</v>
      </c>
      <c r="BE76" s="1" t="s">
        <v>665</v>
      </c>
      <c r="BF76" s="1" t="s">
        <v>666</v>
      </c>
      <c r="BG76" s="1" t="s">
        <v>83</v>
      </c>
    </row>
    <row r="77" spans="1:59" x14ac:dyDescent="0.35">
      <c r="A77" s="1">
        <v>76</v>
      </c>
      <c r="B77" s="1">
        <v>45839.683831018519</v>
      </c>
      <c r="C77" s="1" t="s">
        <v>667</v>
      </c>
      <c r="D77" s="1" t="s">
        <v>668</v>
      </c>
      <c r="E77" s="1" t="s">
        <v>63</v>
      </c>
      <c r="F77" s="1" t="s">
        <v>86</v>
      </c>
      <c r="G77" s="1" t="s">
        <v>669</v>
      </c>
      <c r="H77" s="1" t="s">
        <v>65</v>
      </c>
      <c r="I77" s="1" t="s">
        <v>66</v>
      </c>
      <c r="J77" s="1" t="s">
        <v>639</v>
      </c>
      <c r="K77" s="1" t="s">
        <v>670</v>
      </c>
      <c r="L77" s="1" t="s">
        <v>69</v>
      </c>
      <c r="M77" s="1" t="s">
        <v>69</v>
      </c>
      <c r="N77" s="1" t="s">
        <v>69</v>
      </c>
      <c r="O77" s="1" t="s">
        <v>69</v>
      </c>
      <c r="P77" s="1" t="s">
        <v>106</v>
      </c>
      <c r="Q77" s="1" t="s">
        <v>107</v>
      </c>
      <c r="R77" s="1" t="s">
        <v>671</v>
      </c>
      <c r="S77" s="1">
        <v>49</v>
      </c>
      <c r="T77" s="1" t="s">
        <v>225</v>
      </c>
      <c r="U77" s="1" t="s">
        <v>73</v>
      </c>
      <c r="V77" s="1" t="s">
        <v>74</v>
      </c>
      <c r="W77" s="1" t="s">
        <v>74</v>
      </c>
      <c r="X77" s="1">
        <v>6</v>
      </c>
      <c r="Y77" s="1">
        <v>6</v>
      </c>
      <c r="Z77" s="1" t="s">
        <v>83</v>
      </c>
      <c r="AA77" s="1">
        <v>6</v>
      </c>
      <c r="AB77" s="1">
        <v>6</v>
      </c>
      <c r="AC77" s="1" t="s">
        <v>83</v>
      </c>
      <c r="AD77" s="1">
        <v>6</v>
      </c>
      <c r="AE77" s="1">
        <v>6</v>
      </c>
      <c r="AF77" s="1" t="s">
        <v>83</v>
      </c>
      <c r="AG77" s="1">
        <v>0</v>
      </c>
      <c r="AH77" s="1">
        <v>0</v>
      </c>
      <c r="AI77" s="1" t="s">
        <v>83</v>
      </c>
      <c r="AJ77" s="1">
        <v>6</v>
      </c>
      <c r="AK77" s="1">
        <v>6</v>
      </c>
      <c r="AL77" s="1" t="s">
        <v>83</v>
      </c>
      <c r="AM77" s="1">
        <v>6</v>
      </c>
      <c r="AN77" s="1">
        <v>6</v>
      </c>
      <c r="AO77" s="1" t="s">
        <v>83</v>
      </c>
      <c r="AP77" s="1">
        <v>6</v>
      </c>
      <c r="AQ77" s="1">
        <v>6</v>
      </c>
      <c r="AR77" s="1" t="s">
        <v>83</v>
      </c>
      <c r="AS77" s="1">
        <v>6</v>
      </c>
      <c r="AT77" s="1">
        <v>6</v>
      </c>
      <c r="AU77" s="1" t="s">
        <v>83</v>
      </c>
      <c r="AV77" s="1">
        <v>6</v>
      </c>
      <c r="AW77" s="1">
        <v>6</v>
      </c>
      <c r="AX77" s="1" t="s">
        <v>83</v>
      </c>
      <c r="AY77" s="1">
        <v>0</v>
      </c>
      <c r="AZ77" s="1">
        <v>0</v>
      </c>
      <c r="BA77" s="1">
        <v>0</v>
      </c>
      <c r="BB77" s="1" t="s">
        <v>672</v>
      </c>
      <c r="BC77" s="1">
        <v>1</v>
      </c>
      <c r="BD77" s="1" t="s">
        <v>673</v>
      </c>
      <c r="BE77" s="1" t="s">
        <v>674</v>
      </c>
      <c r="BF77" s="1" t="s">
        <v>675</v>
      </c>
      <c r="BG77" s="1" t="s">
        <v>83</v>
      </c>
    </row>
    <row r="78" spans="1:59" x14ac:dyDescent="0.35">
      <c r="A78" s="1">
        <v>77</v>
      </c>
      <c r="B78" s="1">
        <v>45839.68476851852</v>
      </c>
      <c r="C78" s="1" t="s">
        <v>676</v>
      </c>
      <c r="D78" s="1" t="s">
        <v>677</v>
      </c>
      <c r="E78" s="1" t="s">
        <v>63</v>
      </c>
      <c r="F78" s="1" t="s">
        <v>416</v>
      </c>
      <c r="G78" s="1" t="s">
        <v>678</v>
      </c>
      <c r="H78" s="1" t="s">
        <v>65</v>
      </c>
      <c r="I78" s="1" t="s">
        <v>66</v>
      </c>
      <c r="J78" s="1" t="s">
        <v>649</v>
      </c>
      <c r="K78" s="1" t="s">
        <v>679</v>
      </c>
      <c r="L78" s="1" t="s">
        <v>69</v>
      </c>
      <c r="M78" s="1" t="s">
        <v>69</v>
      </c>
      <c r="N78" s="1" t="s">
        <v>69</v>
      </c>
      <c r="O78" s="1" t="s">
        <v>69</v>
      </c>
      <c r="P78" s="1" t="s">
        <v>70</v>
      </c>
      <c r="Q78" s="1" t="s">
        <v>71</v>
      </c>
      <c r="R78" s="1" t="s">
        <v>680</v>
      </c>
      <c r="S78" s="1">
        <v>39</v>
      </c>
      <c r="T78" s="1" t="s">
        <v>153</v>
      </c>
      <c r="U78" s="1" t="s">
        <v>254</v>
      </c>
      <c r="V78" s="1" t="s">
        <v>681</v>
      </c>
      <c r="W78" s="1" t="s">
        <v>413</v>
      </c>
      <c r="X78" s="1">
        <v>5</v>
      </c>
      <c r="Y78" s="1">
        <v>5</v>
      </c>
      <c r="Z78" s="1" t="s">
        <v>83</v>
      </c>
      <c r="AA78" s="1">
        <v>6</v>
      </c>
      <c r="AB78" s="1">
        <v>6</v>
      </c>
      <c r="AC78" s="1" t="s">
        <v>83</v>
      </c>
      <c r="AD78" s="1">
        <v>5</v>
      </c>
      <c r="AE78" s="1">
        <v>5</v>
      </c>
      <c r="AF78" s="1" t="s">
        <v>83</v>
      </c>
      <c r="AG78" s="1">
        <v>3</v>
      </c>
      <c r="AH78" s="1">
        <v>4</v>
      </c>
      <c r="AI78" s="1" t="s">
        <v>2465</v>
      </c>
      <c r="AJ78" s="1">
        <v>5</v>
      </c>
      <c r="AK78" s="1">
        <v>5</v>
      </c>
      <c r="AL78" s="1" t="s">
        <v>83</v>
      </c>
      <c r="AM78" s="1">
        <v>6</v>
      </c>
      <c r="AN78" s="1">
        <v>6</v>
      </c>
      <c r="AO78" s="1" t="s">
        <v>83</v>
      </c>
      <c r="AP78" s="1">
        <v>5</v>
      </c>
      <c r="AQ78" s="1">
        <v>5</v>
      </c>
      <c r="AR78" s="1" t="s">
        <v>83</v>
      </c>
      <c r="AS78" s="1">
        <v>4</v>
      </c>
      <c r="AT78" s="1">
        <v>4</v>
      </c>
      <c r="AU78" s="1" t="s">
        <v>83</v>
      </c>
      <c r="AV78" s="1">
        <v>5</v>
      </c>
      <c r="AW78" s="1">
        <v>5</v>
      </c>
      <c r="AX78" s="1" t="s">
        <v>83</v>
      </c>
      <c r="AY78" s="1">
        <v>1</v>
      </c>
      <c r="AZ78" s="1">
        <v>2</v>
      </c>
      <c r="BA78" s="1">
        <v>0</v>
      </c>
      <c r="BB78" s="1" t="s">
        <v>83</v>
      </c>
      <c r="BC78" s="1">
        <v>0</v>
      </c>
      <c r="BD78" s="1" t="s">
        <v>682</v>
      </c>
      <c r="BE78" s="1" t="s">
        <v>683</v>
      </c>
      <c r="BF78" s="1" t="s">
        <v>684</v>
      </c>
      <c r="BG78" s="1" t="s">
        <v>83</v>
      </c>
    </row>
    <row r="79" spans="1:59" x14ac:dyDescent="0.35">
      <c r="A79" s="1">
        <v>78</v>
      </c>
      <c r="B79" s="1">
        <v>45839.694803240738</v>
      </c>
      <c r="C79" s="1" t="s">
        <v>686</v>
      </c>
      <c r="D79" s="1" t="s">
        <v>687</v>
      </c>
      <c r="E79" s="1" t="s">
        <v>63</v>
      </c>
      <c r="F79" s="1" t="s">
        <v>86</v>
      </c>
      <c r="G79" s="1" t="s">
        <v>688</v>
      </c>
      <c r="H79" s="1" t="s">
        <v>65</v>
      </c>
      <c r="I79" s="1" t="s">
        <v>66</v>
      </c>
      <c r="J79" s="1" t="s">
        <v>639</v>
      </c>
      <c r="K79" s="1" t="s">
        <v>689</v>
      </c>
      <c r="L79" s="1" t="s">
        <v>69</v>
      </c>
      <c r="M79" s="1" t="s">
        <v>69</v>
      </c>
      <c r="N79" s="1" t="s">
        <v>69</v>
      </c>
      <c r="O79" s="1" t="s">
        <v>69</v>
      </c>
      <c r="P79" s="1" t="s">
        <v>106</v>
      </c>
      <c r="Q79" s="1" t="s">
        <v>71</v>
      </c>
      <c r="R79" s="1" t="s">
        <v>499</v>
      </c>
      <c r="S79" s="1">
        <v>22</v>
      </c>
      <c r="T79" s="1" t="s">
        <v>72</v>
      </c>
      <c r="U79" s="1" t="s">
        <v>73</v>
      </c>
      <c r="V79" s="1" t="s">
        <v>74</v>
      </c>
      <c r="W79" s="1" t="s">
        <v>74</v>
      </c>
      <c r="X79" s="1">
        <v>5</v>
      </c>
      <c r="Y79" s="1">
        <v>5</v>
      </c>
      <c r="Z79" s="1" t="s">
        <v>83</v>
      </c>
      <c r="AA79" s="1">
        <v>5</v>
      </c>
      <c r="AB79" s="1">
        <v>5</v>
      </c>
      <c r="AC79" s="1" t="s">
        <v>83</v>
      </c>
      <c r="AD79" s="1">
        <v>5</v>
      </c>
      <c r="AE79" s="1">
        <v>5</v>
      </c>
      <c r="AF79" s="1" t="s">
        <v>83</v>
      </c>
      <c r="AG79" s="1">
        <v>5</v>
      </c>
      <c r="AH79" s="1">
        <v>5</v>
      </c>
      <c r="AI79" s="1" t="s">
        <v>83</v>
      </c>
      <c r="AJ79" s="1">
        <v>5</v>
      </c>
      <c r="AK79" s="1">
        <v>5</v>
      </c>
      <c r="AL79" s="1" t="s">
        <v>83</v>
      </c>
      <c r="AM79" s="1">
        <v>5</v>
      </c>
      <c r="AN79" s="1">
        <v>5</v>
      </c>
      <c r="AO79" s="1" t="s">
        <v>83</v>
      </c>
      <c r="AP79" s="1">
        <v>5</v>
      </c>
      <c r="AQ79" s="1">
        <v>5</v>
      </c>
      <c r="AR79" s="1" t="s">
        <v>83</v>
      </c>
      <c r="AS79" s="1">
        <v>5</v>
      </c>
      <c r="AT79" s="1">
        <v>5</v>
      </c>
      <c r="AU79" s="1" t="s">
        <v>83</v>
      </c>
      <c r="AV79" s="1">
        <v>5</v>
      </c>
      <c r="AW79" s="1">
        <v>5</v>
      </c>
      <c r="AX79" s="1" t="s">
        <v>83</v>
      </c>
      <c r="AY79" s="1">
        <v>2</v>
      </c>
      <c r="AZ79" s="1">
        <v>0</v>
      </c>
      <c r="BA79" s="1">
        <v>0</v>
      </c>
      <c r="BB79" s="1" t="s">
        <v>83</v>
      </c>
      <c r="BC79" s="1">
        <v>0</v>
      </c>
      <c r="BD79" s="1" t="s">
        <v>528</v>
      </c>
      <c r="BE79" s="1" t="s">
        <v>690</v>
      </c>
      <c r="BF79" s="1" t="s">
        <v>691</v>
      </c>
      <c r="BG79" s="1" t="s">
        <v>83</v>
      </c>
    </row>
    <row r="80" spans="1:59" x14ac:dyDescent="0.35">
      <c r="A80" s="1">
        <v>79</v>
      </c>
      <c r="B80" s="1">
        <v>45839.695532407408</v>
      </c>
      <c r="C80" s="1" t="s">
        <v>692</v>
      </c>
      <c r="D80" s="1" t="s">
        <v>693</v>
      </c>
      <c r="E80" s="1" t="s">
        <v>63</v>
      </c>
      <c r="F80" s="1" t="s">
        <v>125</v>
      </c>
      <c r="G80" s="1" t="s">
        <v>694</v>
      </c>
      <c r="H80" s="1" t="s">
        <v>65</v>
      </c>
      <c r="I80" s="1" t="s">
        <v>66</v>
      </c>
      <c r="J80" s="1" t="s">
        <v>649</v>
      </c>
      <c r="K80" s="1" t="s">
        <v>695</v>
      </c>
      <c r="L80" s="1" t="s">
        <v>69</v>
      </c>
      <c r="M80" s="1" t="s">
        <v>69</v>
      </c>
      <c r="N80" s="1" t="s">
        <v>69</v>
      </c>
      <c r="O80" s="1" t="s">
        <v>69</v>
      </c>
      <c r="P80" s="1" t="s">
        <v>106</v>
      </c>
      <c r="Q80" s="1" t="s">
        <v>71</v>
      </c>
      <c r="R80" s="1" t="s">
        <v>431</v>
      </c>
      <c r="S80" s="1">
        <v>19</v>
      </c>
      <c r="T80" s="1" t="s">
        <v>131</v>
      </c>
      <c r="U80" s="1" t="s">
        <v>73</v>
      </c>
      <c r="V80" s="1" t="s">
        <v>696</v>
      </c>
      <c r="W80" s="1" t="s">
        <v>133</v>
      </c>
      <c r="X80" s="1">
        <v>6</v>
      </c>
      <c r="Y80" s="1">
        <v>6</v>
      </c>
      <c r="Z80" s="1" t="s">
        <v>83</v>
      </c>
      <c r="AA80" s="1">
        <v>5</v>
      </c>
      <c r="AB80" s="1">
        <v>5</v>
      </c>
      <c r="AC80" s="1" t="s">
        <v>83</v>
      </c>
      <c r="AD80" s="1">
        <v>5</v>
      </c>
      <c r="AE80" s="1">
        <v>5</v>
      </c>
      <c r="AF80" s="1" t="s">
        <v>83</v>
      </c>
      <c r="AG80" s="1">
        <v>6</v>
      </c>
      <c r="AH80" s="1">
        <v>6</v>
      </c>
      <c r="AI80" s="1" t="s">
        <v>83</v>
      </c>
      <c r="AJ80" s="1">
        <v>6</v>
      </c>
      <c r="AK80" s="1">
        <v>6</v>
      </c>
      <c r="AL80" s="1" t="s">
        <v>83</v>
      </c>
      <c r="AM80" s="1">
        <v>6</v>
      </c>
      <c r="AN80" s="1">
        <v>6</v>
      </c>
      <c r="AO80" s="1" t="s">
        <v>83</v>
      </c>
      <c r="AP80" s="1">
        <v>5</v>
      </c>
      <c r="AQ80" s="1">
        <v>6</v>
      </c>
      <c r="AR80" s="1" t="s">
        <v>83</v>
      </c>
      <c r="AS80" s="1">
        <v>6</v>
      </c>
      <c r="AT80" s="1">
        <v>6</v>
      </c>
      <c r="AU80" s="1" t="s">
        <v>83</v>
      </c>
      <c r="AV80" s="1">
        <v>6</v>
      </c>
      <c r="AW80" s="1">
        <v>6</v>
      </c>
      <c r="AX80" s="1" t="s">
        <v>83</v>
      </c>
      <c r="AY80" s="1">
        <v>0</v>
      </c>
      <c r="AZ80" s="1">
        <v>0</v>
      </c>
      <c r="BA80" s="1">
        <v>0</v>
      </c>
      <c r="BB80" s="1" t="s">
        <v>144</v>
      </c>
      <c r="BC80" s="1">
        <v>1</v>
      </c>
      <c r="BD80" s="1" t="s">
        <v>697</v>
      </c>
      <c r="BE80" s="1" t="s">
        <v>698</v>
      </c>
      <c r="BF80" s="1" t="s">
        <v>699</v>
      </c>
      <c r="BG80" s="1" t="s">
        <v>83</v>
      </c>
    </row>
    <row r="81" spans="1:59" x14ac:dyDescent="0.35">
      <c r="A81" s="1">
        <v>80</v>
      </c>
      <c r="B81" s="1">
        <v>45839.835381944446</v>
      </c>
      <c r="C81" s="1" t="s">
        <v>700</v>
      </c>
      <c r="D81" s="1" t="s">
        <v>701</v>
      </c>
      <c r="E81" s="1" t="s">
        <v>63</v>
      </c>
      <c r="F81" s="1" t="s">
        <v>63</v>
      </c>
      <c r="G81" s="1" t="s">
        <v>702</v>
      </c>
      <c r="H81" s="1" t="s">
        <v>138</v>
      </c>
      <c r="I81" s="1" t="s">
        <v>139</v>
      </c>
      <c r="J81" s="1" t="s">
        <v>703</v>
      </c>
      <c r="K81" s="1" t="s">
        <v>704</v>
      </c>
      <c r="L81" s="1" t="s">
        <v>69</v>
      </c>
      <c r="M81" s="1" t="s">
        <v>69</v>
      </c>
      <c r="N81" s="1" t="s">
        <v>69</v>
      </c>
      <c r="O81" s="1" t="s">
        <v>69</v>
      </c>
      <c r="P81" s="1" t="s">
        <v>106</v>
      </c>
      <c r="Q81" s="1" t="s">
        <v>107</v>
      </c>
      <c r="R81" s="1" t="s">
        <v>2466</v>
      </c>
      <c r="S81" s="1">
        <v>19</v>
      </c>
      <c r="T81" s="1" t="s">
        <v>131</v>
      </c>
      <c r="U81" s="1" t="s">
        <v>73</v>
      </c>
      <c r="V81" s="1" t="s">
        <v>74</v>
      </c>
      <c r="W81" s="1" t="s">
        <v>74</v>
      </c>
      <c r="X81" s="1">
        <v>5</v>
      </c>
      <c r="Y81" s="1">
        <v>5</v>
      </c>
      <c r="Z81" s="1" t="s">
        <v>83</v>
      </c>
      <c r="AA81" s="1">
        <v>5</v>
      </c>
      <c r="AB81" s="1">
        <v>5</v>
      </c>
      <c r="AC81" s="1" t="s">
        <v>83</v>
      </c>
      <c r="AD81" s="1">
        <v>5</v>
      </c>
      <c r="AE81" s="1">
        <v>5</v>
      </c>
      <c r="AF81" s="1" t="s">
        <v>83</v>
      </c>
      <c r="AG81" s="1">
        <v>5</v>
      </c>
      <c r="AH81" s="1">
        <v>5</v>
      </c>
      <c r="AI81" s="1" t="s">
        <v>83</v>
      </c>
      <c r="AJ81" s="1">
        <v>5</v>
      </c>
      <c r="AK81" s="1">
        <v>5</v>
      </c>
      <c r="AL81" s="1" t="s">
        <v>83</v>
      </c>
      <c r="AM81" s="1">
        <v>5</v>
      </c>
      <c r="AN81" s="1">
        <v>5</v>
      </c>
      <c r="AO81" s="1" t="s">
        <v>83</v>
      </c>
      <c r="AP81" s="1">
        <v>5</v>
      </c>
      <c r="AQ81" s="1">
        <v>5</v>
      </c>
      <c r="AR81" s="1" t="s">
        <v>83</v>
      </c>
      <c r="AS81" s="1">
        <v>5</v>
      </c>
      <c r="AT81" s="1">
        <v>5</v>
      </c>
      <c r="AU81" s="1" t="s">
        <v>83</v>
      </c>
      <c r="AV81" s="1">
        <v>5</v>
      </c>
      <c r="AW81" s="1">
        <v>5</v>
      </c>
      <c r="AX81" s="1" t="s">
        <v>83</v>
      </c>
      <c r="AY81" s="1">
        <v>0</v>
      </c>
      <c r="AZ81" s="1">
        <v>0</v>
      </c>
      <c r="BA81" s="1">
        <v>0</v>
      </c>
      <c r="BB81" s="1" t="s">
        <v>144</v>
      </c>
      <c r="BC81" s="1">
        <v>2</v>
      </c>
      <c r="BD81" s="1" t="s">
        <v>98</v>
      </c>
      <c r="BE81" s="1" t="s">
        <v>98</v>
      </c>
      <c r="BF81" s="1" t="s">
        <v>98</v>
      </c>
      <c r="BG81" s="1" t="s">
        <v>98</v>
      </c>
    </row>
    <row r="82" spans="1:59" x14ac:dyDescent="0.35">
      <c r="A82" s="1">
        <v>81</v>
      </c>
      <c r="B82" s="1">
        <v>45839.839837962965</v>
      </c>
      <c r="C82" s="1" t="s">
        <v>705</v>
      </c>
      <c r="D82" s="1" t="s">
        <v>480</v>
      </c>
      <c r="E82" s="1" t="s">
        <v>63</v>
      </c>
      <c r="F82" s="1" t="s">
        <v>480</v>
      </c>
      <c r="G82" s="1" t="s">
        <v>706</v>
      </c>
      <c r="H82" s="1" t="s">
        <v>138</v>
      </c>
      <c r="I82" s="1" t="s">
        <v>139</v>
      </c>
      <c r="J82" s="1" t="s">
        <v>703</v>
      </c>
      <c r="K82" s="1" t="s">
        <v>707</v>
      </c>
      <c r="L82" s="1" t="s">
        <v>69</v>
      </c>
      <c r="M82" s="1" t="s">
        <v>69</v>
      </c>
      <c r="N82" s="1" t="s">
        <v>69</v>
      </c>
      <c r="O82" s="1" t="s">
        <v>69</v>
      </c>
      <c r="P82" s="1" t="s">
        <v>106</v>
      </c>
      <c r="Q82" s="1" t="s">
        <v>292</v>
      </c>
      <c r="R82" s="1" t="s">
        <v>2467</v>
      </c>
      <c r="S82" s="1">
        <v>21</v>
      </c>
      <c r="T82" s="1" t="s">
        <v>72</v>
      </c>
      <c r="U82" s="1" t="s">
        <v>73</v>
      </c>
      <c r="V82" s="1" t="s">
        <v>74</v>
      </c>
      <c r="W82" s="1" t="s">
        <v>74</v>
      </c>
      <c r="X82" s="1">
        <v>5</v>
      </c>
      <c r="Y82" s="1">
        <v>6</v>
      </c>
      <c r="Z82" s="1" t="s">
        <v>83</v>
      </c>
      <c r="AA82" s="1">
        <v>5</v>
      </c>
      <c r="AB82" s="1">
        <v>5</v>
      </c>
      <c r="AC82" s="1" t="s">
        <v>83</v>
      </c>
      <c r="AD82" s="1">
        <v>5</v>
      </c>
      <c r="AE82" s="1">
        <v>6</v>
      </c>
      <c r="AF82" s="1" t="s">
        <v>83</v>
      </c>
      <c r="AG82" s="1">
        <v>6</v>
      </c>
      <c r="AH82" s="1">
        <v>6</v>
      </c>
      <c r="AI82" s="1" t="s">
        <v>83</v>
      </c>
      <c r="AJ82" s="1">
        <v>5</v>
      </c>
      <c r="AK82" s="1">
        <v>6</v>
      </c>
      <c r="AL82" s="1" t="s">
        <v>83</v>
      </c>
      <c r="AM82" s="1">
        <v>6</v>
      </c>
      <c r="AN82" s="1">
        <v>5</v>
      </c>
      <c r="AO82" s="1" t="s">
        <v>83</v>
      </c>
      <c r="AP82" s="1">
        <v>6</v>
      </c>
      <c r="AQ82" s="1">
        <v>6</v>
      </c>
      <c r="AR82" s="1" t="s">
        <v>83</v>
      </c>
      <c r="AS82" s="1">
        <v>5</v>
      </c>
      <c r="AT82" s="1">
        <v>6</v>
      </c>
      <c r="AU82" s="1" t="s">
        <v>83</v>
      </c>
      <c r="AV82" s="1">
        <v>6</v>
      </c>
      <c r="AW82" s="1">
        <v>6</v>
      </c>
      <c r="AX82" s="1" t="s">
        <v>83</v>
      </c>
      <c r="AY82" s="1">
        <v>2</v>
      </c>
      <c r="AZ82" s="1">
        <v>0</v>
      </c>
      <c r="BA82" s="1">
        <v>0</v>
      </c>
      <c r="BB82" s="1" t="s">
        <v>83</v>
      </c>
      <c r="BC82" s="1">
        <v>0</v>
      </c>
      <c r="BD82" s="1" t="s">
        <v>98</v>
      </c>
      <c r="BE82" s="1" t="s">
        <v>708</v>
      </c>
      <c r="BF82" s="1" t="s">
        <v>98</v>
      </c>
      <c r="BG82" s="1" t="s">
        <v>98</v>
      </c>
    </row>
    <row r="83" spans="1:59" x14ac:dyDescent="0.35">
      <c r="A83" s="1">
        <v>82</v>
      </c>
      <c r="B83" s="1">
        <v>45839.850694444445</v>
      </c>
      <c r="C83" s="1" t="s">
        <v>709</v>
      </c>
      <c r="D83" s="1" t="s">
        <v>710</v>
      </c>
      <c r="E83" s="1" t="s">
        <v>63</v>
      </c>
      <c r="F83" s="1" t="s">
        <v>86</v>
      </c>
      <c r="G83" s="1" t="s">
        <v>711</v>
      </c>
      <c r="H83" s="1" t="s">
        <v>210</v>
      </c>
      <c r="I83" s="1" t="s">
        <v>211</v>
      </c>
      <c r="J83" s="1" t="s">
        <v>703</v>
      </c>
      <c r="K83" s="1" t="s">
        <v>712</v>
      </c>
      <c r="L83" s="1" t="s">
        <v>69</v>
      </c>
      <c r="M83" s="1" t="s">
        <v>69</v>
      </c>
      <c r="N83" s="1" t="s">
        <v>69</v>
      </c>
      <c r="O83" s="1" t="s">
        <v>69</v>
      </c>
      <c r="P83" s="1" t="s">
        <v>70</v>
      </c>
      <c r="Q83" s="1" t="s">
        <v>292</v>
      </c>
      <c r="R83" s="1" t="s">
        <v>2468</v>
      </c>
      <c r="S83" s="1">
        <v>18</v>
      </c>
      <c r="T83" s="1" t="s">
        <v>131</v>
      </c>
      <c r="U83" s="1" t="s">
        <v>73</v>
      </c>
      <c r="V83" s="1" t="s">
        <v>94</v>
      </c>
      <c r="W83" s="1" t="s">
        <v>95</v>
      </c>
      <c r="X83" s="1">
        <v>4</v>
      </c>
      <c r="Y83" s="1">
        <v>5</v>
      </c>
      <c r="Z83" s="1" t="s">
        <v>83</v>
      </c>
      <c r="AA83" s="1">
        <v>3</v>
      </c>
      <c r="AB83" s="1">
        <v>5</v>
      </c>
      <c r="AC83" s="1" t="s">
        <v>2469</v>
      </c>
      <c r="AD83" s="1">
        <v>3</v>
      </c>
      <c r="AE83" s="1">
        <v>4</v>
      </c>
      <c r="AF83" s="1" t="s">
        <v>2470</v>
      </c>
      <c r="AG83" s="1">
        <v>4</v>
      </c>
      <c r="AH83" s="1">
        <v>5</v>
      </c>
      <c r="AI83" s="1" t="s">
        <v>83</v>
      </c>
      <c r="AJ83" s="1">
        <v>5</v>
      </c>
      <c r="AK83" s="1">
        <v>5</v>
      </c>
      <c r="AL83" s="1" t="s">
        <v>83</v>
      </c>
      <c r="AM83" s="1">
        <v>4</v>
      </c>
      <c r="AN83" s="1">
        <v>5</v>
      </c>
      <c r="AO83" s="1" t="s">
        <v>83</v>
      </c>
      <c r="AP83" s="1">
        <v>3</v>
      </c>
      <c r="AQ83" s="1">
        <v>4</v>
      </c>
      <c r="AR83" s="1" t="s">
        <v>2471</v>
      </c>
      <c r="AS83" s="1">
        <v>4</v>
      </c>
      <c r="AT83" s="1">
        <v>4</v>
      </c>
      <c r="AU83" s="1" t="s">
        <v>83</v>
      </c>
      <c r="AV83" s="1">
        <v>6</v>
      </c>
      <c r="AW83" s="1">
        <v>5</v>
      </c>
      <c r="AX83" s="1" t="s">
        <v>83</v>
      </c>
      <c r="AY83" s="1">
        <v>0</v>
      </c>
      <c r="AZ83" s="1">
        <v>0</v>
      </c>
      <c r="BA83" s="1">
        <v>2</v>
      </c>
      <c r="BB83" s="1" t="s">
        <v>83</v>
      </c>
      <c r="BC83" s="1">
        <v>0</v>
      </c>
      <c r="BD83" s="1" t="s">
        <v>713</v>
      </c>
      <c r="BE83" s="1" t="s">
        <v>714</v>
      </c>
      <c r="BF83" s="1" t="s">
        <v>98</v>
      </c>
      <c r="BG83" s="1" t="s">
        <v>98</v>
      </c>
    </row>
    <row r="84" spans="1:59" x14ac:dyDescent="0.35">
      <c r="A84" s="1">
        <v>83</v>
      </c>
      <c r="B84" s="1">
        <v>45839.854386574072</v>
      </c>
      <c r="C84" s="1" t="s">
        <v>715</v>
      </c>
      <c r="D84" s="1" t="s">
        <v>716</v>
      </c>
      <c r="E84" s="1" t="s">
        <v>63</v>
      </c>
      <c r="F84" s="1" t="s">
        <v>338</v>
      </c>
      <c r="G84" s="1" t="s">
        <v>717</v>
      </c>
      <c r="H84" s="1" t="s">
        <v>138</v>
      </c>
      <c r="I84" s="1" t="s">
        <v>139</v>
      </c>
      <c r="J84" s="1" t="s">
        <v>703</v>
      </c>
      <c r="K84" s="1" t="s">
        <v>718</v>
      </c>
      <c r="L84" s="1" t="s">
        <v>69</v>
      </c>
      <c r="M84" s="1" t="s">
        <v>69</v>
      </c>
      <c r="N84" s="1" t="s">
        <v>69</v>
      </c>
      <c r="O84" s="1" t="s">
        <v>69</v>
      </c>
      <c r="P84" s="1" t="s">
        <v>106</v>
      </c>
      <c r="Q84" s="1" t="s">
        <v>71</v>
      </c>
      <c r="R84" s="1" t="s">
        <v>2438</v>
      </c>
      <c r="S84" s="1">
        <v>18</v>
      </c>
      <c r="T84" s="1" t="s">
        <v>131</v>
      </c>
      <c r="U84" s="1" t="s">
        <v>73</v>
      </c>
      <c r="V84" s="1" t="s">
        <v>719</v>
      </c>
      <c r="W84" s="1" t="s">
        <v>95</v>
      </c>
      <c r="X84" s="1">
        <v>6</v>
      </c>
      <c r="Y84" s="1">
        <v>6</v>
      </c>
      <c r="Z84" s="1" t="s">
        <v>83</v>
      </c>
      <c r="AA84" s="1">
        <v>6</v>
      </c>
      <c r="AB84" s="1">
        <v>6</v>
      </c>
      <c r="AC84" s="1" t="s">
        <v>83</v>
      </c>
      <c r="AD84" s="1">
        <v>6</v>
      </c>
      <c r="AE84" s="1">
        <v>6</v>
      </c>
      <c r="AF84" s="1" t="s">
        <v>83</v>
      </c>
      <c r="AG84" s="1">
        <v>6</v>
      </c>
      <c r="AH84" s="1">
        <v>6</v>
      </c>
      <c r="AI84" s="1" t="s">
        <v>83</v>
      </c>
      <c r="AJ84" s="1">
        <v>6</v>
      </c>
      <c r="AK84" s="1">
        <v>6</v>
      </c>
      <c r="AL84" s="1" t="s">
        <v>83</v>
      </c>
      <c r="AM84" s="1">
        <v>6</v>
      </c>
      <c r="AN84" s="1">
        <v>6</v>
      </c>
      <c r="AO84" s="1" t="s">
        <v>83</v>
      </c>
      <c r="AP84" s="1">
        <v>6</v>
      </c>
      <c r="AQ84" s="1">
        <v>6</v>
      </c>
      <c r="AR84" s="1" t="s">
        <v>83</v>
      </c>
      <c r="AS84" s="1">
        <v>6</v>
      </c>
      <c r="AT84" s="1">
        <v>6</v>
      </c>
      <c r="AU84" s="1" t="s">
        <v>83</v>
      </c>
      <c r="AV84" s="1">
        <v>6</v>
      </c>
      <c r="AW84" s="1">
        <v>6</v>
      </c>
      <c r="AX84" s="1" t="s">
        <v>83</v>
      </c>
      <c r="AY84" s="1">
        <v>2</v>
      </c>
      <c r="AZ84" s="1">
        <v>0</v>
      </c>
      <c r="BA84" s="1">
        <v>0</v>
      </c>
      <c r="BB84" s="1" t="s">
        <v>83</v>
      </c>
      <c r="BC84" s="1">
        <v>0</v>
      </c>
      <c r="BD84" s="1" t="s">
        <v>720</v>
      </c>
      <c r="BE84" s="1" t="s">
        <v>98</v>
      </c>
      <c r="BF84" s="1" t="s">
        <v>98</v>
      </c>
      <c r="BG84" s="1" t="s">
        <v>98</v>
      </c>
    </row>
    <row r="85" spans="1:59" x14ac:dyDescent="0.35">
      <c r="A85" s="1">
        <v>84</v>
      </c>
      <c r="B85" s="1">
        <v>45839.859513888892</v>
      </c>
      <c r="C85" s="1" t="s">
        <v>721</v>
      </c>
      <c r="D85" s="1" t="s">
        <v>722</v>
      </c>
      <c r="E85" s="1" t="s">
        <v>63</v>
      </c>
      <c r="F85" s="1" t="s">
        <v>312</v>
      </c>
      <c r="G85" s="1" t="s">
        <v>723</v>
      </c>
      <c r="H85" s="1" t="s">
        <v>210</v>
      </c>
      <c r="I85" s="1" t="s">
        <v>211</v>
      </c>
      <c r="J85" s="1" t="s">
        <v>703</v>
      </c>
      <c r="K85" s="1" t="s">
        <v>724</v>
      </c>
      <c r="L85" s="1" t="s">
        <v>69</v>
      </c>
      <c r="M85" s="1" t="s">
        <v>69</v>
      </c>
      <c r="N85" s="1" t="s">
        <v>69</v>
      </c>
      <c r="O85" s="1" t="s">
        <v>69</v>
      </c>
      <c r="P85" s="1" t="s">
        <v>106</v>
      </c>
      <c r="Q85" s="1" t="s">
        <v>71</v>
      </c>
      <c r="R85" s="1" t="s">
        <v>2472</v>
      </c>
      <c r="S85" s="1">
        <v>22</v>
      </c>
      <c r="T85" s="1" t="s">
        <v>72</v>
      </c>
      <c r="U85" s="1" t="s">
        <v>254</v>
      </c>
      <c r="V85" s="1" t="s">
        <v>94</v>
      </c>
      <c r="W85" s="1" t="s">
        <v>95</v>
      </c>
      <c r="X85" s="1">
        <v>5</v>
      </c>
      <c r="Y85" s="1">
        <v>6</v>
      </c>
      <c r="Z85" s="1" t="s">
        <v>83</v>
      </c>
      <c r="AA85" s="1">
        <v>6</v>
      </c>
      <c r="AB85" s="1">
        <v>6</v>
      </c>
      <c r="AC85" s="1" t="s">
        <v>83</v>
      </c>
      <c r="AD85" s="1">
        <v>6</v>
      </c>
      <c r="AE85" s="1">
        <v>6</v>
      </c>
      <c r="AF85" s="1" t="s">
        <v>83</v>
      </c>
      <c r="AG85" s="1">
        <v>6</v>
      </c>
      <c r="AH85" s="1">
        <v>6</v>
      </c>
      <c r="AI85" s="1" t="s">
        <v>83</v>
      </c>
      <c r="AJ85" s="1">
        <v>6</v>
      </c>
      <c r="AK85" s="1">
        <v>6</v>
      </c>
      <c r="AL85" s="1" t="s">
        <v>83</v>
      </c>
      <c r="AM85" s="1">
        <v>6</v>
      </c>
      <c r="AN85" s="1">
        <v>6</v>
      </c>
      <c r="AO85" s="1" t="s">
        <v>83</v>
      </c>
      <c r="AP85" s="1">
        <v>6</v>
      </c>
      <c r="AQ85" s="1">
        <v>6</v>
      </c>
      <c r="AR85" s="1" t="s">
        <v>83</v>
      </c>
      <c r="AS85" s="1">
        <v>6</v>
      </c>
      <c r="AT85" s="1">
        <v>6</v>
      </c>
      <c r="AU85" s="1" t="s">
        <v>83</v>
      </c>
      <c r="AV85" s="1">
        <v>5</v>
      </c>
      <c r="AW85" s="1">
        <v>5</v>
      </c>
      <c r="AX85" s="1" t="s">
        <v>83</v>
      </c>
      <c r="AY85" s="1">
        <v>0</v>
      </c>
      <c r="AZ85" s="1">
        <v>2</v>
      </c>
      <c r="BA85" s="1">
        <v>0</v>
      </c>
      <c r="BB85" s="1" t="s">
        <v>83</v>
      </c>
      <c r="BC85" s="1">
        <v>0</v>
      </c>
      <c r="BD85" s="1" t="s">
        <v>98</v>
      </c>
      <c r="BE85" s="1" t="s">
        <v>98</v>
      </c>
      <c r="BF85" s="1" t="s">
        <v>725</v>
      </c>
      <c r="BG85" s="1" t="s">
        <v>98</v>
      </c>
    </row>
    <row r="86" spans="1:59" x14ac:dyDescent="0.35">
      <c r="A86" s="1">
        <v>85</v>
      </c>
      <c r="B86" s="1">
        <v>45839.864247685182</v>
      </c>
      <c r="C86" s="1" t="s">
        <v>726</v>
      </c>
      <c r="D86" s="1" t="s">
        <v>727</v>
      </c>
      <c r="E86" s="1" t="s">
        <v>63</v>
      </c>
      <c r="F86" s="1" t="s">
        <v>416</v>
      </c>
      <c r="G86" s="1" t="s">
        <v>728</v>
      </c>
      <c r="H86" s="1" t="s">
        <v>210</v>
      </c>
      <c r="I86" s="1" t="s">
        <v>211</v>
      </c>
      <c r="J86" s="1" t="s">
        <v>703</v>
      </c>
      <c r="K86" s="1" t="s">
        <v>262</v>
      </c>
      <c r="L86" s="1" t="s">
        <v>69</v>
      </c>
      <c r="M86" s="1" t="s">
        <v>69</v>
      </c>
      <c r="N86" s="1" t="s">
        <v>69</v>
      </c>
      <c r="O86" s="1" t="s">
        <v>69</v>
      </c>
      <c r="P86" s="1" t="s">
        <v>106</v>
      </c>
      <c r="Q86" s="1" t="s">
        <v>71</v>
      </c>
      <c r="R86" s="1" t="s">
        <v>2438</v>
      </c>
      <c r="S86" s="1">
        <v>18</v>
      </c>
      <c r="T86" s="1" t="s">
        <v>131</v>
      </c>
      <c r="U86" s="1" t="s">
        <v>73</v>
      </c>
      <c r="V86" s="1" t="s">
        <v>729</v>
      </c>
      <c r="W86" s="1" t="s">
        <v>133</v>
      </c>
      <c r="X86" s="1">
        <v>6</v>
      </c>
      <c r="Y86" s="1">
        <v>6</v>
      </c>
      <c r="Z86" s="1" t="s">
        <v>83</v>
      </c>
      <c r="AA86" s="1">
        <v>6</v>
      </c>
      <c r="AB86" s="1">
        <v>6</v>
      </c>
      <c r="AC86" s="1" t="s">
        <v>83</v>
      </c>
      <c r="AD86" s="1">
        <v>6</v>
      </c>
      <c r="AE86" s="1">
        <v>6</v>
      </c>
      <c r="AF86" s="1" t="s">
        <v>83</v>
      </c>
      <c r="AG86" s="1">
        <v>6</v>
      </c>
      <c r="AH86" s="1">
        <v>6</v>
      </c>
      <c r="AI86" s="1" t="s">
        <v>83</v>
      </c>
      <c r="AJ86" s="1">
        <v>6</v>
      </c>
      <c r="AK86" s="1">
        <v>6</v>
      </c>
      <c r="AL86" s="1" t="s">
        <v>83</v>
      </c>
      <c r="AM86" s="1">
        <v>6</v>
      </c>
      <c r="AN86" s="1">
        <v>6</v>
      </c>
      <c r="AO86" s="1" t="s">
        <v>83</v>
      </c>
      <c r="AP86" s="1">
        <v>6</v>
      </c>
      <c r="AQ86" s="1">
        <v>6</v>
      </c>
      <c r="AR86" s="1" t="s">
        <v>83</v>
      </c>
      <c r="AS86" s="1">
        <v>6</v>
      </c>
      <c r="AT86" s="1">
        <v>6</v>
      </c>
      <c r="AU86" s="1" t="s">
        <v>83</v>
      </c>
      <c r="AV86" s="1">
        <v>6</v>
      </c>
      <c r="AW86" s="1">
        <v>6</v>
      </c>
      <c r="AX86" s="1" t="s">
        <v>83</v>
      </c>
      <c r="AY86" s="1">
        <v>0</v>
      </c>
      <c r="AZ86" s="1">
        <v>1</v>
      </c>
      <c r="BA86" s="1">
        <v>0</v>
      </c>
      <c r="BB86" s="1" t="s">
        <v>83</v>
      </c>
      <c r="BC86" s="1">
        <v>0</v>
      </c>
      <c r="BD86" s="1" t="s">
        <v>98</v>
      </c>
      <c r="BE86" s="1" t="s">
        <v>98</v>
      </c>
      <c r="BF86" s="1" t="s">
        <v>98</v>
      </c>
      <c r="BG86" s="1" t="s">
        <v>98</v>
      </c>
    </row>
    <row r="87" spans="1:59" x14ac:dyDescent="0.35">
      <c r="A87" s="1">
        <v>86</v>
      </c>
      <c r="B87" s="1">
        <v>45839.871574074074</v>
      </c>
      <c r="C87" s="1" t="s">
        <v>730</v>
      </c>
      <c r="D87" s="1" t="s">
        <v>731</v>
      </c>
      <c r="E87" s="1" t="s">
        <v>63</v>
      </c>
      <c r="F87" s="1" t="s">
        <v>63</v>
      </c>
      <c r="G87" s="1" t="s">
        <v>732</v>
      </c>
      <c r="H87" s="1" t="s">
        <v>210</v>
      </c>
      <c r="I87" s="1" t="s">
        <v>211</v>
      </c>
      <c r="J87" s="1" t="s">
        <v>703</v>
      </c>
      <c r="K87" s="1" t="s">
        <v>733</v>
      </c>
      <c r="L87" s="1" t="s">
        <v>69</v>
      </c>
      <c r="M87" s="1" t="s">
        <v>69</v>
      </c>
      <c r="N87" s="1" t="s">
        <v>83</v>
      </c>
      <c r="O87" s="1" t="s">
        <v>69</v>
      </c>
      <c r="P87" s="1" t="s">
        <v>70</v>
      </c>
      <c r="Q87" s="1" t="s">
        <v>71</v>
      </c>
      <c r="R87" s="1" t="s">
        <v>2473</v>
      </c>
      <c r="S87" s="1">
        <v>40</v>
      </c>
      <c r="T87" s="1" t="s">
        <v>153</v>
      </c>
      <c r="U87" s="1" t="s">
        <v>73</v>
      </c>
      <c r="V87" s="1" t="s">
        <v>110</v>
      </c>
      <c r="W87" s="1" t="s">
        <v>110</v>
      </c>
      <c r="X87" s="1">
        <v>5</v>
      </c>
      <c r="Y87" s="1">
        <v>6</v>
      </c>
      <c r="Z87" s="1" t="s">
        <v>83</v>
      </c>
      <c r="AA87" s="1">
        <v>5</v>
      </c>
      <c r="AB87" s="1">
        <v>6</v>
      </c>
      <c r="AC87" s="1" t="s">
        <v>83</v>
      </c>
      <c r="AD87" s="1">
        <v>6</v>
      </c>
      <c r="AE87" s="1">
        <v>6</v>
      </c>
      <c r="AF87" s="1" t="s">
        <v>83</v>
      </c>
      <c r="AG87" s="1">
        <v>5</v>
      </c>
      <c r="AH87" s="1">
        <v>6</v>
      </c>
      <c r="AI87" s="1" t="s">
        <v>83</v>
      </c>
      <c r="AJ87" s="1">
        <v>6</v>
      </c>
      <c r="AK87" s="1">
        <v>6</v>
      </c>
      <c r="AL87" s="1" t="s">
        <v>83</v>
      </c>
      <c r="AM87" s="1">
        <v>6</v>
      </c>
      <c r="AN87" s="1">
        <v>6</v>
      </c>
      <c r="AO87" s="1" t="s">
        <v>83</v>
      </c>
      <c r="AP87" s="1">
        <v>6</v>
      </c>
      <c r="AQ87" s="1">
        <v>6</v>
      </c>
      <c r="AR87" s="1" t="s">
        <v>83</v>
      </c>
      <c r="AS87" s="1">
        <v>6</v>
      </c>
      <c r="AT87" s="1">
        <v>6</v>
      </c>
      <c r="AU87" s="1" t="s">
        <v>83</v>
      </c>
      <c r="AV87" s="1">
        <v>6</v>
      </c>
      <c r="AW87" s="1">
        <v>6</v>
      </c>
      <c r="AX87" s="1" t="s">
        <v>83</v>
      </c>
      <c r="AY87" s="1">
        <v>0</v>
      </c>
      <c r="AZ87" s="1">
        <v>0</v>
      </c>
      <c r="BA87" s="1">
        <v>0</v>
      </c>
      <c r="BB87" s="1" t="s">
        <v>734</v>
      </c>
      <c r="BC87" s="1">
        <v>2</v>
      </c>
      <c r="BD87" s="1" t="s">
        <v>98</v>
      </c>
      <c r="BE87" s="1" t="s">
        <v>98</v>
      </c>
      <c r="BF87" s="1" t="s">
        <v>98</v>
      </c>
      <c r="BG87" s="1" t="s">
        <v>98</v>
      </c>
    </row>
    <row r="88" spans="1:59" x14ac:dyDescent="0.35">
      <c r="A88" s="1">
        <v>87</v>
      </c>
      <c r="B88" s="1">
        <v>45839.87939814815</v>
      </c>
      <c r="C88" s="1" t="s">
        <v>735</v>
      </c>
      <c r="D88" s="1" t="s">
        <v>736</v>
      </c>
      <c r="E88" s="1" t="s">
        <v>63</v>
      </c>
      <c r="F88" s="1" t="s">
        <v>63</v>
      </c>
      <c r="G88" s="1" t="s">
        <v>737</v>
      </c>
      <c r="H88" s="1" t="s">
        <v>138</v>
      </c>
      <c r="I88" s="1" t="s">
        <v>139</v>
      </c>
      <c r="J88" s="1" t="s">
        <v>703</v>
      </c>
      <c r="K88" s="1" t="s">
        <v>738</v>
      </c>
      <c r="L88" s="1" t="s">
        <v>69</v>
      </c>
      <c r="M88" s="1" t="s">
        <v>69</v>
      </c>
      <c r="N88" s="1" t="s">
        <v>69</v>
      </c>
      <c r="O88" s="1" t="s">
        <v>69</v>
      </c>
      <c r="P88" s="1" t="s">
        <v>70</v>
      </c>
      <c r="Q88" s="1" t="s">
        <v>71</v>
      </c>
      <c r="R88" s="1" t="s">
        <v>2466</v>
      </c>
      <c r="S88" s="1">
        <v>19</v>
      </c>
      <c r="T88" s="1" t="s">
        <v>131</v>
      </c>
      <c r="U88" s="1" t="s">
        <v>73</v>
      </c>
      <c r="V88" s="1" t="s">
        <v>74</v>
      </c>
      <c r="W88" s="1" t="s">
        <v>74</v>
      </c>
      <c r="X88" s="1">
        <v>5</v>
      </c>
      <c r="Y88" s="1">
        <v>6</v>
      </c>
      <c r="Z88" s="1" t="s">
        <v>83</v>
      </c>
      <c r="AA88" s="1">
        <v>5</v>
      </c>
      <c r="AB88" s="1">
        <v>5</v>
      </c>
      <c r="AC88" s="1" t="s">
        <v>83</v>
      </c>
      <c r="AD88" s="1">
        <v>6</v>
      </c>
      <c r="AE88" s="1">
        <v>6</v>
      </c>
      <c r="AF88" s="1" t="s">
        <v>83</v>
      </c>
      <c r="AG88" s="1">
        <v>5</v>
      </c>
      <c r="AH88" s="1">
        <v>5</v>
      </c>
      <c r="AI88" s="1" t="s">
        <v>83</v>
      </c>
      <c r="AJ88" s="1">
        <v>6</v>
      </c>
      <c r="AK88" s="1">
        <v>5</v>
      </c>
      <c r="AL88" s="1" t="s">
        <v>83</v>
      </c>
      <c r="AM88" s="1">
        <v>6</v>
      </c>
      <c r="AN88" s="1">
        <v>6</v>
      </c>
      <c r="AO88" s="1" t="s">
        <v>83</v>
      </c>
      <c r="AP88" s="1">
        <v>5</v>
      </c>
      <c r="AQ88" s="1">
        <v>5</v>
      </c>
      <c r="AR88" s="1" t="s">
        <v>83</v>
      </c>
      <c r="AS88" s="1">
        <v>5</v>
      </c>
      <c r="AT88" s="1">
        <v>5</v>
      </c>
      <c r="AU88" s="1" t="s">
        <v>83</v>
      </c>
      <c r="AV88" s="1">
        <v>5</v>
      </c>
      <c r="AW88" s="1">
        <v>5</v>
      </c>
      <c r="AX88" s="1" t="s">
        <v>83</v>
      </c>
      <c r="AY88" s="1">
        <v>0</v>
      </c>
      <c r="AZ88" s="1">
        <v>0</v>
      </c>
      <c r="BA88" s="1">
        <v>0</v>
      </c>
      <c r="BB88" s="1" t="s">
        <v>144</v>
      </c>
      <c r="BC88" s="1">
        <v>2</v>
      </c>
      <c r="BD88" s="1" t="s">
        <v>98</v>
      </c>
      <c r="BE88" s="1" t="s">
        <v>98</v>
      </c>
      <c r="BF88" s="1" t="s">
        <v>739</v>
      </c>
      <c r="BG88" s="1" t="s">
        <v>98</v>
      </c>
    </row>
    <row r="89" spans="1:59" x14ac:dyDescent="0.35">
      <c r="A89" s="1">
        <v>88</v>
      </c>
      <c r="B89" s="1">
        <v>45839.884884259256</v>
      </c>
      <c r="C89" s="1" t="s">
        <v>740</v>
      </c>
      <c r="D89" s="1" t="s">
        <v>741</v>
      </c>
      <c r="E89" s="1" t="s">
        <v>63</v>
      </c>
      <c r="F89" s="1" t="s">
        <v>742</v>
      </c>
      <c r="G89" s="1" t="s">
        <v>743</v>
      </c>
      <c r="H89" s="1" t="s">
        <v>138</v>
      </c>
      <c r="I89" s="1" t="s">
        <v>139</v>
      </c>
      <c r="J89" s="1" t="s">
        <v>703</v>
      </c>
      <c r="K89" s="1" t="s">
        <v>744</v>
      </c>
      <c r="L89" s="1" t="s">
        <v>69</v>
      </c>
      <c r="M89" s="1" t="s">
        <v>69</v>
      </c>
      <c r="N89" s="1" t="s">
        <v>69</v>
      </c>
      <c r="O89" s="1" t="s">
        <v>69</v>
      </c>
      <c r="P89" s="1" t="s">
        <v>70</v>
      </c>
      <c r="Q89" s="1" t="s">
        <v>71</v>
      </c>
      <c r="R89" s="1" t="s">
        <v>2474</v>
      </c>
      <c r="S89" s="1">
        <v>20</v>
      </c>
      <c r="T89" s="1" t="s">
        <v>131</v>
      </c>
      <c r="U89" s="1" t="s">
        <v>73</v>
      </c>
      <c r="V89" s="1" t="s">
        <v>719</v>
      </c>
      <c r="W89" s="1" t="s">
        <v>95</v>
      </c>
      <c r="X89" s="1">
        <v>6</v>
      </c>
      <c r="Y89" s="1">
        <v>6</v>
      </c>
      <c r="Z89" s="1" t="s">
        <v>83</v>
      </c>
      <c r="AA89" s="1">
        <v>6</v>
      </c>
      <c r="AB89" s="1">
        <v>6</v>
      </c>
      <c r="AC89" s="1" t="s">
        <v>83</v>
      </c>
      <c r="AD89" s="1">
        <v>5</v>
      </c>
      <c r="AE89" s="1">
        <v>6</v>
      </c>
      <c r="AF89" s="1" t="s">
        <v>83</v>
      </c>
      <c r="AG89" s="1">
        <v>6</v>
      </c>
      <c r="AH89" s="1">
        <v>6</v>
      </c>
      <c r="AI89" s="1" t="s">
        <v>83</v>
      </c>
      <c r="AJ89" s="1">
        <v>6</v>
      </c>
      <c r="AK89" s="1">
        <v>6</v>
      </c>
      <c r="AL89" s="1" t="s">
        <v>83</v>
      </c>
      <c r="AM89" s="1">
        <v>6</v>
      </c>
      <c r="AN89" s="1">
        <v>6</v>
      </c>
      <c r="AO89" s="1" t="s">
        <v>83</v>
      </c>
      <c r="AP89" s="1">
        <v>6</v>
      </c>
      <c r="AQ89" s="1">
        <v>6</v>
      </c>
      <c r="AR89" s="1" t="s">
        <v>83</v>
      </c>
      <c r="AS89" s="1">
        <v>6</v>
      </c>
      <c r="AT89" s="1">
        <v>6</v>
      </c>
      <c r="AU89" s="1" t="s">
        <v>83</v>
      </c>
      <c r="AV89" s="1">
        <v>6</v>
      </c>
      <c r="AW89" s="1">
        <v>6</v>
      </c>
      <c r="AX89" s="1" t="s">
        <v>83</v>
      </c>
      <c r="AY89" s="1">
        <v>1</v>
      </c>
      <c r="AZ89" s="1">
        <v>0</v>
      </c>
      <c r="BA89" s="1">
        <v>0</v>
      </c>
      <c r="BB89" s="1" t="s">
        <v>83</v>
      </c>
      <c r="BC89" s="1">
        <v>0</v>
      </c>
      <c r="BD89" s="1" t="s">
        <v>98</v>
      </c>
      <c r="BE89" s="1" t="s">
        <v>745</v>
      </c>
      <c r="BF89" s="1" t="s">
        <v>98</v>
      </c>
      <c r="BG89" s="1" t="s">
        <v>98</v>
      </c>
    </row>
    <row r="90" spans="1:59" x14ac:dyDescent="0.35">
      <c r="A90" s="1">
        <v>89</v>
      </c>
      <c r="B90" s="1">
        <v>45839.888067129628</v>
      </c>
      <c r="C90" s="1" t="s">
        <v>746</v>
      </c>
      <c r="D90" s="1" t="s">
        <v>747</v>
      </c>
      <c r="E90" s="1" t="s">
        <v>63</v>
      </c>
      <c r="F90" s="1" t="s">
        <v>63</v>
      </c>
      <c r="G90" s="1" t="s">
        <v>748</v>
      </c>
      <c r="H90" s="1" t="s">
        <v>138</v>
      </c>
      <c r="I90" s="1" t="s">
        <v>139</v>
      </c>
      <c r="J90" s="1" t="s">
        <v>703</v>
      </c>
      <c r="K90" s="1" t="s">
        <v>749</v>
      </c>
      <c r="L90" s="1" t="s">
        <v>69</v>
      </c>
      <c r="M90" s="1" t="s">
        <v>69</v>
      </c>
      <c r="N90" s="1" t="s">
        <v>69</v>
      </c>
      <c r="O90" s="1" t="s">
        <v>69</v>
      </c>
      <c r="P90" s="1" t="s">
        <v>70</v>
      </c>
      <c r="Q90" s="1" t="s">
        <v>71</v>
      </c>
      <c r="R90" s="1" t="s">
        <v>2475</v>
      </c>
      <c r="S90" s="1">
        <v>27</v>
      </c>
      <c r="T90" s="1" t="s">
        <v>92</v>
      </c>
      <c r="U90" s="1" t="s">
        <v>73</v>
      </c>
      <c r="V90" s="1" t="s">
        <v>74</v>
      </c>
      <c r="W90" s="1" t="s">
        <v>74</v>
      </c>
      <c r="X90" s="1">
        <v>6</v>
      </c>
      <c r="Y90" s="1">
        <v>6</v>
      </c>
      <c r="Z90" s="1" t="s">
        <v>83</v>
      </c>
      <c r="AA90" s="1">
        <v>6</v>
      </c>
      <c r="AB90" s="1">
        <v>6</v>
      </c>
      <c r="AC90" s="1" t="s">
        <v>83</v>
      </c>
      <c r="AD90" s="1">
        <v>6</v>
      </c>
      <c r="AE90" s="1">
        <v>6</v>
      </c>
      <c r="AF90" s="1" t="s">
        <v>83</v>
      </c>
      <c r="AG90" s="1">
        <v>6</v>
      </c>
      <c r="AH90" s="1">
        <v>6</v>
      </c>
      <c r="AI90" s="1" t="s">
        <v>83</v>
      </c>
      <c r="AJ90" s="1">
        <v>6</v>
      </c>
      <c r="AK90" s="1">
        <v>6</v>
      </c>
      <c r="AL90" s="1" t="s">
        <v>83</v>
      </c>
      <c r="AM90" s="1">
        <v>6</v>
      </c>
      <c r="AN90" s="1">
        <v>6</v>
      </c>
      <c r="AO90" s="1" t="s">
        <v>83</v>
      </c>
      <c r="AP90" s="1">
        <v>6</v>
      </c>
      <c r="AQ90" s="1">
        <v>6</v>
      </c>
      <c r="AR90" s="1" t="s">
        <v>83</v>
      </c>
      <c r="AS90" s="1">
        <v>6</v>
      </c>
      <c r="AT90" s="1">
        <v>6</v>
      </c>
      <c r="AU90" s="1" t="s">
        <v>83</v>
      </c>
      <c r="AV90" s="1">
        <v>5</v>
      </c>
      <c r="AW90" s="1">
        <v>5</v>
      </c>
      <c r="AX90" s="1" t="s">
        <v>83</v>
      </c>
      <c r="AY90" s="1">
        <v>0</v>
      </c>
      <c r="AZ90" s="1">
        <v>0</v>
      </c>
      <c r="BA90" s="1">
        <v>0</v>
      </c>
      <c r="BB90" s="1" t="s">
        <v>379</v>
      </c>
      <c r="BC90" s="1">
        <v>2</v>
      </c>
      <c r="BD90" s="1" t="s">
        <v>98</v>
      </c>
      <c r="BE90" s="1" t="s">
        <v>98</v>
      </c>
      <c r="BF90" s="1" t="s">
        <v>98</v>
      </c>
      <c r="BG90" s="1" t="s">
        <v>98</v>
      </c>
    </row>
    <row r="91" spans="1:59" x14ac:dyDescent="0.35">
      <c r="A91" s="1">
        <v>90</v>
      </c>
      <c r="B91" s="1">
        <v>45839.895104166666</v>
      </c>
      <c r="C91" s="1" t="s">
        <v>750</v>
      </c>
      <c r="D91" s="1" t="s">
        <v>751</v>
      </c>
      <c r="E91" s="1" t="s">
        <v>63</v>
      </c>
      <c r="F91" s="1" t="s">
        <v>312</v>
      </c>
      <c r="G91" s="1" t="s">
        <v>752</v>
      </c>
      <c r="H91" s="1" t="s">
        <v>210</v>
      </c>
      <c r="I91" s="1" t="s">
        <v>211</v>
      </c>
      <c r="J91" s="1" t="s">
        <v>703</v>
      </c>
      <c r="K91" s="1" t="s">
        <v>753</v>
      </c>
      <c r="L91" s="1" t="s">
        <v>69</v>
      </c>
      <c r="M91" s="1" t="s">
        <v>69</v>
      </c>
      <c r="N91" s="1" t="s">
        <v>69</v>
      </c>
      <c r="O91" s="1" t="s">
        <v>69</v>
      </c>
      <c r="P91" s="1" t="s">
        <v>70</v>
      </c>
      <c r="Q91" s="1" t="s">
        <v>71</v>
      </c>
      <c r="R91" s="1" t="s">
        <v>2463</v>
      </c>
      <c r="S91" s="1">
        <v>33</v>
      </c>
      <c r="T91" s="1" t="s">
        <v>109</v>
      </c>
      <c r="U91" s="1" t="s">
        <v>73</v>
      </c>
      <c r="V91" s="1" t="s">
        <v>232</v>
      </c>
      <c r="W91" s="1" t="s">
        <v>232</v>
      </c>
      <c r="X91" s="1">
        <v>5</v>
      </c>
      <c r="Y91" s="1">
        <v>5</v>
      </c>
      <c r="Z91" s="1" t="s">
        <v>83</v>
      </c>
      <c r="AA91" s="1">
        <v>5</v>
      </c>
      <c r="AB91" s="1">
        <v>5</v>
      </c>
      <c r="AC91" s="1" t="s">
        <v>83</v>
      </c>
      <c r="AD91" s="1">
        <v>5</v>
      </c>
      <c r="AE91" s="1">
        <v>5</v>
      </c>
      <c r="AF91" s="1" t="s">
        <v>83</v>
      </c>
      <c r="AG91" s="1">
        <v>5</v>
      </c>
      <c r="AH91" s="1">
        <v>5</v>
      </c>
      <c r="AI91" s="1" t="s">
        <v>83</v>
      </c>
      <c r="AJ91" s="1">
        <v>5</v>
      </c>
      <c r="AK91" s="1">
        <v>5</v>
      </c>
      <c r="AL91" s="1" t="s">
        <v>83</v>
      </c>
      <c r="AM91" s="1">
        <v>5</v>
      </c>
      <c r="AN91" s="1">
        <v>5</v>
      </c>
      <c r="AO91" s="1" t="s">
        <v>83</v>
      </c>
      <c r="AP91" s="1">
        <v>6</v>
      </c>
      <c r="AQ91" s="1">
        <v>6</v>
      </c>
      <c r="AR91" s="1" t="s">
        <v>83</v>
      </c>
      <c r="AS91" s="1">
        <v>5</v>
      </c>
      <c r="AT91" s="1">
        <v>5</v>
      </c>
      <c r="AU91" s="1" t="s">
        <v>83</v>
      </c>
      <c r="AV91" s="1">
        <v>4</v>
      </c>
      <c r="AW91" s="1">
        <v>4</v>
      </c>
      <c r="AX91" s="1" t="s">
        <v>83</v>
      </c>
      <c r="AY91" s="1">
        <v>0</v>
      </c>
      <c r="AZ91" s="1">
        <v>0</v>
      </c>
      <c r="BA91" s="1">
        <v>2</v>
      </c>
      <c r="BB91" s="1" t="s">
        <v>83</v>
      </c>
      <c r="BC91" s="1">
        <v>0</v>
      </c>
      <c r="BD91" s="1" t="s">
        <v>278</v>
      </c>
      <c r="BE91" s="1" t="s">
        <v>278</v>
      </c>
      <c r="BF91" s="1" t="s">
        <v>754</v>
      </c>
      <c r="BG91" s="1" t="s">
        <v>98</v>
      </c>
    </row>
    <row r="92" spans="1:59" x14ac:dyDescent="0.35">
      <c r="A92" s="1">
        <v>91</v>
      </c>
      <c r="B92" s="1">
        <v>45840.111516203702</v>
      </c>
      <c r="C92" s="1" t="s">
        <v>755</v>
      </c>
      <c r="D92" s="1" t="s">
        <v>756</v>
      </c>
      <c r="E92" s="1" t="s">
        <v>63</v>
      </c>
      <c r="F92" s="1" t="s">
        <v>757</v>
      </c>
      <c r="G92" s="1" t="s">
        <v>758</v>
      </c>
      <c r="H92" s="1" t="s">
        <v>517</v>
      </c>
      <c r="I92" s="1" t="s">
        <v>518</v>
      </c>
      <c r="J92" s="1" t="s">
        <v>703</v>
      </c>
      <c r="K92" s="1" t="s">
        <v>759</v>
      </c>
      <c r="L92" s="1" t="s">
        <v>69</v>
      </c>
      <c r="M92" s="1" t="s">
        <v>69</v>
      </c>
      <c r="N92" s="1" t="s">
        <v>69</v>
      </c>
      <c r="O92" s="1" t="s">
        <v>69</v>
      </c>
      <c r="P92" s="1" t="s">
        <v>106</v>
      </c>
      <c r="Q92" s="1" t="s">
        <v>292</v>
      </c>
      <c r="R92" s="1" t="s">
        <v>130</v>
      </c>
      <c r="S92" s="1">
        <v>18</v>
      </c>
      <c r="T92" s="1" t="s">
        <v>131</v>
      </c>
      <c r="U92" s="1" t="s">
        <v>73</v>
      </c>
      <c r="V92" s="1" t="s">
        <v>94</v>
      </c>
      <c r="W92" s="1" t="s">
        <v>95</v>
      </c>
      <c r="X92" s="1">
        <v>4</v>
      </c>
      <c r="Y92" s="1">
        <v>5</v>
      </c>
      <c r="Z92" s="1" t="s">
        <v>83</v>
      </c>
      <c r="AA92" s="1">
        <v>5</v>
      </c>
      <c r="AB92" s="1">
        <v>5</v>
      </c>
      <c r="AC92" s="1" t="s">
        <v>83</v>
      </c>
      <c r="AD92" s="1">
        <v>4</v>
      </c>
      <c r="AE92" s="1">
        <v>4</v>
      </c>
      <c r="AF92" s="1" t="s">
        <v>83</v>
      </c>
      <c r="AG92" s="1">
        <v>5</v>
      </c>
      <c r="AH92" s="1">
        <v>4</v>
      </c>
      <c r="AI92" s="1" t="s">
        <v>83</v>
      </c>
      <c r="AJ92" s="1">
        <v>5</v>
      </c>
      <c r="AK92" s="1">
        <v>5</v>
      </c>
      <c r="AL92" s="1" t="s">
        <v>83</v>
      </c>
      <c r="AM92" s="1">
        <v>5</v>
      </c>
      <c r="AN92" s="1">
        <v>6</v>
      </c>
      <c r="AO92" s="1" t="s">
        <v>83</v>
      </c>
      <c r="AP92" s="1">
        <v>5</v>
      </c>
      <c r="AQ92" s="1">
        <v>4</v>
      </c>
      <c r="AR92" s="1" t="s">
        <v>83</v>
      </c>
      <c r="AS92" s="1">
        <v>5</v>
      </c>
      <c r="AT92" s="1">
        <v>5</v>
      </c>
      <c r="AU92" s="1" t="s">
        <v>83</v>
      </c>
      <c r="AV92" s="1">
        <v>6</v>
      </c>
      <c r="AW92" s="1">
        <v>5</v>
      </c>
      <c r="AX92" s="1" t="s">
        <v>83</v>
      </c>
      <c r="AY92" s="1">
        <v>2</v>
      </c>
      <c r="AZ92" s="1">
        <v>2</v>
      </c>
      <c r="BA92" s="1">
        <v>2</v>
      </c>
      <c r="BB92" s="1" t="s">
        <v>83</v>
      </c>
      <c r="BC92" s="1">
        <v>2</v>
      </c>
      <c r="BD92" s="1" t="s">
        <v>503</v>
      </c>
      <c r="BE92" s="1" t="s">
        <v>528</v>
      </c>
      <c r="BF92" s="1" t="s">
        <v>528</v>
      </c>
      <c r="BG92" s="1" t="s">
        <v>83</v>
      </c>
    </row>
    <row r="93" spans="1:59" x14ac:dyDescent="0.35">
      <c r="A93" s="1">
        <v>92</v>
      </c>
      <c r="B93" s="1">
        <v>45840.116805555554</v>
      </c>
      <c r="C93" s="1" t="s">
        <v>760</v>
      </c>
      <c r="D93" s="1" t="s">
        <v>761</v>
      </c>
      <c r="E93" s="1" t="s">
        <v>63</v>
      </c>
      <c r="F93" s="1" t="s">
        <v>125</v>
      </c>
      <c r="G93" s="1" t="s">
        <v>762</v>
      </c>
      <c r="H93" s="1" t="s">
        <v>517</v>
      </c>
      <c r="I93" s="1" t="s">
        <v>518</v>
      </c>
      <c r="J93" s="1" t="s">
        <v>703</v>
      </c>
      <c r="K93" s="1" t="s">
        <v>355</v>
      </c>
      <c r="L93" s="1" t="s">
        <v>69</v>
      </c>
      <c r="M93" s="1" t="s">
        <v>69</v>
      </c>
      <c r="N93" s="1" t="s">
        <v>69</v>
      </c>
      <c r="O93" s="1" t="s">
        <v>69</v>
      </c>
      <c r="P93" s="1" t="s">
        <v>70</v>
      </c>
      <c r="Q93" s="1" t="s">
        <v>292</v>
      </c>
      <c r="R93" s="1" t="s">
        <v>130</v>
      </c>
      <c r="S93" s="1">
        <v>18</v>
      </c>
      <c r="T93" s="1" t="s">
        <v>131</v>
      </c>
      <c r="U93" s="1" t="s">
        <v>73</v>
      </c>
      <c r="V93" s="1" t="s">
        <v>133</v>
      </c>
      <c r="W93" s="1" t="s">
        <v>133</v>
      </c>
      <c r="X93" s="1">
        <v>6</v>
      </c>
      <c r="Y93" s="1">
        <v>6</v>
      </c>
      <c r="Z93" s="1" t="s">
        <v>83</v>
      </c>
      <c r="AA93" s="1">
        <v>5</v>
      </c>
      <c r="AB93" s="1">
        <v>5</v>
      </c>
      <c r="AC93" s="1" t="s">
        <v>83</v>
      </c>
      <c r="AD93" s="1">
        <v>6</v>
      </c>
      <c r="AE93" s="1">
        <v>6</v>
      </c>
      <c r="AF93" s="1" t="s">
        <v>83</v>
      </c>
      <c r="AG93" s="1">
        <v>5</v>
      </c>
      <c r="AH93" s="1">
        <v>5</v>
      </c>
      <c r="AI93" s="1" t="s">
        <v>83</v>
      </c>
      <c r="AJ93" s="1">
        <v>5</v>
      </c>
      <c r="AK93" s="1">
        <v>6</v>
      </c>
      <c r="AL93" s="1" t="s">
        <v>83</v>
      </c>
      <c r="AM93" s="1">
        <v>6</v>
      </c>
      <c r="AN93" s="1">
        <v>6</v>
      </c>
      <c r="AO93" s="1" t="s">
        <v>83</v>
      </c>
      <c r="AP93" s="1">
        <v>5</v>
      </c>
      <c r="AQ93" s="1">
        <v>6</v>
      </c>
      <c r="AR93" s="1" t="s">
        <v>83</v>
      </c>
      <c r="AS93" s="1">
        <v>6</v>
      </c>
      <c r="AT93" s="1">
        <v>6</v>
      </c>
      <c r="AU93" s="1" t="s">
        <v>83</v>
      </c>
      <c r="AV93" s="1">
        <v>5</v>
      </c>
      <c r="AW93" s="1">
        <v>6</v>
      </c>
      <c r="AX93" s="1" t="s">
        <v>83</v>
      </c>
      <c r="AY93" s="1">
        <v>2</v>
      </c>
      <c r="AZ93" s="1">
        <v>2</v>
      </c>
      <c r="BA93" s="1">
        <v>2</v>
      </c>
      <c r="BB93" s="1" t="s">
        <v>532</v>
      </c>
      <c r="BC93" s="1">
        <v>2</v>
      </c>
      <c r="BD93" s="1" t="s">
        <v>503</v>
      </c>
      <c r="BE93" s="1" t="s">
        <v>763</v>
      </c>
      <c r="BF93" s="1" t="s">
        <v>248</v>
      </c>
      <c r="BG93" s="1" t="s">
        <v>83</v>
      </c>
    </row>
    <row r="94" spans="1:59" x14ac:dyDescent="0.35">
      <c r="A94" s="1">
        <v>93</v>
      </c>
      <c r="B94" s="1">
        <v>45840.121886574074</v>
      </c>
      <c r="C94" s="1" t="s">
        <v>115</v>
      </c>
      <c r="D94" s="1" t="s">
        <v>764</v>
      </c>
      <c r="E94" s="1" t="s">
        <v>765</v>
      </c>
      <c r="F94" s="1" t="s">
        <v>63</v>
      </c>
      <c r="G94" s="1" t="s">
        <v>766</v>
      </c>
      <c r="H94" s="1" t="s">
        <v>517</v>
      </c>
      <c r="I94" s="1" t="s">
        <v>518</v>
      </c>
      <c r="J94" s="1" t="s">
        <v>703</v>
      </c>
      <c r="K94" s="1" t="s">
        <v>767</v>
      </c>
      <c r="L94" s="1" t="s">
        <v>69</v>
      </c>
      <c r="M94" s="1" t="s">
        <v>69</v>
      </c>
      <c r="N94" s="1" t="s">
        <v>69</v>
      </c>
      <c r="O94" s="1" t="s">
        <v>69</v>
      </c>
      <c r="P94" s="1" t="s">
        <v>106</v>
      </c>
      <c r="Q94" s="1" t="s">
        <v>292</v>
      </c>
      <c r="R94" s="1" t="s">
        <v>431</v>
      </c>
      <c r="S94" s="1">
        <v>19</v>
      </c>
      <c r="T94" s="1" t="s">
        <v>131</v>
      </c>
      <c r="U94" s="1" t="s">
        <v>73</v>
      </c>
      <c r="V94" s="1" t="s">
        <v>94</v>
      </c>
      <c r="W94" s="1" t="s">
        <v>95</v>
      </c>
      <c r="X94" s="1">
        <v>4</v>
      </c>
      <c r="Y94" s="1">
        <v>5</v>
      </c>
      <c r="Z94" s="1" t="s">
        <v>83</v>
      </c>
      <c r="AA94" s="1">
        <v>4</v>
      </c>
      <c r="AB94" s="1">
        <v>6</v>
      </c>
      <c r="AC94" s="1" t="s">
        <v>83</v>
      </c>
      <c r="AD94" s="1">
        <v>3</v>
      </c>
      <c r="AE94" s="1">
        <v>4</v>
      </c>
      <c r="AF94" s="1" t="s">
        <v>2476</v>
      </c>
      <c r="AG94" s="1">
        <v>4</v>
      </c>
      <c r="AH94" s="1">
        <v>4</v>
      </c>
      <c r="AI94" s="1" t="s">
        <v>83</v>
      </c>
      <c r="AJ94" s="1">
        <v>5</v>
      </c>
      <c r="AK94" s="1">
        <v>4</v>
      </c>
      <c r="AL94" s="1" t="s">
        <v>83</v>
      </c>
      <c r="AM94" s="1">
        <v>4</v>
      </c>
      <c r="AN94" s="1">
        <v>4</v>
      </c>
      <c r="AO94" s="1" t="s">
        <v>83</v>
      </c>
      <c r="AP94" s="1">
        <v>4</v>
      </c>
      <c r="AQ94" s="1">
        <v>5</v>
      </c>
      <c r="AR94" s="1" t="s">
        <v>83</v>
      </c>
      <c r="AS94" s="1">
        <v>4</v>
      </c>
      <c r="AT94" s="1">
        <v>4</v>
      </c>
      <c r="AU94" s="1" t="s">
        <v>83</v>
      </c>
      <c r="AV94" s="1">
        <v>5</v>
      </c>
      <c r="AW94" s="1">
        <v>5</v>
      </c>
      <c r="AX94" s="1" t="s">
        <v>83</v>
      </c>
      <c r="AY94" s="1">
        <v>2</v>
      </c>
      <c r="AZ94" s="1">
        <v>2</v>
      </c>
      <c r="BA94" s="1">
        <v>2</v>
      </c>
      <c r="BB94" s="1" t="s">
        <v>77</v>
      </c>
      <c r="BC94" s="1">
        <v>2</v>
      </c>
      <c r="BD94" s="1" t="s">
        <v>768</v>
      </c>
      <c r="BE94" s="1" t="s">
        <v>769</v>
      </c>
      <c r="BF94" s="1" t="s">
        <v>503</v>
      </c>
      <c r="BG94" s="1" t="s">
        <v>83</v>
      </c>
    </row>
    <row r="95" spans="1:59" x14ac:dyDescent="0.35">
      <c r="A95" s="1">
        <v>94</v>
      </c>
      <c r="B95" s="1">
        <v>45840.125798611109</v>
      </c>
      <c r="C95" s="1" t="s">
        <v>770</v>
      </c>
      <c r="D95" s="1" t="s">
        <v>771</v>
      </c>
      <c r="E95" s="1" t="s">
        <v>772</v>
      </c>
      <c r="F95" s="1" t="s">
        <v>773</v>
      </c>
      <c r="G95" s="1" t="s">
        <v>774</v>
      </c>
      <c r="H95" s="1" t="s">
        <v>517</v>
      </c>
      <c r="I95" s="1" t="s">
        <v>518</v>
      </c>
      <c r="J95" s="1" t="s">
        <v>703</v>
      </c>
      <c r="K95" s="1" t="s">
        <v>775</v>
      </c>
      <c r="L95" s="1" t="s">
        <v>69</v>
      </c>
      <c r="M95" s="1" t="s">
        <v>69</v>
      </c>
      <c r="N95" s="1" t="s">
        <v>69</v>
      </c>
      <c r="O95" s="1" t="s">
        <v>69</v>
      </c>
      <c r="P95" s="1" t="s">
        <v>70</v>
      </c>
      <c r="Q95" s="1" t="s">
        <v>292</v>
      </c>
      <c r="R95" s="1" t="s">
        <v>431</v>
      </c>
      <c r="S95" s="1">
        <v>19</v>
      </c>
      <c r="T95" s="1" t="s">
        <v>131</v>
      </c>
      <c r="U95" s="1" t="s">
        <v>73</v>
      </c>
      <c r="V95" s="1" t="s">
        <v>94</v>
      </c>
      <c r="W95" s="1" t="s">
        <v>95</v>
      </c>
      <c r="X95" s="1">
        <v>6</v>
      </c>
      <c r="Y95" s="1">
        <v>5</v>
      </c>
      <c r="Z95" s="1" t="s">
        <v>83</v>
      </c>
      <c r="AA95" s="1">
        <v>5</v>
      </c>
      <c r="AB95" s="1">
        <v>5</v>
      </c>
      <c r="AC95" s="1" t="s">
        <v>83</v>
      </c>
      <c r="AD95" s="1">
        <v>6</v>
      </c>
      <c r="AE95" s="1">
        <v>6</v>
      </c>
      <c r="AF95" s="1" t="s">
        <v>83</v>
      </c>
      <c r="AG95" s="1">
        <v>5</v>
      </c>
      <c r="AH95" s="1">
        <v>5</v>
      </c>
      <c r="AI95" s="1" t="s">
        <v>83</v>
      </c>
      <c r="AJ95" s="1">
        <v>5</v>
      </c>
      <c r="AK95" s="1">
        <v>6</v>
      </c>
      <c r="AL95" s="1" t="s">
        <v>83</v>
      </c>
      <c r="AM95" s="1">
        <v>6</v>
      </c>
      <c r="AN95" s="1">
        <v>6</v>
      </c>
      <c r="AO95" s="1" t="s">
        <v>83</v>
      </c>
      <c r="AP95" s="1">
        <v>6</v>
      </c>
      <c r="AQ95" s="1">
        <v>5</v>
      </c>
      <c r="AR95" s="1" t="s">
        <v>83</v>
      </c>
      <c r="AS95" s="1">
        <v>5</v>
      </c>
      <c r="AT95" s="1">
        <v>5</v>
      </c>
      <c r="AU95" s="1" t="s">
        <v>83</v>
      </c>
      <c r="AV95" s="1">
        <v>5</v>
      </c>
      <c r="AW95" s="1">
        <v>6</v>
      </c>
      <c r="AX95" s="1" t="s">
        <v>83</v>
      </c>
      <c r="AY95" s="1">
        <v>2</v>
      </c>
      <c r="AZ95" s="1">
        <v>2</v>
      </c>
      <c r="BA95" s="1">
        <v>2</v>
      </c>
      <c r="BB95" s="1" t="s">
        <v>631</v>
      </c>
      <c r="BC95" s="1">
        <v>2</v>
      </c>
      <c r="BD95" s="1" t="s">
        <v>503</v>
      </c>
      <c r="BE95" s="1" t="s">
        <v>503</v>
      </c>
      <c r="BF95" s="1" t="s">
        <v>776</v>
      </c>
      <c r="BG95" s="1" t="s">
        <v>83</v>
      </c>
    </row>
    <row r="96" spans="1:59" x14ac:dyDescent="0.35">
      <c r="A96" s="1">
        <v>95</v>
      </c>
      <c r="B96" s="1">
        <v>45840.129745370374</v>
      </c>
      <c r="C96" s="1" t="s">
        <v>777</v>
      </c>
      <c r="D96" s="1" t="s">
        <v>778</v>
      </c>
      <c r="E96" s="1" t="s">
        <v>63</v>
      </c>
      <c r="F96" s="1" t="s">
        <v>63</v>
      </c>
      <c r="G96" s="1" t="s">
        <v>779</v>
      </c>
      <c r="H96" s="1" t="s">
        <v>517</v>
      </c>
      <c r="I96" s="1" t="s">
        <v>518</v>
      </c>
      <c r="J96" s="1" t="s">
        <v>703</v>
      </c>
      <c r="K96" s="1" t="s">
        <v>780</v>
      </c>
      <c r="L96" s="1" t="s">
        <v>69</v>
      </c>
      <c r="M96" s="1" t="s">
        <v>69</v>
      </c>
      <c r="N96" s="1" t="s">
        <v>69</v>
      </c>
      <c r="O96" s="1" t="s">
        <v>69</v>
      </c>
      <c r="P96" s="1" t="s">
        <v>106</v>
      </c>
      <c r="Q96" s="1" t="s">
        <v>271</v>
      </c>
      <c r="R96" s="1" t="s">
        <v>492</v>
      </c>
      <c r="S96" s="1">
        <v>24</v>
      </c>
      <c r="T96" s="1" t="s">
        <v>72</v>
      </c>
      <c r="U96" s="1" t="s">
        <v>254</v>
      </c>
      <c r="V96" s="1" t="s">
        <v>74</v>
      </c>
      <c r="W96" s="1" t="s">
        <v>74</v>
      </c>
      <c r="X96" s="1">
        <v>5</v>
      </c>
      <c r="Y96" s="1">
        <v>6</v>
      </c>
      <c r="Z96" s="1" t="s">
        <v>83</v>
      </c>
      <c r="AA96" s="1">
        <v>5</v>
      </c>
      <c r="AB96" s="1">
        <v>5</v>
      </c>
      <c r="AC96" s="1" t="s">
        <v>83</v>
      </c>
      <c r="AD96" s="1">
        <v>4</v>
      </c>
      <c r="AE96" s="1">
        <v>4</v>
      </c>
      <c r="AF96" s="1" t="s">
        <v>83</v>
      </c>
      <c r="AG96" s="1">
        <v>5</v>
      </c>
      <c r="AH96" s="1">
        <v>5</v>
      </c>
      <c r="AI96" s="1" t="s">
        <v>83</v>
      </c>
      <c r="AJ96" s="1">
        <v>5</v>
      </c>
      <c r="AK96" s="1">
        <v>5</v>
      </c>
      <c r="AL96" s="1" t="s">
        <v>83</v>
      </c>
      <c r="AM96" s="1">
        <v>6</v>
      </c>
      <c r="AN96" s="1">
        <v>6</v>
      </c>
      <c r="AO96" s="1" t="s">
        <v>83</v>
      </c>
      <c r="AP96" s="1">
        <v>5</v>
      </c>
      <c r="AQ96" s="1">
        <v>6</v>
      </c>
      <c r="AR96" s="1" t="s">
        <v>83</v>
      </c>
      <c r="AS96" s="1">
        <v>5</v>
      </c>
      <c r="AT96" s="1">
        <v>6</v>
      </c>
      <c r="AU96" s="1" t="s">
        <v>83</v>
      </c>
      <c r="AV96" s="1">
        <v>6</v>
      </c>
      <c r="AW96" s="1">
        <v>6</v>
      </c>
      <c r="AX96" s="1" t="s">
        <v>83</v>
      </c>
      <c r="AY96" s="1">
        <v>2</v>
      </c>
      <c r="AZ96" s="1">
        <v>2</v>
      </c>
      <c r="BA96" s="1">
        <v>2</v>
      </c>
      <c r="BB96" s="1" t="s">
        <v>77</v>
      </c>
      <c r="BC96" s="1">
        <v>2</v>
      </c>
      <c r="BD96" s="1" t="s">
        <v>781</v>
      </c>
      <c r="BE96" s="1" t="s">
        <v>503</v>
      </c>
      <c r="BF96" s="1" t="s">
        <v>528</v>
      </c>
      <c r="BG96" s="1" t="s">
        <v>83</v>
      </c>
    </row>
    <row r="97" spans="1:59" x14ac:dyDescent="0.35">
      <c r="A97" s="1">
        <v>96</v>
      </c>
      <c r="B97" s="1">
        <v>45840.134351851855</v>
      </c>
      <c r="C97" s="1" t="s">
        <v>782</v>
      </c>
      <c r="D97" s="1" t="s">
        <v>783</v>
      </c>
      <c r="E97" s="1" t="s">
        <v>63</v>
      </c>
      <c r="F97" s="1" t="s">
        <v>558</v>
      </c>
      <c r="G97" s="1" t="s">
        <v>784</v>
      </c>
      <c r="H97" s="1" t="s">
        <v>517</v>
      </c>
      <c r="I97" s="1" t="s">
        <v>518</v>
      </c>
      <c r="J97" s="1" t="s">
        <v>703</v>
      </c>
      <c r="K97" s="1" t="s">
        <v>785</v>
      </c>
      <c r="L97" s="1" t="s">
        <v>69</v>
      </c>
      <c r="M97" s="1" t="s">
        <v>69</v>
      </c>
      <c r="N97" s="1" t="s">
        <v>69</v>
      </c>
      <c r="O97" s="1" t="s">
        <v>69</v>
      </c>
      <c r="P97" s="1" t="s">
        <v>70</v>
      </c>
      <c r="Q97" s="1" t="s">
        <v>271</v>
      </c>
      <c r="R97" s="1" t="s">
        <v>561</v>
      </c>
      <c r="S97" s="1">
        <v>45</v>
      </c>
      <c r="T97" s="1" t="s">
        <v>197</v>
      </c>
      <c r="U97" s="1" t="s">
        <v>273</v>
      </c>
      <c r="V97" s="1" t="s">
        <v>110</v>
      </c>
      <c r="W97" s="1" t="s">
        <v>110</v>
      </c>
      <c r="X97" s="1">
        <v>6</v>
      </c>
      <c r="Y97" s="1">
        <v>6</v>
      </c>
      <c r="Z97" s="1" t="s">
        <v>83</v>
      </c>
      <c r="AA97" s="1">
        <v>5</v>
      </c>
      <c r="AB97" s="1">
        <v>5</v>
      </c>
      <c r="AC97" s="1" t="s">
        <v>83</v>
      </c>
      <c r="AD97" s="1">
        <v>5</v>
      </c>
      <c r="AE97" s="1">
        <v>5</v>
      </c>
      <c r="AF97" s="1" t="s">
        <v>83</v>
      </c>
      <c r="AG97" s="1">
        <v>6</v>
      </c>
      <c r="AH97" s="1">
        <v>6</v>
      </c>
      <c r="AI97" s="1" t="s">
        <v>83</v>
      </c>
      <c r="AJ97" s="1">
        <v>6</v>
      </c>
      <c r="AK97" s="1">
        <v>6</v>
      </c>
      <c r="AL97" s="1" t="s">
        <v>83</v>
      </c>
      <c r="AM97" s="1">
        <v>5</v>
      </c>
      <c r="AN97" s="1">
        <v>6</v>
      </c>
      <c r="AO97" s="1" t="s">
        <v>83</v>
      </c>
      <c r="AP97" s="1">
        <v>6</v>
      </c>
      <c r="AQ97" s="1">
        <v>6</v>
      </c>
      <c r="AR97" s="1" t="s">
        <v>83</v>
      </c>
      <c r="AS97" s="1">
        <v>5</v>
      </c>
      <c r="AT97" s="1">
        <v>6</v>
      </c>
      <c r="AU97" s="1" t="s">
        <v>83</v>
      </c>
      <c r="AV97" s="1">
        <v>6</v>
      </c>
      <c r="AW97" s="1">
        <v>6</v>
      </c>
      <c r="AX97" s="1" t="s">
        <v>83</v>
      </c>
      <c r="AY97" s="1">
        <v>2</v>
      </c>
      <c r="AZ97" s="1">
        <v>2</v>
      </c>
      <c r="BA97" s="1">
        <v>2</v>
      </c>
      <c r="BB97" s="1" t="s">
        <v>276</v>
      </c>
      <c r="BC97" s="1">
        <v>2</v>
      </c>
      <c r="BD97" s="1" t="s">
        <v>786</v>
      </c>
      <c r="BE97" s="1" t="s">
        <v>503</v>
      </c>
      <c r="BF97" s="1" t="s">
        <v>503</v>
      </c>
      <c r="BG97" s="1" t="s">
        <v>83</v>
      </c>
    </row>
    <row r="98" spans="1:59" x14ac:dyDescent="0.35">
      <c r="A98" s="1">
        <v>97</v>
      </c>
      <c r="B98" s="1">
        <v>45840.138460648152</v>
      </c>
      <c r="C98" s="1" t="s">
        <v>787</v>
      </c>
      <c r="D98" s="1" t="s">
        <v>788</v>
      </c>
      <c r="E98" s="1" t="s">
        <v>63</v>
      </c>
      <c r="F98" s="1" t="s">
        <v>240</v>
      </c>
      <c r="G98" s="1" t="s">
        <v>789</v>
      </c>
      <c r="H98" s="1" t="s">
        <v>517</v>
      </c>
      <c r="I98" s="1" t="s">
        <v>518</v>
      </c>
      <c r="J98" s="1" t="s">
        <v>703</v>
      </c>
      <c r="K98" s="1" t="s">
        <v>790</v>
      </c>
      <c r="L98" s="1" t="s">
        <v>69</v>
      </c>
      <c r="M98" s="1" t="s">
        <v>69</v>
      </c>
      <c r="N98" s="1" t="s">
        <v>69</v>
      </c>
      <c r="O98" s="1" t="s">
        <v>69</v>
      </c>
      <c r="P98" s="1" t="s">
        <v>106</v>
      </c>
      <c r="Q98" s="1" t="s">
        <v>292</v>
      </c>
      <c r="R98" s="1" t="s">
        <v>431</v>
      </c>
      <c r="S98" s="1">
        <v>19</v>
      </c>
      <c r="T98" s="1" t="s">
        <v>131</v>
      </c>
      <c r="U98" s="1" t="s">
        <v>73</v>
      </c>
      <c r="V98" s="1" t="s">
        <v>94</v>
      </c>
      <c r="W98" s="1" t="s">
        <v>95</v>
      </c>
      <c r="X98" s="1">
        <v>5</v>
      </c>
      <c r="Y98" s="1">
        <v>5</v>
      </c>
      <c r="Z98" s="1" t="s">
        <v>83</v>
      </c>
      <c r="AA98" s="1">
        <v>6</v>
      </c>
      <c r="AB98" s="1">
        <v>5</v>
      </c>
      <c r="AC98" s="1" t="s">
        <v>83</v>
      </c>
      <c r="AD98" s="1">
        <v>5</v>
      </c>
      <c r="AE98" s="1">
        <v>5</v>
      </c>
      <c r="AF98" s="1" t="s">
        <v>83</v>
      </c>
      <c r="AG98" s="1">
        <v>6</v>
      </c>
      <c r="AH98" s="1">
        <v>6</v>
      </c>
      <c r="AI98" s="1" t="s">
        <v>83</v>
      </c>
      <c r="AJ98" s="1">
        <v>6</v>
      </c>
      <c r="AK98" s="1">
        <v>6</v>
      </c>
      <c r="AL98" s="1" t="s">
        <v>83</v>
      </c>
      <c r="AM98" s="1">
        <v>6</v>
      </c>
      <c r="AN98" s="1">
        <v>5</v>
      </c>
      <c r="AO98" s="1" t="s">
        <v>83</v>
      </c>
      <c r="AP98" s="1">
        <v>6</v>
      </c>
      <c r="AQ98" s="1">
        <v>6</v>
      </c>
      <c r="AR98" s="1" t="s">
        <v>83</v>
      </c>
      <c r="AS98" s="1">
        <v>6</v>
      </c>
      <c r="AT98" s="1">
        <v>6</v>
      </c>
      <c r="AU98" s="1" t="s">
        <v>83</v>
      </c>
      <c r="AV98" s="1">
        <v>6</v>
      </c>
      <c r="AW98" s="1">
        <v>5</v>
      </c>
      <c r="AX98" s="1" t="s">
        <v>83</v>
      </c>
      <c r="AY98" s="1">
        <v>2</v>
      </c>
      <c r="AZ98" s="1">
        <v>2</v>
      </c>
      <c r="BA98" s="1">
        <v>2</v>
      </c>
      <c r="BB98" s="1" t="s">
        <v>77</v>
      </c>
      <c r="BC98" s="1">
        <v>1</v>
      </c>
      <c r="BD98" s="1" t="s">
        <v>503</v>
      </c>
      <c r="BE98" s="1" t="s">
        <v>503</v>
      </c>
      <c r="BF98" s="1" t="s">
        <v>503</v>
      </c>
      <c r="BG98" s="1" t="s">
        <v>83</v>
      </c>
    </row>
    <row r="99" spans="1:59" x14ac:dyDescent="0.35">
      <c r="A99" s="1">
        <v>98</v>
      </c>
      <c r="B99" s="1">
        <v>45840.141921296294</v>
      </c>
      <c r="C99" s="1" t="s">
        <v>791</v>
      </c>
      <c r="D99" s="1" t="s">
        <v>792</v>
      </c>
      <c r="E99" s="1" t="s">
        <v>63</v>
      </c>
      <c r="F99" s="1" t="s">
        <v>63</v>
      </c>
      <c r="G99" s="1" t="s">
        <v>793</v>
      </c>
      <c r="H99" s="1" t="s">
        <v>517</v>
      </c>
      <c r="I99" s="1" t="s">
        <v>518</v>
      </c>
      <c r="J99" s="1" t="s">
        <v>703</v>
      </c>
      <c r="K99" s="1" t="s">
        <v>794</v>
      </c>
      <c r="L99" s="1" t="s">
        <v>69</v>
      </c>
      <c r="M99" s="1" t="s">
        <v>69</v>
      </c>
      <c r="N99" s="1" t="s">
        <v>69</v>
      </c>
      <c r="O99" s="1" t="s">
        <v>69</v>
      </c>
      <c r="P99" s="1" t="s">
        <v>106</v>
      </c>
      <c r="Q99" s="1" t="s">
        <v>271</v>
      </c>
      <c r="R99" s="1" t="s">
        <v>130</v>
      </c>
      <c r="S99" s="1">
        <v>18</v>
      </c>
      <c r="T99" s="1" t="s">
        <v>131</v>
      </c>
      <c r="U99" s="1" t="s">
        <v>73</v>
      </c>
      <c r="V99" s="1" t="s">
        <v>94</v>
      </c>
      <c r="W99" s="1" t="s">
        <v>95</v>
      </c>
      <c r="X99" s="1">
        <v>6</v>
      </c>
      <c r="Y99" s="1">
        <v>6</v>
      </c>
      <c r="Z99" s="1" t="s">
        <v>83</v>
      </c>
      <c r="AA99" s="1">
        <v>6</v>
      </c>
      <c r="AB99" s="1">
        <v>6</v>
      </c>
      <c r="AC99" s="1" t="s">
        <v>83</v>
      </c>
      <c r="AD99" s="1">
        <v>5</v>
      </c>
      <c r="AE99" s="1">
        <v>6</v>
      </c>
      <c r="AF99" s="1" t="s">
        <v>83</v>
      </c>
      <c r="AG99" s="1">
        <v>6</v>
      </c>
      <c r="AH99" s="1">
        <v>6</v>
      </c>
      <c r="AI99" s="1" t="s">
        <v>83</v>
      </c>
      <c r="AJ99" s="1">
        <v>6</v>
      </c>
      <c r="AK99" s="1">
        <v>6</v>
      </c>
      <c r="AL99" s="1" t="s">
        <v>83</v>
      </c>
      <c r="AM99" s="1">
        <v>5</v>
      </c>
      <c r="AN99" s="1">
        <v>6</v>
      </c>
      <c r="AO99" s="1" t="s">
        <v>83</v>
      </c>
      <c r="AP99" s="1">
        <v>6</v>
      </c>
      <c r="AQ99" s="1">
        <v>6</v>
      </c>
      <c r="AR99" s="1" t="s">
        <v>83</v>
      </c>
      <c r="AS99" s="1">
        <v>6</v>
      </c>
      <c r="AT99" s="1">
        <v>6</v>
      </c>
      <c r="AU99" s="1" t="s">
        <v>83</v>
      </c>
      <c r="AV99" s="1">
        <v>4</v>
      </c>
      <c r="AW99" s="1">
        <v>6</v>
      </c>
      <c r="AX99" s="1" t="s">
        <v>83</v>
      </c>
      <c r="AY99" s="1">
        <v>2</v>
      </c>
      <c r="AZ99" s="1">
        <v>2</v>
      </c>
      <c r="BA99" s="1">
        <v>2</v>
      </c>
      <c r="BB99" s="1" t="s">
        <v>795</v>
      </c>
      <c r="BC99" s="1">
        <v>1</v>
      </c>
      <c r="BD99" s="1" t="s">
        <v>503</v>
      </c>
      <c r="BE99" s="1" t="s">
        <v>503</v>
      </c>
      <c r="BF99" s="1" t="s">
        <v>796</v>
      </c>
      <c r="BG99" s="1" t="s">
        <v>83</v>
      </c>
    </row>
    <row r="100" spans="1:59" x14ac:dyDescent="0.35">
      <c r="A100" s="1">
        <v>99</v>
      </c>
      <c r="B100" s="1">
        <v>45840.22184027778</v>
      </c>
      <c r="C100" s="1" t="s">
        <v>797</v>
      </c>
      <c r="D100" s="1" t="s">
        <v>798</v>
      </c>
      <c r="E100" s="1" t="s">
        <v>63</v>
      </c>
      <c r="F100" s="1" t="s">
        <v>179</v>
      </c>
      <c r="G100" s="1" t="s">
        <v>799</v>
      </c>
      <c r="H100" s="1" t="s">
        <v>242</v>
      </c>
      <c r="I100" s="1" t="s">
        <v>243</v>
      </c>
      <c r="J100" s="1" t="s">
        <v>639</v>
      </c>
      <c r="K100" s="1" t="s">
        <v>800</v>
      </c>
      <c r="L100" s="1" t="s">
        <v>69</v>
      </c>
      <c r="M100" s="1" t="s">
        <v>69</v>
      </c>
      <c r="N100" s="1" t="s">
        <v>69</v>
      </c>
      <c r="O100" s="1" t="s">
        <v>69</v>
      </c>
      <c r="P100" s="1" t="s">
        <v>106</v>
      </c>
      <c r="Q100" s="1" t="s">
        <v>107</v>
      </c>
      <c r="R100" s="1" t="s">
        <v>272</v>
      </c>
      <c r="S100" s="1">
        <v>43</v>
      </c>
      <c r="T100" s="1" t="s">
        <v>197</v>
      </c>
      <c r="U100" s="1" t="s">
        <v>254</v>
      </c>
      <c r="V100" s="1" t="s">
        <v>110</v>
      </c>
      <c r="W100" s="1" t="s">
        <v>110</v>
      </c>
      <c r="X100" s="1">
        <v>5</v>
      </c>
      <c r="Y100" s="1">
        <v>6</v>
      </c>
      <c r="Z100" s="1" t="s">
        <v>83</v>
      </c>
      <c r="AA100" s="1">
        <v>6</v>
      </c>
      <c r="AB100" s="1">
        <v>6</v>
      </c>
      <c r="AC100" s="1" t="s">
        <v>83</v>
      </c>
      <c r="AD100" s="1">
        <v>4</v>
      </c>
      <c r="AE100" s="1">
        <v>5</v>
      </c>
      <c r="AF100" s="1" t="s">
        <v>83</v>
      </c>
      <c r="AG100" s="1">
        <v>6</v>
      </c>
      <c r="AH100" s="1">
        <v>6</v>
      </c>
      <c r="AI100" s="1" t="s">
        <v>83</v>
      </c>
      <c r="AJ100" s="1">
        <v>6</v>
      </c>
      <c r="AK100" s="1">
        <v>6</v>
      </c>
      <c r="AL100" s="1" t="s">
        <v>83</v>
      </c>
      <c r="AM100" s="1">
        <v>6</v>
      </c>
      <c r="AN100" s="1">
        <v>6</v>
      </c>
      <c r="AO100" s="1" t="s">
        <v>83</v>
      </c>
      <c r="AP100" s="1">
        <v>6</v>
      </c>
      <c r="AQ100" s="1">
        <v>6</v>
      </c>
      <c r="AR100" s="1" t="s">
        <v>83</v>
      </c>
      <c r="AS100" s="1">
        <v>6</v>
      </c>
      <c r="AT100" s="1">
        <v>6</v>
      </c>
      <c r="AU100" s="1" t="s">
        <v>83</v>
      </c>
      <c r="AV100" s="1">
        <v>5</v>
      </c>
      <c r="AW100" s="1">
        <v>6</v>
      </c>
      <c r="AX100" s="1" t="s">
        <v>83</v>
      </c>
      <c r="AY100" s="1">
        <v>0</v>
      </c>
      <c r="AZ100" s="1">
        <v>0</v>
      </c>
      <c r="BA100" s="1">
        <v>2</v>
      </c>
      <c r="BB100" s="1" t="s">
        <v>83</v>
      </c>
      <c r="BC100" s="1">
        <v>0</v>
      </c>
      <c r="BD100" s="1" t="s">
        <v>801</v>
      </c>
      <c r="BE100" s="1" t="s">
        <v>248</v>
      </c>
      <c r="BF100" s="1" t="s">
        <v>802</v>
      </c>
      <c r="BG100" s="1" t="s">
        <v>278</v>
      </c>
    </row>
    <row r="101" spans="1:59" x14ac:dyDescent="0.35">
      <c r="A101" s="1">
        <v>100</v>
      </c>
      <c r="B101" s="1">
        <v>45840.22761574074</v>
      </c>
      <c r="C101" s="1" t="s">
        <v>803</v>
      </c>
      <c r="D101" s="1" t="s">
        <v>804</v>
      </c>
      <c r="E101" s="1" t="s">
        <v>63</v>
      </c>
      <c r="F101" s="1" t="s">
        <v>63</v>
      </c>
      <c r="G101" s="1" t="s">
        <v>805</v>
      </c>
      <c r="H101" s="1" t="s">
        <v>88</v>
      </c>
      <c r="I101" s="1" t="s">
        <v>89</v>
      </c>
      <c r="J101" s="1" t="s">
        <v>649</v>
      </c>
      <c r="K101" s="1" t="s">
        <v>806</v>
      </c>
      <c r="L101" s="1" t="s">
        <v>69</v>
      </c>
      <c r="M101" s="1" t="s">
        <v>69</v>
      </c>
      <c r="N101" s="1" t="s">
        <v>69</v>
      </c>
      <c r="O101" s="1" t="s">
        <v>69</v>
      </c>
      <c r="P101" s="1" t="s">
        <v>70</v>
      </c>
      <c r="Q101" s="1" t="s">
        <v>107</v>
      </c>
      <c r="R101" s="1" t="s">
        <v>807</v>
      </c>
      <c r="S101" s="1">
        <v>36</v>
      </c>
      <c r="T101" s="1" t="s">
        <v>153</v>
      </c>
      <c r="U101" s="1" t="s">
        <v>93</v>
      </c>
      <c r="V101" s="1" t="s">
        <v>74</v>
      </c>
      <c r="W101" s="1" t="s">
        <v>74</v>
      </c>
      <c r="X101" s="1">
        <v>4</v>
      </c>
      <c r="Y101" s="1">
        <v>5</v>
      </c>
      <c r="Z101" s="1" t="s">
        <v>83</v>
      </c>
      <c r="AA101" s="1">
        <v>5</v>
      </c>
      <c r="AB101" s="1">
        <v>5</v>
      </c>
      <c r="AC101" s="1" t="s">
        <v>83</v>
      </c>
      <c r="AD101" s="1">
        <v>5</v>
      </c>
      <c r="AE101" s="1">
        <v>5</v>
      </c>
      <c r="AF101" s="1" t="s">
        <v>83</v>
      </c>
      <c r="AG101" s="1">
        <v>0</v>
      </c>
      <c r="AH101" s="1">
        <v>0</v>
      </c>
      <c r="AI101" s="1" t="s">
        <v>83</v>
      </c>
      <c r="AJ101" s="1">
        <v>4</v>
      </c>
      <c r="AK101" s="1">
        <v>5</v>
      </c>
      <c r="AL101" s="1" t="s">
        <v>83</v>
      </c>
      <c r="AM101" s="1">
        <v>3</v>
      </c>
      <c r="AN101" s="1">
        <v>6</v>
      </c>
      <c r="AO101" s="1" t="s">
        <v>2477</v>
      </c>
      <c r="AP101" s="1">
        <v>4</v>
      </c>
      <c r="AQ101" s="1">
        <v>5</v>
      </c>
      <c r="AR101" s="1" t="s">
        <v>83</v>
      </c>
      <c r="AS101" s="1">
        <v>1</v>
      </c>
      <c r="AT101" s="1">
        <v>5</v>
      </c>
      <c r="AU101" s="1" t="s">
        <v>2478</v>
      </c>
      <c r="AV101" s="1">
        <v>3</v>
      </c>
      <c r="AW101" s="1">
        <v>5</v>
      </c>
      <c r="AX101" s="1" t="s">
        <v>2479</v>
      </c>
      <c r="AY101" s="1">
        <v>0</v>
      </c>
      <c r="AZ101" s="1">
        <v>0</v>
      </c>
      <c r="BA101" s="1">
        <v>3</v>
      </c>
      <c r="BB101" s="1" t="s">
        <v>808</v>
      </c>
      <c r="BC101" s="1">
        <v>0</v>
      </c>
      <c r="BD101" s="1" t="s">
        <v>809</v>
      </c>
      <c r="BE101" s="1" t="s">
        <v>810</v>
      </c>
      <c r="BF101" s="1" t="s">
        <v>812</v>
      </c>
      <c r="BG101" s="1" t="s">
        <v>814</v>
      </c>
    </row>
    <row r="102" spans="1:59" x14ac:dyDescent="0.35">
      <c r="A102" s="1">
        <v>101</v>
      </c>
      <c r="B102" s="1">
        <v>45840.23232638889</v>
      </c>
      <c r="C102" s="1" t="s">
        <v>815</v>
      </c>
      <c r="D102" s="1" t="s">
        <v>816</v>
      </c>
      <c r="E102" s="1" t="s">
        <v>63</v>
      </c>
      <c r="F102" s="1" t="s">
        <v>416</v>
      </c>
      <c r="G102" s="1" t="s">
        <v>817</v>
      </c>
      <c r="H102" s="1" t="s">
        <v>88</v>
      </c>
      <c r="I102" s="1" t="s">
        <v>89</v>
      </c>
      <c r="J102" s="1" t="s">
        <v>649</v>
      </c>
      <c r="K102" s="1" t="s">
        <v>818</v>
      </c>
      <c r="L102" s="1" t="s">
        <v>69</v>
      </c>
      <c r="M102" s="1" t="s">
        <v>69</v>
      </c>
      <c r="N102" s="1" t="s">
        <v>69</v>
      </c>
      <c r="O102" s="1" t="s">
        <v>69</v>
      </c>
      <c r="P102" s="1" t="s">
        <v>70</v>
      </c>
      <c r="Q102" s="1" t="s">
        <v>271</v>
      </c>
      <c r="R102" s="1" t="s">
        <v>499</v>
      </c>
      <c r="S102" s="1">
        <v>22</v>
      </c>
      <c r="T102" s="1" t="s">
        <v>72</v>
      </c>
      <c r="U102" s="1" t="s">
        <v>93</v>
      </c>
      <c r="V102" s="1" t="s">
        <v>819</v>
      </c>
      <c r="W102" s="1" t="s">
        <v>133</v>
      </c>
      <c r="X102" s="1">
        <v>5</v>
      </c>
      <c r="Y102" s="1">
        <v>6</v>
      </c>
      <c r="Z102" s="1" t="s">
        <v>83</v>
      </c>
      <c r="AA102" s="1">
        <v>5</v>
      </c>
      <c r="AB102" s="1">
        <v>6</v>
      </c>
      <c r="AC102" s="1" t="s">
        <v>83</v>
      </c>
      <c r="AD102" s="1">
        <v>6</v>
      </c>
      <c r="AE102" s="1">
        <v>6</v>
      </c>
      <c r="AF102" s="1" t="s">
        <v>83</v>
      </c>
      <c r="AG102" s="1">
        <v>6</v>
      </c>
      <c r="AH102" s="1">
        <v>0</v>
      </c>
      <c r="AI102" s="1" t="s">
        <v>83</v>
      </c>
      <c r="AJ102" s="1">
        <v>5</v>
      </c>
      <c r="AK102" s="1">
        <v>6</v>
      </c>
      <c r="AL102" s="1" t="s">
        <v>83</v>
      </c>
      <c r="AM102" s="1">
        <v>6</v>
      </c>
      <c r="AN102" s="1">
        <v>6</v>
      </c>
      <c r="AO102" s="1" t="s">
        <v>83</v>
      </c>
      <c r="AP102" s="1">
        <v>6</v>
      </c>
      <c r="AQ102" s="1">
        <v>6</v>
      </c>
      <c r="AR102" s="1" t="s">
        <v>83</v>
      </c>
      <c r="AS102" s="1">
        <v>5</v>
      </c>
      <c r="AT102" s="1">
        <v>6</v>
      </c>
      <c r="AU102" s="1" t="s">
        <v>83</v>
      </c>
      <c r="AV102" s="1">
        <v>4</v>
      </c>
      <c r="AW102" s="1">
        <v>5</v>
      </c>
      <c r="AX102" s="1" t="s">
        <v>83</v>
      </c>
      <c r="AY102" s="1">
        <v>1</v>
      </c>
      <c r="AZ102" s="1">
        <v>0</v>
      </c>
      <c r="BA102" s="1">
        <v>0</v>
      </c>
      <c r="BB102" s="1" t="s">
        <v>83</v>
      </c>
      <c r="BC102" s="1">
        <v>0</v>
      </c>
      <c r="BD102" s="1" t="s">
        <v>820</v>
      </c>
      <c r="BE102" s="1" t="s">
        <v>98</v>
      </c>
      <c r="BF102" s="1" t="s">
        <v>821</v>
      </c>
      <c r="BG102" s="1" t="s">
        <v>98</v>
      </c>
    </row>
    <row r="103" spans="1:59" x14ac:dyDescent="0.35">
      <c r="A103" s="1">
        <v>102</v>
      </c>
      <c r="B103" s="1">
        <v>45840.235069444447</v>
      </c>
      <c r="C103" s="1" t="s">
        <v>822</v>
      </c>
      <c r="D103" s="1" t="s">
        <v>823</v>
      </c>
      <c r="E103" s="1" t="s">
        <v>63</v>
      </c>
      <c r="F103" s="1" t="s">
        <v>179</v>
      </c>
      <c r="G103" s="1" t="s">
        <v>824</v>
      </c>
      <c r="H103" s="1" t="s">
        <v>88</v>
      </c>
      <c r="I103" s="1" t="s">
        <v>89</v>
      </c>
      <c r="J103" s="1" t="s">
        <v>649</v>
      </c>
      <c r="K103" s="1" t="s">
        <v>825</v>
      </c>
      <c r="L103" s="1" t="s">
        <v>69</v>
      </c>
      <c r="M103" s="1" t="s">
        <v>69</v>
      </c>
      <c r="N103" s="1" t="s">
        <v>69</v>
      </c>
      <c r="O103" s="1" t="s">
        <v>69</v>
      </c>
      <c r="P103" s="1" t="s">
        <v>106</v>
      </c>
      <c r="Q103" s="1" t="s">
        <v>271</v>
      </c>
      <c r="R103" s="1" t="s">
        <v>826</v>
      </c>
      <c r="S103" s="1">
        <v>44</v>
      </c>
      <c r="T103" s="1" t="s">
        <v>197</v>
      </c>
      <c r="U103" s="1" t="s">
        <v>273</v>
      </c>
      <c r="V103" s="1" t="s">
        <v>74</v>
      </c>
      <c r="W103" s="1" t="s">
        <v>74</v>
      </c>
      <c r="X103" s="1">
        <v>4</v>
      </c>
      <c r="Y103" s="1">
        <v>5</v>
      </c>
      <c r="Z103" s="1" t="s">
        <v>83</v>
      </c>
      <c r="AA103" s="1">
        <v>5</v>
      </c>
      <c r="AB103" s="1">
        <v>5</v>
      </c>
      <c r="AC103" s="1" t="s">
        <v>83</v>
      </c>
      <c r="AD103" s="1">
        <v>5</v>
      </c>
      <c r="AE103" s="1">
        <v>5</v>
      </c>
      <c r="AF103" s="1" t="s">
        <v>83</v>
      </c>
      <c r="AG103" s="1">
        <v>5</v>
      </c>
      <c r="AH103" s="1">
        <v>5</v>
      </c>
      <c r="AI103" s="1" t="s">
        <v>83</v>
      </c>
      <c r="AJ103" s="1">
        <v>5</v>
      </c>
      <c r="AK103" s="1">
        <v>5</v>
      </c>
      <c r="AL103" s="1" t="s">
        <v>83</v>
      </c>
      <c r="AM103" s="1">
        <v>5</v>
      </c>
      <c r="AN103" s="1">
        <v>5</v>
      </c>
      <c r="AO103" s="1" t="s">
        <v>83</v>
      </c>
      <c r="AP103" s="1">
        <v>4</v>
      </c>
      <c r="AQ103" s="1">
        <v>5</v>
      </c>
      <c r="AR103" s="1" t="s">
        <v>83</v>
      </c>
      <c r="AS103" s="1">
        <v>5</v>
      </c>
      <c r="AT103" s="1">
        <v>5</v>
      </c>
      <c r="AU103" s="1" t="s">
        <v>83</v>
      </c>
      <c r="AV103" s="1">
        <v>5</v>
      </c>
      <c r="AW103" s="1">
        <v>5</v>
      </c>
      <c r="AX103" s="1" t="s">
        <v>83</v>
      </c>
      <c r="AY103" s="1">
        <v>0</v>
      </c>
      <c r="AZ103" s="1">
        <v>0</v>
      </c>
      <c r="BA103" s="1">
        <v>2</v>
      </c>
      <c r="BB103" s="1" t="s">
        <v>83</v>
      </c>
      <c r="BC103" s="1">
        <v>0</v>
      </c>
      <c r="BD103" s="1" t="s">
        <v>827</v>
      </c>
      <c r="BE103" s="1" t="s">
        <v>98</v>
      </c>
      <c r="BF103" s="1" t="s">
        <v>98</v>
      </c>
      <c r="BG103" s="1" t="s">
        <v>98</v>
      </c>
    </row>
    <row r="104" spans="1:59" x14ac:dyDescent="0.35">
      <c r="A104" s="1">
        <v>103</v>
      </c>
      <c r="B104" s="1">
        <v>45840.237719907411</v>
      </c>
      <c r="C104" s="1" t="s">
        <v>828</v>
      </c>
      <c r="D104" s="1" t="s">
        <v>829</v>
      </c>
      <c r="E104" s="1" t="s">
        <v>63</v>
      </c>
      <c r="F104" s="1" t="s">
        <v>179</v>
      </c>
      <c r="G104" s="1" t="s">
        <v>830</v>
      </c>
      <c r="H104" s="1" t="s">
        <v>242</v>
      </c>
      <c r="I104" s="1" t="s">
        <v>243</v>
      </c>
      <c r="J104" s="1" t="s">
        <v>639</v>
      </c>
      <c r="K104" s="1" t="s">
        <v>252</v>
      </c>
      <c r="L104" s="1" t="s">
        <v>69</v>
      </c>
      <c r="M104" s="1" t="s">
        <v>69</v>
      </c>
      <c r="N104" s="1" t="s">
        <v>69</v>
      </c>
      <c r="O104" s="1" t="s">
        <v>69</v>
      </c>
      <c r="P104" s="1" t="s">
        <v>106</v>
      </c>
      <c r="Q104" s="1" t="s">
        <v>107</v>
      </c>
      <c r="R104" s="1" t="s">
        <v>831</v>
      </c>
      <c r="S104" s="1">
        <v>59</v>
      </c>
      <c r="T104" s="1" t="s">
        <v>182</v>
      </c>
      <c r="U104" s="1" t="s">
        <v>254</v>
      </c>
      <c r="V104" s="1" t="s">
        <v>110</v>
      </c>
      <c r="W104" s="1" t="s">
        <v>110</v>
      </c>
      <c r="X104" s="1">
        <v>5</v>
      </c>
      <c r="Y104" s="1">
        <v>4</v>
      </c>
      <c r="Z104" s="1" t="s">
        <v>83</v>
      </c>
      <c r="AA104" s="1">
        <v>4</v>
      </c>
      <c r="AB104" s="1">
        <v>5</v>
      </c>
      <c r="AC104" s="1" t="s">
        <v>83</v>
      </c>
      <c r="AD104" s="1">
        <v>4</v>
      </c>
      <c r="AE104" s="1">
        <v>5</v>
      </c>
      <c r="AF104" s="1" t="s">
        <v>83</v>
      </c>
      <c r="AG104" s="1">
        <v>0</v>
      </c>
      <c r="AH104" s="1">
        <v>0</v>
      </c>
      <c r="AI104" s="1" t="s">
        <v>83</v>
      </c>
      <c r="AJ104" s="1">
        <v>5</v>
      </c>
      <c r="AK104" s="1">
        <v>6</v>
      </c>
      <c r="AL104" s="1" t="s">
        <v>83</v>
      </c>
      <c r="AM104" s="1">
        <v>5</v>
      </c>
      <c r="AN104" s="1">
        <v>6</v>
      </c>
      <c r="AO104" s="1" t="s">
        <v>83</v>
      </c>
      <c r="AP104" s="1">
        <v>5</v>
      </c>
      <c r="AQ104" s="1">
        <v>6</v>
      </c>
      <c r="AR104" s="1" t="s">
        <v>83</v>
      </c>
      <c r="AS104" s="1">
        <v>5</v>
      </c>
      <c r="AT104" s="1">
        <v>6</v>
      </c>
      <c r="AU104" s="1" t="s">
        <v>83</v>
      </c>
      <c r="AV104" s="1">
        <v>5</v>
      </c>
      <c r="AW104" s="1">
        <v>6</v>
      </c>
      <c r="AX104" s="1" t="s">
        <v>83</v>
      </c>
      <c r="AY104" s="1">
        <v>0</v>
      </c>
      <c r="AZ104" s="1">
        <v>0</v>
      </c>
      <c r="BA104" s="1">
        <v>0</v>
      </c>
      <c r="BB104" s="1" t="s">
        <v>832</v>
      </c>
      <c r="BC104" s="1">
        <v>2</v>
      </c>
      <c r="BD104" s="1" t="s">
        <v>833</v>
      </c>
      <c r="BE104" s="1" t="s">
        <v>278</v>
      </c>
      <c r="BF104" s="1" t="s">
        <v>802</v>
      </c>
      <c r="BG104" s="1" t="s">
        <v>834</v>
      </c>
    </row>
    <row r="105" spans="1:59" x14ac:dyDescent="0.35">
      <c r="A105" s="1">
        <v>104</v>
      </c>
      <c r="B105" s="1">
        <v>45840.238819444443</v>
      </c>
      <c r="C105" s="1" t="s">
        <v>835</v>
      </c>
      <c r="D105" s="1" t="s">
        <v>836</v>
      </c>
      <c r="E105" s="1" t="s">
        <v>63</v>
      </c>
      <c r="F105" s="1" t="s">
        <v>179</v>
      </c>
      <c r="G105" s="1" t="s">
        <v>837</v>
      </c>
      <c r="H105" s="1" t="s">
        <v>88</v>
      </c>
      <c r="I105" s="1" t="s">
        <v>89</v>
      </c>
      <c r="J105" s="1" t="s">
        <v>649</v>
      </c>
      <c r="K105" s="1" t="s">
        <v>838</v>
      </c>
      <c r="L105" s="1" t="s">
        <v>69</v>
      </c>
      <c r="M105" s="1" t="s">
        <v>69</v>
      </c>
      <c r="N105" s="1" t="s">
        <v>69</v>
      </c>
      <c r="O105" s="1" t="s">
        <v>69</v>
      </c>
      <c r="P105" s="1" t="s">
        <v>106</v>
      </c>
      <c r="Q105" s="1" t="s">
        <v>271</v>
      </c>
      <c r="R105" s="1" t="s">
        <v>431</v>
      </c>
      <c r="S105" s="1">
        <v>19</v>
      </c>
      <c r="T105" s="1" t="s">
        <v>131</v>
      </c>
      <c r="U105" s="1" t="s">
        <v>73</v>
      </c>
      <c r="V105" s="1" t="s">
        <v>839</v>
      </c>
      <c r="W105" s="1" t="s">
        <v>133</v>
      </c>
      <c r="X105" s="1">
        <v>6</v>
      </c>
      <c r="Y105" s="1">
        <v>6</v>
      </c>
      <c r="Z105" s="1" t="s">
        <v>83</v>
      </c>
      <c r="AA105" s="1">
        <v>6</v>
      </c>
      <c r="AB105" s="1">
        <v>6</v>
      </c>
      <c r="AC105" s="1" t="s">
        <v>83</v>
      </c>
      <c r="AD105" s="1">
        <v>5</v>
      </c>
      <c r="AE105" s="1">
        <v>6</v>
      </c>
      <c r="AF105" s="1" t="s">
        <v>83</v>
      </c>
      <c r="AG105" s="1">
        <v>6</v>
      </c>
      <c r="AH105" s="1">
        <v>6</v>
      </c>
      <c r="AI105" s="1" t="s">
        <v>83</v>
      </c>
      <c r="AJ105" s="1">
        <v>6</v>
      </c>
      <c r="AK105" s="1">
        <v>6</v>
      </c>
      <c r="AL105" s="1" t="s">
        <v>83</v>
      </c>
      <c r="AM105" s="1">
        <v>5</v>
      </c>
      <c r="AN105" s="1">
        <v>6</v>
      </c>
      <c r="AO105" s="1" t="s">
        <v>83</v>
      </c>
      <c r="AP105" s="1">
        <v>6</v>
      </c>
      <c r="AQ105" s="1">
        <v>6</v>
      </c>
      <c r="AR105" s="1" t="s">
        <v>83</v>
      </c>
      <c r="AS105" s="1">
        <v>6</v>
      </c>
      <c r="AT105" s="1">
        <v>6</v>
      </c>
      <c r="AU105" s="1" t="s">
        <v>83</v>
      </c>
      <c r="AV105" s="1">
        <v>6</v>
      </c>
      <c r="AW105" s="1">
        <v>6</v>
      </c>
      <c r="AX105" s="1" t="s">
        <v>83</v>
      </c>
      <c r="AY105" s="1">
        <v>0</v>
      </c>
      <c r="AZ105" s="1">
        <v>0</v>
      </c>
      <c r="BA105" s="1">
        <v>0</v>
      </c>
      <c r="BB105" s="1" t="s">
        <v>840</v>
      </c>
      <c r="BC105" s="1">
        <v>1</v>
      </c>
      <c r="BD105" s="1" t="s">
        <v>841</v>
      </c>
      <c r="BE105" s="1" t="s">
        <v>98</v>
      </c>
      <c r="BF105" s="1" t="s">
        <v>98</v>
      </c>
      <c r="BG105" s="1" t="s">
        <v>98</v>
      </c>
    </row>
    <row r="106" spans="1:59" x14ac:dyDescent="0.35">
      <c r="A106" s="1">
        <v>105</v>
      </c>
      <c r="B106" s="1">
        <v>45840.241064814814</v>
      </c>
      <c r="C106" s="1" t="s">
        <v>842</v>
      </c>
      <c r="D106" s="1" t="s">
        <v>843</v>
      </c>
      <c r="E106" s="1" t="s">
        <v>63</v>
      </c>
      <c r="F106" s="1" t="s">
        <v>240</v>
      </c>
      <c r="G106" s="1" t="s">
        <v>844</v>
      </c>
      <c r="H106" s="1" t="s">
        <v>459</v>
      </c>
      <c r="I106" s="1" t="s">
        <v>439</v>
      </c>
      <c r="J106" s="1" t="s">
        <v>67</v>
      </c>
      <c r="K106" s="1" t="s">
        <v>845</v>
      </c>
      <c r="L106" s="1" t="s">
        <v>69</v>
      </c>
      <c r="M106" s="1" t="s">
        <v>69</v>
      </c>
      <c r="N106" s="1" t="s">
        <v>69</v>
      </c>
      <c r="O106" s="1" t="s">
        <v>69</v>
      </c>
      <c r="P106" s="1" t="s">
        <v>70</v>
      </c>
      <c r="Q106" s="1" t="s">
        <v>107</v>
      </c>
      <c r="R106" s="1" t="s">
        <v>91</v>
      </c>
      <c r="S106" s="1">
        <v>27</v>
      </c>
      <c r="T106" s="1" t="s">
        <v>92</v>
      </c>
      <c r="U106" s="1" t="s">
        <v>73</v>
      </c>
      <c r="V106" s="1" t="s">
        <v>110</v>
      </c>
      <c r="W106" s="1" t="s">
        <v>110</v>
      </c>
      <c r="X106" s="1">
        <v>5</v>
      </c>
      <c r="Y106" s="1">
        <v>6</v>
      </c>
      <c r="Z106" s="1" t="s">
        <v>83</v>
      </c>
      <c r="AA106" s="1">
        <v>5</v>
      </c>
      <c r="AB106" s="1">
        <v>6</v>
      </c>
      <c r="AC106" s="1" t="s">
        <v>83</v>
      </c>
      <c r="AD106" s="1">
        <v>6</v>
      </c>
      <c r="AE106" s="1">
        <v>6</v>
      </c>
      <c r="AF106" s="1" t="s">
        <v>83</v>
      </c>
      <c r="AG106" s="1">
        <v>0</v>
      </c>
      <c r="AH106" s="1">
        <v>0</v>
      </c>
      <c r="AI106" s="1" t="s">
        <v>83</v>
      </c>
      <c r="AJ106" s="1">
        <v>6</v>
      </c>
      <c r="AK106" s="1">
        <v>6</v>
      </c>
      <c r="AL106" s="1" t="s">
        <v>83</v>
      </c>
      <c r="AM106" s="1">
        <v>6</v>
      </c>
      <c r="AN106" s="1">
        <v>6</v>
      </c>
      <c r="AO106" s="1" t="s">
        <v>83</v>
      </c>
      <c r="AP106" s="1">
        <v>5</v>
      </c>
      <c r="AQ106" s="1">
        <v>6</v>
      </c>
      <c r="AR106" s="1" t="s">
        <v>83</v>
      </c>
      <c r="AS106" s="1">
        <v>3</v>
      </c>
      <c r="AT106" s="1">
        <v>3</v>
      </c>
      <c r="AU106" s="1" t="s">
        <v>2480</v>
      </c>
      <c r="AV106" s="1">
        <v>5</v>
      </c>
      <c r="AW106" s="1">
        <v>5</v>
      </c>
      <c r="AX106" s="1" t="s">
        <v>83</v>
      </c>
      <c r="AY106" s="1">
        <v>0</v>
      </c>
      <c r="AZ106" s="1">
        <v>0</v>
      </c>
      <c r="BA106" s="1">
        <v>0</v>
      </c>
      <c r="BB106" s="1" t="s">
        <v>846</v>
      </c>
      <c r="BC106" s="1">
        <v>2</v>
      </c>
      <c r="BD106" s="1" t="s">
        <v>847</v>
      </c>
      <c r="BE106" s="1" t="s">
        <v>503</v>
      </c>
      <c r="BF106" s="1" t="s">
        <v>503</v>
      </c>
      <c r="BG106" s="1" t="s">
        <v>83</v>
      </c>
    </row>
    <row r="107" spans="1:59" x14ac:dyDescent="0.35">
      <c r="A107" s="1">
        <v>106</v>
      </c>
      <c r="B107" s="1">
        <v>45840.242129629631</v>
      </c>
      <c r="C107" s="1" t="s">
        <v>848</v>
      </c>
      <c r="D107" s="1" t="s">
        <v>849</v>
      </c>
      <c r="E107" s="1" t="s">
        <v>63</v>
      </c>
      <c r="F107" s="1" t="s">
        <v>338</v>
      </c>
      <c r="G107" s="1" t="s">
        <v>850</v>
      </c>
      <c r="H107" s="1" t="s">
        <v>88</v>
      </c>
      <c r="I107" s="1" t="s">
        <v>89</v>
      </c>
      <c r="J107" s="1" t="s">
        <v>649</v>
      </c>
      <c r="K107" s="1" t="s">
        <v>775</v>
      </c>
      <c r="L107" s="1" t="s">
        <v>69</v>
      </c>
      <c r="M107" s="1" t="s">
        <v>69</v>
      </c>
      <c r="N107" s="1" t="s">
        <v>69</v>
      </c>
      <c r="O107" s="1" t="s">
        <v>69</v>
      </c>
      <c r="P107" s="1" t="s">
        <v>106</v>
      </c>
      <c r="Q107" s="1" t="s">
        <v>292</v>
      </c>
      <c r="R107" s="1" t="s">
        <v>130</v>
      </c>
      <c r="S107" s="1">
        <v>18</v>
      </c>
      <c r="T107" s="1" t="s">
        <v>131</v>
      </c>
      <c r="U107" s="1" t="s">
        <v>73</v>
      </c>
      <c r="V107" s="1" t="s">
        <v>851</v>
      </c>
      <c r="W107" s="1" t="s">
        <v>133</v>
      </c>
      <c r="X107" s="1">
        <v>6</v>
      </c>
      <c r="Y107" s="1">
        <v>6</v>
      </c>
      <c r="Z107" s="1" t="s">
        <v>83</v>
      </c>
      <c r="AA107" s="1">
        <v>6</v>
      </c>
      <c r="AB107" s="1">
        <v>5</v>
      </c>
      <c r="AC107" s="1" t="s">
        <v>83</v>
      </c>
      <c r="AD107" s="1">
        <v>5</v>
      </c>
      <c r="AE107" s="1">
        <v>5</v>
      </c>
      <c r="AF107" s="1" t="s">
        <v>83</v>
      </c>
      <c r="AG107" s="1">
        <v>5</v>
      </c>
      <c r="AH107" s="1">
        <v>5</v>
      </c>
      <c r="AI107" s="1" t="s">
        <v>83</v>
      </c>
      <c r="AJ107" s="1">
        <v>5</v>
      </c>
      <c r="AK107" s="1">
        <v>6</v>
      </c>
      <c r="AL107" s="1" t="s">
        <v>83</v>
      </c>
      <c r="AM107" s="1">
        <v>6</v>
      </c>
      <c r="AN107" s="1">
        <v>5</v>
      </c>
      <c r="AO107" s="1" t="s">
        <v>83</v>
      </c>
      <c r="AP107" s="1">
        <v>6</v>
      </c>
      <c r="AQ107" s="1">
        <v>6</v>
      </c>
      <c r="AR107" s="1" t="s">
        <v>83</v>
      </c>
      <c r="AS107" s="1">
        <v>5</v>
      </c>
      <c r="AT107" s="1">
        <v>5</v>
      </c>
      <c r="AU107" s="1" t="s">
        <v>83</v>
      </c>
      <c r="AV107" s="1">
        <v>5</v>
      </c>
      <c r="AW107" s="1">
        <v>5</v>
      </c>
      <c r="AX107" s="1" t="s">
        <v>83</v>
      </c>
      <c r="AY107" s="1">
        <v>0</v>
      </c>
      <c r="AZ107" s="1">
        <v>0</v>
      </c>
      <c r="BA107" s="1">
        <v>1</v>
      </c>
      <c r="BB107" s="1" t="s">
        <v>83</v>
      </c>
      <c r="BC107" s="1">
        <v>0</v>
      </c>
      <c r="BD107" s="1" t="s">
        <v>98</v>
      </c>
      <c r="BE107" s="1" t="s">
        <v>98</v>
      </c>
      <c r="BF107" s="1" t="s">
        <v>98</v>
      </c>
      <c r="BG107" s="1" t="s">
        <v>98</v>
      </c>
    </row>
    <row r="108" spans="1:59" x14ac:dyDescent="0.35">
      <c r="A108" s="1">
        <v>107</v>
      </c>
      <c r="B108" s="1">
        <v>45840.244479166664</v>
      </c>
      <c r="C108" s="1" t="s">
        <v>852</v>
      </c>
      <c r="D108" s="1" t="s">
        <v>853</v>
      </c>
      <c r="E108" s="1" t="s">
        <v>63</v>
      </c>
      <c r="F108" s="1" t="s">
        <v>125</v>
      </c>
      <c r="G108" s="1" t="s">
        <v>854</v>
      </c>
      <c r="H108" s="1" t="s">
        <v>459</v>
      </c>
      <c r="I108" s="1" t="s">
        <v>439</v>
      </c>
      <c r="J108" s="1" t="s">
        <v>67</v>
      </c>
      <c r="K108" s="1" t="s">
        <v>855</v>
      </c>
      <c r="L108" s="1" t="s">
        <v>69</v>
      </c>
      <c r="M108" s="1" t="s">
        <v>69</v>
      </c>
      <c r="N108" s="1" t="s">
        <v>69</v>
      </c>
      <c r="O108" s="1" t="s">
        <v>69</v>
      </c>
      <c r="P108" s="1" t="s">
        <v>106</v>
      </c>
      <c r="Q108" s="1" t="s">
        <v>107</v>
      </c>
      <c r="R108" s="1" t="s">
        <v>492</v>
      </c>
      <c r="S108" s="1">
        <v>24</v>
      </c>
      <c r="T108" s="1" t="s">
        <v>72</v>
      </c>
      <c r="U108" s="1" t="s">
        <v>73</v>
      </c>
      <c r="V108" s="1" t="s">
        <v>74</v>
      </c>
      <c r="W108" s="1" t="s">
        <v>74</v>
      </c>
      <c r="X108" s="1">
        <v>6</v>
      </c>
      <c r="Y108" s="1">
        <v>5</v>
      </c>
      <c r="Z108" s="1" t="s">
        <v>83</v>
      </c>
      <c r="AA108" s="1">
        <v>5</v>
      </c>
      <c r="AB108" s="1">
        <v>5</v>
      </c>
      <c r="AC108" s="1" t="s">
        <v>83</v>
      </c>
      <c r="AD108" s="1">
        <v>6</v>
      </c>
      <c r="AE108" s="1">
        <v>6</v>
      </c>
      <c r="AF108" s="1" t="s">
        <v>83</v>
      </c>
      <c r="AG108" s="1">
        <v>0</v>
      </c>
      <c r="AH108" s="1">
        <v>0</v>
      </c>
      <c r="AI108" s="1" t="s">
        <v>83</v>
      </c>
      <c r="AJ108" s="1">
        <v>6</v>
      </c>
      <c r="AK108" s="1">
        <v>6</v>
      </c>
      <c r="AL108" s="1" t="s">
        <v>83</v>
      </c>
      <c r="AM108" s="1">
        <v>6</v>
      </c>
      <c r="AN108" s="1">
        <v>6</v>
      </c>
      <c r="AO108" s="1" t="s">
        <v>83</v>
      </c>
      <c r="AP108" s="1">
        <v>6</v>
      </c>
      <c r="AQ108" s="1">
        <v>6</v>
      </c>
      <c r="AR108" s="1" t="s">
        <v>83</v>
      </c>
      <c r="AS108" s="1">
        <v>6</v>
      </c>
      <c r="AT108" s="1">
        <v>6</v>
      </c>
      <c r="AU108" s="1" t="s">
        <v>83</v>
      </c>
      <c r="AV108" s="1">
        <v>6</v>
      </c>
      <c r="AW108" s="1">
        <v>6</v>
      </c>
      <c r="AX108" s="1" t="s">
        <v>83</v>
      </c>
      <c r="AY108" s="1">
        <v>0</v>
      </c>
      <c r="AZ108" s="1">
        <v>2</v>
      </c>
      <c r="BA108" s="1">
        <v>0</v>
      </c>
      <c r="BB108" s="1" t="s">
        <v>83</v>
      </c>
      <c r="BC108" s="1">
        <v>0</v>
      </c>
      <c r="BD108" s="1" t="s">
        <v>503</v>
      </c>
      <c r="BE108" s="1" t="s">
        <v>856</v>
      </c>
      <c r="BF108" s="1" t="s">
        <v>857</v>
      </c>
      <c r="BG108" s="1" t="s">
        <v>83</v>
      </c>
    </row>
    <row r="109" spans="1:59" x14ac:dyDescent="0.35">
      <c r="A109" s="1">
        <v>108</v>
      </c>
      <c r="B109" s="1">
        <v>45840.244780092595</v>
      </c>
      <c r="C109" s="1" t="s">
        <v>858</v>
      </c>
      <c r="D109" s="1" t="s">
        <v>859</v>
      </c>
      <c r="E109" s="1" t="s">
        <v>63</v>
      </c>
      <c r="F109" s="1" t="s">
        <v>63</v>
      </c>
      <c r="G109" s="1" t="s">
        <v>860</v>
      </c>
      <c r="H109" s="1" t="s">
        <v>861</v>
      </c>
      <c r="I109" s="1" t="s">
        <v>89</v>
      </c>
      <c r="J109" s="1" t="s">
        <v>862</v>
      </c>
      <c r="K109" s="1" t="s">
        <v>612</v>
      </c>
      <c r="L109" s="1" t="s">
        <v>69</v>
      </c>
      <c r="M109" s="1" t="s">
        <v>69</v>
      </c>
      <c r="N109" s="1" t="s">
        <v>69</v>
      </c>
      <c r="O109" s="1" t="s">
        <v>69</v>
      </c>
      <c r="P109" s="1" t="s">
        <v>106</v>
      </c>
      <c r="Q109" s="1" t="s">
        <v>292</v>
      </c>
      <c r="R109" s="1" t="s">
        <v>431</v>
      </c>
      <c r="S109" s="1">
        <v>19</v>
      </c>
      <c r="T109" s="1" t="s">
        <v>131</v>
      </c>
      <c r="U109" s="1" t="s">
        <v>73</v>
      </c>
      <c r="V109" s="1" t="s">
        <v>94</v>
      </c>
      <c r="W109" s="1" t="s">
        <v>95</v>
      </c>
      <c r="X109" s="1">
        <v>4</v>
      </c>
      <c r="Y109" s="1">
        <v>5</v>
      </c>
      <c r="Z109" s="1" t="s">
        <v>83</v>
      </c>
      <c r="AA109" s="1">
        <v>4</v>
      </c>
      <c r="AB109" s="1">
        <v>5</v>
      </c>
      <c r="AC109" s="1" t="s">
        <v>83</v>
      </c>
      <c r="AD109" s="1">
        <v>5</v>
      </c>
      <c r="AE109" s="1">
        <v>5</v>
      </c>
      <c r="AF109" s="1" t="s">
        <v>83</v>
      </c>
      <c r="AG109" s="1">
        <v>4</v>
      </c>
      <c r="AH109" s="1">
        <v>5</v>
      </c>
      <c r="AI109" s="1" t="s">
        <v>83</v>
      </c>
      <c r="AJ109" s="1">
        <v>5</v>
      </c>
      <c r="AK109" s="1">
        <v>5</v>
      </c>
      <c r="AL109" s="1" t="s">
        <v>83</v>
      </c>
      <c r="AM109" s="1">
        <v>5</v>
      </c>
      <c r="AN109" s="1">
        <v>5</v>
      </c>
      <c r="AO109" s="1" t="s">
        <v>83</v>
      </c>
      <c r="AP109" s="1">
        <v>5</v>
      </c>
      <c r="AQ109" s="1">
        <v>5</v>
      </c>
      <c r="AR109" s="1" t="s">
        <v>83</v>
      </c>
      <c r="AS109" s="1">
        <v>5</v>
      </c>
      <c r="AT109" s="1">
        <v>5</v>
      </c>
      <c r="AU109" s="1" t="s">
        <v>83</v>
      </c>
      <c r="AV109" s="1">
        <v>4</v>
      </c>
      <c r="AW109" s="1">
        <v>5</v>
      </c>
      <c r="AX109" s="1" t="s">
        <v>83</v>
      </c>
      <c r="AY109" s="1">
        <v>0</v>
      </c>
      <c r="AZ109" s="1">
        <v>0</v>
      </c>
      <c r="BA109" s="1">
        <v>0</v>
      </c>
      <c r="BB109" s="1" t="s">
        <v>144</v>
      </c>
      <c r="BC109" s="1">
        <v>2</v>
      </c>
      <c r="BD109" s="1" t="s">
        <v>98</v>
      </c>
      <c r="BE109" s="1" t="s">
        <v>98</v>
      </c>
      <c r="BF109" s="1" t="s">
        <v>863</v>
      </c>
      <c r="BG109" s="1" t="s">
        <v>98</v>
      </c>
    </row>
    <row r="110" spans="1:59" x14ac:dyDescent="0.35">
      <c r="A110" s="1">
        <v>109</v>
      </c>
      <c r="B110" s="1">
        <v>45840.248206018521</v>
      </c>
      <c r="C110" s="1" t="s">
        <v>864</v>
      </c>
      <c r="D110" s="1" t="s">
        <v>865</v>
      </c>
      <c r="E110" s="1" t="s">
        <v>63</v>
      </c>
      <c r="F110" s="1" t="s">
        <v>125</v>
      </c>
      <c r="G110" s="1" t="s">
        <v>866</v>
      </c>
      <c r="H110" s="1" t="s">
        <v>459</v>
      </c>
      <c r="I110" s="1" t="s">
        <v>439</v>
      </c>
      <c r="J110" s="1" t="s">
        <v>649</v>
      </c>
      <c r="K110" s="1" t="s">
        <v>867</v>
      </c>
      <c r="L110" s="1" t="s">
        <v>69</v>
      </c>
      <c r="M110" s="1" t="s">
        <v>69</v>
      </c>
      <c r="N110" s="1" t="s">
        <v>69</v>
      </c>
      <c r="O110" s="1" t="s">
        <v>69</v>
      </c>
      <c r="P110" s="1" t="s">
        <v>106</v>
      </c>
      <c r="Q110" s="1" t="s">
        <v>107</v>
      </c>
      <c r="R110" s="1" t="s">
        <v>868</v>
      </c>
      <c r="S110" s="1">
        <v>33</v>
      </c>
      <c r="T110" s="1" t="s">
        <v>109</v>
      </c>
      <c r="U110" s="1" t="s">
        <v>73</v>
      </c>
      <c r="V110" s="1" t="s">
        <v>74</v>
      </c>
      <c r="W110" s="1" t="s">
        <v>74</v>
      </c>
      <c r="X110" s="1">
        <v>5</v>
      </c>
      <c r="Y110" s="1">
        <v>6</v>
      </c>
      <c r="Z110" s="1" t="s">
        <v>83</v>
      </c>
      <c r="AA110" s="1">
        <v>6</v>
      </c>
      <c r="AB110" s="1">
        <v>6</v>
      </c>
      <c r="AC110" s="1" t="s">
        <v>83</v>
      </c>
      <c r="AD110" s="1">
        <v>6</v>
      </c>
      <c r="AE110" s="1">
        <v>6</v>
      </c>
      <c r="AF110" s="1" t="s">
        <v>83</v>
      </c>
      <c r="AG110" s="1">
        <v>0</v>
      </c>
      <c r="AH110" s="1">
        <v>0</v>
      </c>
      <c r="AI110" s="1" t="s">
        <v>83</v>
      </c>
      <c r="AJ110" s="1">
        <v>6</v>
      </c>
      <c r="AK110" s="1">
        <v>6</v>
      </c>
      <c r="AL110" s="1" t="s">
        <v>83</v>
      </c>
      <c r="AM110" s="1">
        <v>6</v>
      </c>
      <c r="AN110" s="1">
        <v>6</v>
      </c>
      <c r="AO110" s="1" t="s">
        <v>83</v>
      </c>
      <c r="AP110" s="1">
        <v>6</v>
      </c>
      <c r="AQ110" s="1">
        <v>6</v>
      </c>
      <c r="AR110" s="1" t="s">
        <v>83</v>
      </c>
      <c r="AS110" s="1">
        <v>5</v>
      </c>
      <c r="AT110" s="1">
        <v>5</v>
      </c>
      <c r="AU110" s="1" t="s">
        <v>83</v>
      </c>
      <c r="AV110" s="1">
        <v>5</v>
      </c>
      <c r="AW110" s="1">
        <v>5</v>
      </c>
      <c r="AX110" s="1" t="s">
        <v>83</v>
      </c>
      <c r="AY110" s="1">
        <v>1</v>
      </c>
      <c r="AZ110" s="1">
        <v>0</v>
      </c>
      <c r="BA110" s="1">
        <v>0</v>
      </c>
      <c r="BB110" s="1" t="s">
        <v>83</v>
      </c>
      <c r="BC110" s="1">
        <v>0</v>
      </c>
      <c r="BD110" s="1" t="s">
        <v>248</v>
      </c>
      <c r="BE110" s="1" t="s">
        <v>248</v>
      </c>
      <c r="BF110" s="1" t="s">
        <v>442</v>
      </c>
      <c r="BG110" s="1" t="s">
        <v>83</v>
      </c>
    </row>
    <row r="111" spans="1:59" x14ac:dyDescent="0.35">
      <c r="A111" s="1">
        <v>110</v>
      </c>
      <c r="B111" s="1">
        <v>45840.248854166668</v>
      </c>
      <c r="C111" s="1" t="s">
        <v>869</v>
      </c>
      <c r="D111" s="1" t="s">
        <v>870</v>
      </c>
      <c r="E111" s="1" t="s">
        <v>63</v>
      </c>
      <c r="F111" s="1" t="s">
        <v>86</v>
      </c>
      <c r="G111" s="1" t="s">
        <v>871</v>
      </c>
      <c r="H111" s="1" t="s">
        <v>88</v>
      </c>
      <c r="I111" s="1" t="s">
        <v>89</v>
      </c>
      <c r="J111" s="1" t="s">
        <v>649</v>
      </c>
      <c r="K111" s="1" t="s">
        <v>872</v>
      </c>
      <c r="L111" s="1" t="s">
        <v>69</v>
      </c>
      <c r="M111" s="1" t="s">
        <v>69</v>
      </c>
      <c r="N111" s="1" t="s">
        <v>69</v>
      </c>
      <c r="O111" s="1" t="s">
        <v>69</v>
      </c>
      <c r="P111" s="1" t="s">
        <v>106</v>
      </c>
      <c r="Q111" s="1" t="s">
        <v>292</v>
      </c>
      <c r="R111" s="1" t="s">
        <v>873</v>
      </c>
      <c r="S111" s="1">
        <v>37</v>
      </c>
      <c r="T111" s="1" t="s">
        <v>153</v>
      </c>
      <c r="U111" s="1" t="s">
        <v>93</v>
      </c>
      <c r="V111" s="1" t="s">
        <v>74</v>
      </c>
      <c r="W111" s="1" t="s">
        <v>74</v>
      </c>
      <c r="X111" s="1">
        <v>5</v>
      </c>
      <c r="Y111" s="1">
        <v>5</v>
      </c>
      <c r="Z111" s="1" t="s">
        <v>83</v>
      </c>
      <c r="AA111" s="1">
        <v>5</v>
      </c>
      <c r="AB111" s="1">
        <v>5</v>
      </c>
      <c r="AC111" s="1" t="s">
        <v>83</v>
      </c>
      <c r="AD111" s="1">
        <v>4</v>
      </c>
      <c r="AE111" s="1">
        <v>5</v>
      </c>
      <c r="AF111" s="1" t="s">
        <v>83</v>
      </c>
      <c r="AG111" s="1">
        <v>4</v>
      </c>
      <c r="AH111" s="1">
        <v>4</v>
      </c>
      <c r="AI111" s="1" t="s">
        <v>83</v>
      </c>
      <c r="AJ111" s="1">
        <v>5</v>
      </c>
      <c r="AK111" s="1">
        <v>5</v>
      </c>
      <c r="AL111" s="1" t="s">
        <v>83</v>
      </c>
      <c r="AM111" s="1">
        <v>5</v>
      </c>
      <c r="AN111" s="1">
        <v>5</v>
      </c>
      <c r="AO111" s="1" t="s">
        <v>83</v>
      </c>
      <c r="AP111" s="1">
        <v>5</v>
      </c>
      <c r="AQ111" s="1">
        <v>5</v>
      </c>
      <c r="AR111" s="1" t="s">
        <v>83</v>
      </c>
      <c r="AS111" s="1">
        <v>5</v>
      </c>
      <c r="AT111" s="1">
        <v>5</v>
      </c>
      <c r="AU111" s="1" t="s">
        <v>83</v>
      </c>
      <c r="AV111" s="1">
        <v>6</v>
      </c>
      <c r="AW111" s="1">
        <v>6</v>
      </c>
      <c r="AX111" s="1" t="s">
        <v>83</v>
      </c>
      <c r="AY111" s="1">
        <v>2</v>
      </c>
      <c r="AZ111" s="1">
        <v>0</v>
      </c>
      <c r="BA111" s="1">
        <v>0</v>
      </c>
      <c r="BB111" s="1" t="s">
        <v>83</v>
      </c>
      <c r="BC111" s="1">
        <v>0</v>
      </c>
      <c r="BD111" s="1" t="s">
        <v>874</v>
      </c>
      <c r="BE111" s="1" t="s">
        <v>98</v>
      </c>
      <c r="BF111" s="1" t="s">
        <v>98</v>
      </c>
      <c r="BG111" s="1" t="s">
        <v>875</v>
      </c>
    </row>
    <row r="112" spans="1:59" x14ac:dyDescent="0.35">
      <c r="A112" s="1">
        <v>111</v>
      </c>
      <c r="B112" s="1">
        <v>45840.251712962963</v>
      </c>
      <c r="C112" s="1" t="s">
        <v>876</v>
      </c>
      <c r="D112" s="1" t="s">
        <v>877</v>
      </c>
      <c r="E112" s="1" t="s">
        <v>63</v>
      </c>
      <c r="F112" s="1" t="s">
        <v>149</v>
      </c>
      <c r="G112" s="1" t="s">
        <v>878</v>
      </c>
      <c r="H112" s="1" t="s">
        <v>88</v>
      </c>
      <c r="I112" s="1" t="s">
        <v>89</v>
      </c>
      <c r="J112" s="1" t="s">
        <v>649</v>
      </c>
      <c r="K112" s="1" t="s">
        <v>879</v>
      </c>
      <c r="L112" s="1" t="s">
        <v>69</v>
      </c>
      <c r="M112" s="1" t="s">
        <v>69</v>
      </c>
      <c r="N112" s="1" t="s">
        <v>69</v>
      </c>
      <c r="O112" s="1" t="s">
        <v>69</v>
      </c>
      <c r="P112" s="1" t="s">
        <v>70</v>
      </c>
      <c r="Q112" s="1" t="s">
        <v>271</v>
      </c>
      <c r="R112" s="1" t="s">
        <v>538</v>
      </c>
      <c r="S112" s="1">
        <v>41</v>
      </c>
      <c r="T112" s="1" t="s">
        <v>197</v>
      </c>
      <c r="U112" s="1" t="s">
        <v>73</v>
      </c>
      <c r="V112" s="1" t="s">
        <v>880</v>
      </c>
      <c r="W112" s="1" t="s">
        <v>232</v>
      </c>
      <c r="X112" s="1">
        <v>5</v>
      </c>
      <c r="Y112" s="1">
        <v>5</v>
      </c>
      <c r="Z112" s="1" t="s">
        <v>83</v>
      </c>
      <c r="AA112" s="1">
        <v>6</v>
      </c>
      <c r="AB112" s="1">
        <v>5</v>
      </c>
      <c r="AC112" s="1" t="s">
        <v>83</v>
      </c>
      <c r="AD112" s="1">
        <v>5</v>
      </c>
      <c r="AE112" s="1">
        <v>5</v>
      </c>
      <c r="AF112" s="1" t="s">
        <v>83</v>
      </c>
      <c r="AG112" s="1">
        <v>4</v>
      </c>
      <c r="AH112" s="1">
        <v>5</v>
      </c>
      <c r="AI112" s="1" t="s">
        <v>83</v>
      </c>
      <c r="AJ112" s="1">
        <v>5</v>
      </c>
      <c r="AK112" s="1">
        <v>5</v>
      </c>
      <c r="AL112" s="1" t="s">
        <v>83</v>
      </c>
      <c r="AM112" s="1">
        <v>5</v>
      </c>
      <c r="AN112" s="1">
        <v>5</v>
      </c>
      <c r="AO112" s="1" t="s">
        <v>83</v>
      </c>
      <c r="AP112" s="1">
        <v>5</v>
      </c>
      <c r="AQ112" s="1">
        <v>5</v>
      </c>
      <c r="AR112" s="1" t="s">
        <v>83</v>
      </c>
      <c r="AS112" s="1">
        <v>5</v>
      </c>
      <c r="AT112" s="1">
        <v>5</v>
      </c>
      <c r="AU112" s="1" t="s">
        <v>83</v>
      </c>
      <c r="AV112" s="1">
        <v>5</v>
      </c>
      <c r="AW112" s="1">
        <v>5</v>
      </c>
      <c r="AX112" s="1" t="s">
        <v>83</v>
      </c>
      <c r="AY112" s="1">
        <v>0</v>
      </c>
      <c r="AZ112" s="1">
        <v>0</v>
      </c>
      <c r="BA112" s="1">
        <v>0</v>
      </c>
      <c r="BB112" s="1" t="s">
        <v>144</v>
      </c>
      <c r="BC112" s="1">
        <v>1</v>
      </c>
      <c r="BD112" s="1" t="s">
        <v>98</v>
      </c>
      <c r="BE112" s="1" t="s">
        <v>98</v>
      </c>
      <c r="BF112" s="1" t="s">
        <v>98</v>
      </c>
      <c r="BG112" s="1" t="s">
        <v>98</v>
      </c>
    </row>
    <row r="113" spans="1:59" x14ac:dyDescent="0.35">
      <c r="A113" s="1">
        <v>112</v>
      </c>
      <c r="B113" s="1">
        <v>45840.25209490741</v>
      </c>
      <c r="C113" s="1" t="s">
        <v>881</v>
      </c>
      <c r="D113" s="1" t="s">
        <v>125</v>
      </c>
      <c r="E113" s="1" t="s">
        <v>63</v>
      </c>
      <c r="F113" s="1" t="s">
        <v>125</v>
      </c>
      <c r="G113" s="1" t="s">
        <v>882</v>
      </c>
      <c r="H113" s="1" t="s">
        <v>459</v>
      </c>
      <c r="I113" s="1" t="s">
        <v>439</v>
      </c>
      <c r="J113" s="1" t="s">
        <v>649</v>
      </c>
      <c r="K113" s="1" t="s">
        <v>883</v>
      </c>
      <c r="L113" s="1" t="s">
        <v>69</v>
      </c>
      <c r="M113" s="1" t="s">
        <v>69</v>
      </c>
      <c r="N113" s="1" t="s">
        <v>69</v>
      </c>
      <c r="O113" s="1" t="s">
        <v>69</v>
      </c>
      <c r="P113" s="1" t="s">
        <v>70</v>
      </c>
      <c r="Q113" s="1" t="s">
        <v>107</v>
      </c>
      <c r="R113" s="1" t="s">
        <v>884</v>
      </c>
      <c r="S113" s="1">
        <v>38</v>
      </c>
      <c r="T113" s="1" t="s">
        <v>153</v>
      </c>
      <c r="U113" s="1" t="s">
        <v>93</v>
      </c>
      <c r="V113" s="1" t="s">
        <v>74</v>
      </c>
      <c r="W113" s="1" t="s">
        <v>74</v>
      </c>
      <c r="X113" s="1">
        <v>6</v>
      </c>
      <c r="Y113" s="1">
        <v>6</v>
      </c>
      <c r="Z113" s="1" t="s">
        <v>83</v>
      </c>
      <c r="AA113" s="1">
        <v>6</v>
      </c>
      <c r="AB113" s="1">
        <v>6</v>
      </c>
      <c r="AC113" s="1" t="s">
        <v>83</v>
      </c>
      <c r="AD113" s="1">
        <v>5</v>
      </c>
      <c r="AE113" s="1">
        <v>5</v>
      </c>
      <c r="AF113" s="1" t="s">
        <v>83</v>
      </c>
      <c r="AG113" s="1">
        <v>0</v>
      </c>
      <c r="AH113" s="1">
        <v>0</v>
      </c>
      <c r="AI113" s="1" t="s">
        <v>83</v>
      </c>
      <c r="AJ113" s="1">
        <v>6</v>
      </c>
      <c r="AK113" s="1">
        <v>6</v>
      </c>
      <c r="AL113" s="1" t="s">
        <v>83</v>
      </c>
      <c r="AM113" s="1">
        <v>5</v>
      </c>
      <c r="AN113" s="1">
        <v>5</v>
      </c>
      <c r="AO113" s="1" t="s">
        <v>83</v>
      </c>
      <c r="AP113" s="1">
        <v>6</v>
      </c>
      <c r="AQ113" s="1">
        <v>6</v>
      </c>
      <c r="AR113" s="1" t="s">
        <v>83</v>
      </c>
      <c r="AS113" s="1">
        <v>6</v>
      </c>
      <c r="AT113" s="1">
        <v>6</v>
      </c>
      <c r="AU113" s="1" t="s">
        <v>83</v>
      </c>
      <c r="AV113" s="1">
        <v>5</v>
      </c>
      <c r="AW113" s="1">
        <v>5</v>
      </c>
      <c r="AX113" s="1" t="s">
        <v>83</v>
      </c>
      <c r="AY113" s="1">
        <v>0</v>
      </c>
      <c r="AZ113" s="1">
        <v>0</v>
      </c>
      <c r="BA113" s="1">
        <v>0</v>
      </c>
      <c r="BB113" s="1" t="s">
        <v>144</v>
      </c>
      <c r="BC113" s="1">
        <v>2</v>
      </c>
      <c r="BD113" s="1" t="s">
        <v>442</v>
      </c>
      <c r="BE113" s="1" t="s">
        <v>442</v>
      </c>
      <c r="BF113" s="1" t="s">
        <v>885</v>
      </c>
      <c r="BG113" s="1" t="s">
        <v>83</v>
      </c>
    </row>
    <row r="114" spans="1:59" x14ac:dyDescent="0.35">
      <c r="A114" s="1">
        <v>113</v>
      </c>
      <c r="B114" s="1">
        <v>45840.255428240744</v>
      </c>
      <c r="C114" s="1" t="s">
        <v>886</v>
      </c>
      <c r="D114" s="1" t="s">
        <v>887</v>
      </c>
      <c r="E114" s="1" t="s">
        <v>63</v>
      </c>
      <c r="F114" s="1" t="s">
        <v>125</v>
      </c>
      <c r="G114" s="1" t="s">
        <v>888</v>
      </c>
      <c r="H114" s="1" t="s">
        <v>459</v>
      </c>
      <c r="I114" s="1" t="s">
        <v>439</v>
      </c>
      <c r="J114" s="1" t="s">
        <v>649</v>
      </c>
      <c r="K114" s="1" t="s">
        <v>889</v>
      </c>
      <c r="L114" s="1" t="s">
        <v>69</v>
      </c>
      <c r="M114" s="1" t="s">
        <v>69</v>
      </c>
      <c r="N114" s="1" t="s">
        <v>69</v>
      </c>
      <c r="O114" s="1" t="s">
        <v>69</v>
      </c>
      <c r="P114" s="1" t="s">
        <v>106</v>
      </c>
      <c r="Q114" s="1" t="s">
        <v>107</v>
      </c>
      <c r="R114" s="1" t="s">
        <v>868</v>
      </c>
      <c r="S114" s="1">
        <v>33</v>
      </c>
      <c r="T114" s="1" t="s">
        <v>109</v>
      </c>
      <c r="U114" s="1" t="s">
        <v>73</v>
      </c>
      <c r="V114" s="1" t="s">
        <v>890</v>
      </c>
      <c r="W114" s="1" t="s">
        <v>74</v>
      </c>
      <c r="X114" s="1">
        <v>6</v>
      </c>
      <c r="Y114" s="1">
        <v>6</v>
      </c>
      <c r="Z114" s="1" t="s">
        <v>83</v>
      </c>
      <c r="AA114" s="1">
        <v>5</v>
      </c>
      <c r="AB114" s="1">
        <v>5</v>
      </c>
      <c r="AC114" s="1" t="s">
        <v>83</v>
      </c>
      <c r="AD114" s="1">
        <v>5</v>
      </c>
      <c r="AE114" s="1">
        <v>5</v>
      </c>
      <c r="AF114" s="1" t="s">
        <v>83</v>
      </c>
      <c r="AG114" s="1">
        <v>0</v>
      </c>
      <c r="AH114" s="1">
        <v>0</v>
      </c>
      <c r="AI114" s="1" t="s">
        <v>83</v>
      </c>
      <c r="AJ114" s="1">
        <v>5</v>
      </c>
      <c r="AK114" s="1">
        <v>5</v>
      </c>
      <c r="AL114" s="1" t="s">
        <v>83</v>
      </c>
      <c r="AM114" s="1">
        <v>5</v>
      </c>
      <c r="AN114" s="1">
        <v>5</v>
      </c>
      <c r="AO114" s="1" t="s">
        <v>83</v>
      </c>
      <c r="AP114" s="1">
        <v>6</v>
      </c>
      <c r="AQ114" s="1">
        <v>6</v>
      </c>
      <c r="AR114" s="1" t="s">
        <v>83</v>
      </c>
      <c r="AS114" s="1">
        <v>6</v>
      </c>
      <c r="AT114" s="1">
        <v>6</v>
      </c>
      <c r="AU114" s="1" t="s">
        <v>83</v>
      </c>
      <c r="AV114" s="1">
        <v>5</v>
      </c>
      <c r="AW114" s="1">
        <v>5</v>
      </c>
      <c r="AX114" s="1" t="s">
        <v>83</v>
      </c>
      <c r="AY114" s="1">
        <v>0</v>
      </c>
      <c r="AZ114" s="1">
        <v>0</v>
      </c>
      <c r="BA114" s="1">
        <v>0</v>
      </c>
      <c r="BB114" s="1" t="s">
        <v>144</v>
      </c>
      <c r="BC114" s="1">
        <v>2</v>
      </c>
      <c r="BD114" s="1" t="s">
        <v>442</v>
      </c>
      <c r="BE114" s="1" t="s">
        <v>442</v>
      </c>
      <c r="BF114" s="1" t="s">
        <v>891</v>
      </c>
      <c r="BG114" s="1" t="s">
        <v>83</v>
      </c>
    </row>
    <row r="115" spans="1:59" x14ac:dyDescent="0.35">
      <c r="A115" s="1">
        <v>114</v>
      </c>
      <c r="B115" s="1">
        <v>45840.255648148152</v>
      </c>
      <c r="C115" s="1" t="s">
        <v>892</v>
      </c>
      <c r="D115" s="1" t="s">
        <v>893</v>
      </c>
      <c r="E115" s="1" t="s">
        <v>63</v>
      </c>
      <c r="F115" s="1" t="s">
        <v>179</v>
      </c>
      <c r="G115" s="1" t="s">
        <v>894</v>
      </c>
      <c r="H115" s="1" t="s">
        <v>242</v>
      </c>
      <c r="I115" s="1" t="s">
        <v>243</v>
      </c>
      <c r="J115" s="1" t="s">
        <v>639</v>
      </c>
      <c r="K115" s="1" t="s">
        <v>895</v>
      </c>
      <c r="L115" s="1" t="s">
        <v>69</v>
      </c>
      <c r="M115" s="1" t="s">
        <v>69</v>
      </c>
      <c r="N115" s="1" t="s">
        <v>69</v>
      </c>
      <c r="O115" s="1" t="s">
        <v>69</v>
      </c>
      <c r="P115" s="1" t="s">
        <v>70</v>
      </c>
      <c r="Q115" s="1" t="s">
        <v>107</v>
      </c>
      <c r="R115" s="1" t="s">
        <v>91</v>
      </c>
      <c r="S115" s="1">
        <v>27</v>
      </c>
      <c r="T115" s="1" t="s">
        <v>92</v>
      </c>
      <c r="U115" s="1" t="s">
        <v>93</v>
      </c>
      <c r="V115" s="1" t="s">
        <v>142</v>
      </c>
      <c r="W115" s="1" t="s">
        <v>143</v>
      </c>
      <c r="X115" s="1">
        <v>6</v>
      </c>
      <c r="Y115" s="1">
        <v>5</v>
      </c>
      <c r="Z115" s="1" t="s">
        <v>83</v>
      </c>
      <c r="AA115" s="1">
        <v>6</v>
      </c>
      <c r="AB115" s="1">
        <v>5</v>
      </c>
      <c r="AC115" s="1" t="s">
        <v>83</v>
      </c>
      <c r="AD115" s="1">
        <v>6</v>
      </c>
      <c r="AE115" s="1">
        <v>6</v>
      </c>
      <c r="AF115" s="1" t="s">
        <v>83</v>
      </c>
      <c r="AG115" s="1">
        <v>0</v>
      </c>
      <c r="AH115" s="1">
        <v>0</v>
      </c>
      <c r="AI115" s="1" t="s">
        <v>83</v>
      </c>
      <c r="AJ115" s="1">
        <v>6</v>
      </c>
      <c r="AK115" s="1">
        <v>6</v>
      </c>
      <c r="AL115" s="1" t="s">
        <v>83</v>
      </c>
      <c r="AM115" s="1">
        <v>6</v>
      </c>
      <c r="AN115" s="1">
        <v>6</v>
      </c>
      <c r="AO115" s="1" t="s">
        <v>83</v>
      </c>
      <c r="AP115" s="1">
        <v>6</v>
      </c>
      <c r="AQ115" s="1">
        <v>6</v>
      </c>
      <c r="AR115" s="1" t="s">
        <v>83</v>
      </c>
      <c r="AS115" s="1">
        <v>6</v>
      </c>
      <c r="AT115" s="1">
        <v>6</v>
      </c>
      <c r="AU115" s="1" t="s">
        <v>83</v>
      </c>
      <c r="AV115" s="1">
        <v>5</v>
      </c>
      <c r="AW115" s="1">
        <v>6</v>
      </c>
      <c r="AX115" s="1" t="s">
        <v>83</v>
      </c>
      <c r="AY115" s="1">
        <v>0</v>
      </c>
      <c r="AZ115" s="1">
        <v>0</v>
      </c>
      <c r="BA115" s="1">
        <v>0</v>
      </c>
      <c r="BB115" s="1" t="s">
        <v>144</v>
      </c>
      <c r="BC115" s="1">
        <v>1</v>
      </c>
      <c r="BD115" s="1" t="s">
        <v>248</v>
      </c>
      <c r="BE115" s="1" t="s">
        <v>248</v>
      </c>
      <c r="BF115" s="1" t="s">
        <v>258</v>
      </c>
      <c r="BG115" s="1" t="s">
        <v>896</v>
      </c>
    </row>
    <row r="116" spans="1:59" x14ac:dyDescent="0.35">
      <c r="A116" s="1">
        <v>115</v>
      </c>
      <c r="B116" s="1">
        <v>45840.260671296295</v>
      </c>
      <c r="C116" s="1" t="s">
        <v>897</v>
      </c>
      <c r="D116" s="1" t="s">
        <v>898</v>
      </c>
      <c r="E116" s="1" t="s">
        <v>63</v>
      </c>
      <c r="F116" s="1" t="s">
        <v>179</v>
      </c>
      <c r="G116" s="1" t="s">
        <v>899</v>
      </c>
      <c r="H116" s="1" t="s">
        <v>242</v>
      </c>
      <c r="I116" s="1" t="s">
        <v>243</v>
      </c>
      <c r="J116" s="1" t="s">
        <v>639</v>
      </c>
      <c r="K116" s="1" t="s">
        <v>900</v>
      </c>
      <c r="L116" s="1" t="s">
        <v>69</v>
      </c>
      <c r="M116" s="1" t="s">
        <v>69</v>
      </c>
      <c r="N116" s="1" t="s">
        <v>69</v>
      </c>
      <c r="O116" s="1" t="s">
        <v>69</v>
      </c>
      <c r="P116" s="1" t="s">
        <v>70</v>
      </c>
      <c r="Q116" s="1" t="s">
        <v>107</v>
      </c>
      <c r="R116" s="1" t="s">
        <v>499</v>
      </c>
      <c r="S116" s="1">
        <v>22</v>
      </c>
      <c r="T116" s="1" t="s">
        <v>72</v>
      </c>
      <c r="U116" s="1" t="s">
        <v>73</v>
      </c>
      <c r="V116" s="1" t="s">
        <v>74</v>
      </c>
      <c r="W116" s="1" t="s">
        <v>74</v>
      </c>
      <c r="X116" s="1">
        <v>3</v>
      </c>
      <c r="Y116" s="1">
        <v>4</v>
      </c>
      <c r="Z116" s="1" t="s">
        <v>2481</v>
      </c>
      <c r="AA116" s="1">
        <v>4</v>
      </c>
      <c r="AB116" s="1">
        <v>4</v>
      </c>
      <c r="AC116" s="1" t="s">
        <v>83</v>
      </c>
      <c r="AD116" s="1">
        <v>5</v>
      </c>
      <c r="AE116" s="1">
        <v>5</v>
      </c>
      <c r="AF116" s="1" t="s">
        <v>83</v>
      </c>
      <c r="AG116" s="1">
        <v>0</v>
      </c>
      <c r="AH116" s="1">
        <v>0</v>
      </c>
      <c r="AI116" s="1" t="s">
        <v>83</v>
      </c>
      <c r="AJ116" s="1">
        <v>3</v>
      </c>
      <c r="AK116" s="1">
        <v>6</v>
      </c>
      <c r="AL116" s="1" t="s">
        <v>2482</v>
      </c>
      <c r="AM116" s="1">
        <v>5</v>
      </c>
      <c r="AN116" s="1">
        <v>6</v>
      </c>
      <c r="AO116" s="1" t="s">
        <v>83</v>
      </c>
      <c r="AP116" s="1">
        <v>5</v>
      </c>
      <c r="AQ116" s="1">
        <v>6</v>
      </c>
      <c r="AR116" s="1" t="s">
        <v>83</v>
      </c>
      <c r="AS116" s="1">
        <v>6</v>
      </c>
      <c r="AT116" s="1">
        <v>6</v>
      </c>
      <c r="AU116" s="1" t="s">
        <v>83</v>
      </c>
      <c r="AV116" s="1">
        <v>6</v>
      </c>
      <c r="AW116" s="1">
        <v>6</v>
      </c>
      <c r="AX116" s="1" t="s">
        <v>83</v>
      </c>
      <c r="AY116" s="1">
        <v>2</v>
      </c>
      <c r="AZ116" s="1">
        <v>0</v>
      </c>
      <c r="BA116" s="1">
        <v>0</v>
      </c>
      <c r="BB116" s="1" t="s">
        <v>83</v>
      </c>
      <c r="BC116" s="1">
        <v>0</v>
      </c>
      <c r="BD116" s="1" t="s">
        <v>901</v>
      </c>
      <c r="BE116" s="1" t="s">
        <v>278</v>
      </c>
      <c r="BF116" s="1" t="s">
        <v>248</v>
      </c>
      <c r="BG116" s="1" t="s">
        <v>248</v>
      </c>
    </row>
    <row r="117" spans="1:59" x14ac:dyDescent="0.35">
      <c r="A117" s="1">
        <v>116</v>
      </c>
      <c r="B117" s="1">
        <v>45840.262858796297</v>
      </c>
      <c r="C117" s="1" t="s">
        <v>902</v>
      </c>
      <c r="D117" s="1" t="s">
        <v>903</v>
      </c>
      <c r="E117" s="1" t="s">
        <v>904</v>
      </c>
      <c r="F117" s="1" t="s">
        <v>905</v>
      </c>
      <c r="G117" s="1" t="s">
        <v>906</v>
      </c>
      <c r="H117" s="1" t="s">
        <v>459</v>
      </c>
      <c r="I117" s="1" t="s">
        <v>439</v>
      </c>
      <c r="J117" s="1" t="s">
        <v>907</v>
      </c>
      <c r="K117" s="1" t="s">
        <v>589</v>
      </c>
      <c r="L117" s="1" t="s">
        <v>69</v>
      </c>
      <c r="M117" s="1" t="s">
        <v>69</v>
      </c>
      <c r="N117" s="1" t="s">
        <v>69</v>
      </c>
      <c r="O117" s="1" t="s">
        <v>69</v>
      </c>
      <c r="P117" s="1" t="s">
        <v>106</v>
      </c>
      <c r="Q117" s="1" t="s">
        <v>107</v>
      </c>
      <c r="R117" s="1" t="s">
        <v>546</v>
      </c>
      <c r="S117" s="1">
        <v>31</v>
      </c>
      <c r="T117" s="1" t="s">
        <v>109</v>
      </c>
      <c r="U117" s="1" t="s">
        <v>73</v>
      </c>
      <c r="V117" s="1" t="s">
        <v>908</v>
      </c>
      <c r="W117" s="1" t="s">
        <v>110</v>
      </c>
      <c r="X117" s="1">
        <v>6</v>
      </c>
      <c r="Y117" s="1">
        <v>6</v>
      </c>
      <c r="Z117" s="1" t="s">
        <v>83</v>
      </c>
      <c r="AA117" s="1">
        <v>6</v>
      </c>
      <c r="AB117" s="1">
        <v>6</v>
      </c>
      <c r="AC117" s="1" t="s">
        <v>83</v>
      </c>
      <c r="AD117" s="1">
        <v>6</v>
      </c>
      <c r="AE117" s="1">
        <v>6</v>
      </c>
      <c r="AF117" s="1" t="s">
        <v>83</v>
      </c>
      <c r="AG117" s="1">
        <v>0</v>
      </c>
      <c r="AH117" s="1">
        <v>0</v>
      </c>
      <c r="AI117" s="1" t="s">
        <v>83</v>
      </c>
      <c r="AJ117" s="1">
        <v>6</v>
      </c>
      <c r="AK117" s="1">
        <v>6</v>
      </c>
      <c r="AL117" s="1" t="s">
        <v>83</v>
      </c>
      <c r="AM117" s="1">
        <v>6</v>
      </c>
      <c r="AN117" s="1">
        <v>6</v>
      </c>
      <c r="AO117" s="1" t="s">
        <v>83</v>
      </c>
      <c r="AP117" s="1">
        <v>6</v>
      </c>
      <c r="AQ117" s="1">
        <v>6</v>
      </c>
      <c r="AR117" s="1" t="s">
        <v>83</v>
      </c>
      <c r="AS117" s="1">
        <v>6</v>
      </c>
      <c r="AT117" s="1">
        <v>6</v>
      </c>
      <c r="AU117" s="1" t="s">
        <v>83</v>
      </c>
      <c r="AV117" s="1">
        <v>6</v>
      </c>
      <c r="AW117" s="1">
        <v>6</v>
      </c>
      <c r="AX117" s="1" t="s">
        <v>83</v>
      </c>
      <c r="AY117" s="1">
        <v>0</v>
      </c>
      <c r="AZ117" s="1">
        <v>0</v>
      </c>
      <c r="BA117" s="1">
        <v>0</v>
      </c>
      <c r="BB117" s="1" t="s">
        <v>144</v>
      </c>
      <c r="BC117" s="1">
        <v>1</v>
      </c>
      <c r="BD117" s="1" t="s">
        <v>909</v>
      </c>
      <c r="BE117" s="1" t="s">
        <v>248</v>
      </c>
      <c r="BF117" s="1" t="s">
        <v>555</v>
      </c>
      <c r="BG117" s="1" t="s">
        <v>83</v>
      </c>
    </row>
    <row r="118" spans="1:59" x14ac:dyDescent="0.35">
      <c r="A118" s="1">
        <v>117</v>
      </c>
      <c r="B118" s="1">
        <v>45840.264652777776</v>
      </c>
      <c r="C118" s="1" t="s">
        <v>910</v>
      </c>
      <c r="D118" s="1" t="s">
        <v>911</v>
      </c>
      <c r="E118" s="1" t="s">
        <v>63</v>
      </c>
      <c r="F118" s="1" t="s">
        <v>179</v>
      </c>
      <c r="G118" s="1" t="s">
        <v>912</v>
      </c>
      <c r="H118" s="1" t="s">
        <v>242</v>
      </c>
      <c r="I118" s="1" t="s">
        <v>243</v>
      </c>
      <c r="J118" s="1" t="s">
        <v>639</v>
      </c>
      <c r="K118" s="1" t="s">
        <v>913</v>
      </c>
      <c r="L118" s="1" t="s">
        <v>69</v>
      </c>
      <c r="M118" s="1" t="s">
        <v>69</v>
      </c>
      <c r="N118" s="1" t="s">
        <v>69</v>
      </c>
      <c r="O118" s="1" t="s">
        <v>69</v>
      </c>
      <c r="P118" s="1" t="s">
        <v>70</v>
      </c>
      <c r="Q118" s="1" t="s">
        <v>107</v>
      </c>
      <c r="R118" s="1" t="s">
        <v>431</v>
      </c>
      <c r="S118" s="1">
        <v>19</v>
      </c>
      <c r="T118" s="1" t="s">
        <v>131</v>
      </c>
      <c r="U118" s="1" t="s">
        <v>73</v>
      </c>
      <c r="V118" s="1" t="s">
        <v>94</v>
      </c>
      <c r="W118" s="1" t="s">
        <v>95</v>
      </c>
      <c r="X118" s="1">
        <v>6</v>
      </c>
      <c r="Y118" s="1">
        <v>6</v>
      </c>
      <c r="Z118" s="1" t="s">
        <v>83</v>
      </c>
      <c r="AA118" s="1">
        <v>5</v>
      </c>
      <c r="AB118" s="1">
        <v>6</v>
      </c>
      <c r="AC118" s="1" t="s">
        <v>83</v>
      </c>
      <c r="AD118" s="1">
        <v>6</v>
      </c>
      <c r="AE118" s="1">
        <v>6</v>
      </c>
      <c r="AF118" s="1" t="s">
        <v>83</v>
      </c>
      <c r="AG118" s="1">
        <v>0</v>
      </c>
      <c r="AH118" s="1">
        <v>0</v>
      </c>
      <c r="AI118" s="1" t="s">
        <v>83</v>
      </c>
      <c r="AJ118" s="1">
        <v>6</v>
      </c>
      <c r="AK118" s="1">
        <v>6</v>
      </c>
      <c r="AL118" s="1" t="s">
        <v>83</v>
      </c>
      <c r="AM118" s="1">
        <v>6</v>
      </c>
      <c r="AN118" s="1">
        <v>6</v>
      </c>
      <c r="AO118" s="1" t="s">
        <v>83</v>
      </c>
      <c r="AP118" s="1">
        <v>6</v>
      </c>
      <c r="AQ118" s="1">
        <v>6</v>
      </c>
      <c r="AR118" s="1" t="s">
        <v>83</v>
      </c>
      <c r="AS118" s="1">
        <v>6</v>
      </c>
      <c r="AT118" s="1">
        <v>6</v>
      </c>
      <c r="AU118" s="1" t="s">
        <v>83</v>
      </c>
      <c r="AV118" s="1">
        <v>5</v>
      </c>
      <c r="AW118" s="1">
        <v>6</v>
      </c>
      <c r="AX118" s="1" t="s">
        <v>83</v>
      </c>
      <c r="AY118" s="1">
        <v>0</v>
      </c>
      <c r="AZ118" s="1">
        <v>0</v>
      </c>
      <c r="BA118" s="1">
        <v>1</v>
      </c>
      <c r="BB118" s="1" t="s">
        <v>83</v>
      </c>
      <c r="BC118" s="1">
        <v>0</v>
      </c>
      <c r="BD118" s="1" t="s">
        <v>914</v>
      </c>
      <c r="BE118" s="1" t="s">
        <v>248</v>
      </c>
      <c r="BF118" s="1" t="s">
        <v>915</v>
      </c>
      <c r="BG118" s="1" t="s">
        <v>278</v>
      </c>
    </row>
    <row r="119" spans="1:59" x14ac:dyDescent="0.35">
      <c r="A119" s="1">
        <v>118</v>
      </c>
      <c r="B119" s="1">
        <v>45840.265821759262</v>
      </c>
      <c r="C119" s="1" t="s">
        <v>916</v>
      </c>
      <c r="D119" s="1" t="s">
        <v>917</v>
      </c>
      <c r="E119" s="1" t="s">
        <v>63</v>
      </c>
      <c r="F119" s="1" t="s">
        <v>125</v>
      </c>
      <c r="G119" s="1" t="s">
        <v>918</v>
      </c>
      <c r="H119" s="1" t="s">
        <v>459</v>
      </c>
      <c r="I119" s="1" t="s">
        <v>439</v>
      </c>
      <c r="J119" s="1" t="s">
        <v>649</v>
      </c>
      <c r="K119" s="1" t="s">
        <v>919</v>
      </c>
      <c r="L119" s="1" t="s">
        <v>69</v>
      </c>
      <c r="M119" s="1" t="s">
        <v>69</v>
      </c>
      <c r="N119" s="1" t="s">
        <v>69</v>
      </c>
      <c r="O119" s="1" t="s">
        <v>69</v>
      </c>
      <c r="P119" s="1" t="s">
        <v>106</v>
      </c>
      <c r="Q119" s="1" t="s">
        <v>107</v>
      </c>
      <c r="R119" s="1" t="s">
        <v>873</v>
      </c>
      <c r="S119" s="1">
        <v>37</v>
      </c>
      <c r="T119" s="1" t="s">
        <v>153</v>
      </c>
      <c r="U119" s="1" t="s">
        <v>273</v>
      </c>
      <c r="V119" s="1" t="s">
        <v>74</v>
      </c>
      <c r="W119" s="1" t="s">
        <v>74</v>
      </c>
      <c r="X119" s="1">
        <v>6</v>
      </c>
      <c r="Y119" s="1">
        <v>5</v>
      </c>
      <c r="Z119" s="1" t="s">
        <v>83</v>
      </c>
      <c r="AA119" s="1">
        <v>5</v>
      </c>
      <c r="AB119" s="1">
        <v>5</v>
      </c>
      <c r="AC119" s="1" t="s">
        <v>83</v>
      </c>
      <c r="AD119" s="1">
        <v>6</v>
      </c>
      <c r="AE119" s="1">
        <v>6</v>
      </c>
      <c r="AF119" s="1" t="s">
        <v>83</v>
      </c>
      <c r="AG119" s="1">
        <v>0</v>
      </c>
      <c r="AH119" s="1">
        <v>0</v>
      </c>
      <c r="AI119" s="1" t="s">
        <v>83</v>
      </c>
      <c r="AJ119" s="1">
        <v>6</v>
      </c>
      <c r="AK119" s="1">
        <v>6</v>
      </c>
      <c r="AL119" s="1" t="s">
        <v>83</v>
      </c>
      <c r="AM119" s="1">
        <v>6</v>
      </c>
      <c r="AN119" s="1">
        <v>6</v>
      </c>
      <c r="AO119" s="1" t="s">
        <v>83</v>
      </c>
      <c r="AP119" s="1">
        <v>6</v>
      </c>
      <c r="AQ119" s="1">
        <v>6</v>
      </c>
      <c r="AR119" s="1" t="s">
        <v>83</v>
      </c>
      <c r="AS119" s="1">
        <v>6</v>
      </c>
      <c r="AT119" s="1">
        <v>6</v>
      </c>
      <c r="AU119" s="1" t="s">
        <v>83</v>
      </c>
      <c r="AV119" s="1">
        <v>5</v>
      </c>
      <c r="AW119" s="1">
        <v>5</v>
      </c>
      <c r="AX119" s="1" t="s">
        <v>83</v>
      </c>
      <c r="AY119" s="1">
        <v>0</v>
      </c>
      <c r="AZ119" s="1">
        <v>0</v>
      </c>
      <c r="BA119" s="1">
        <v>0</v>
      </c>
      <c r="BB119" s="1" t="s">
        <v>144</v>
      </c>
      <c r="BC119" s="1">
        <v>2</v>
      </c>
      <c r="BD119" s="1" t="s">
        <v>442</v>
      </c>
      <c r="BE119" s="1" t="s">
        <v>442</v>
      </c>
      <c r="BF119" s="1" t="s">
        <v>442</v>
      </c>
      <c r="BG119" s="1" t="s">
        <v>83</v>
      </c>
    </row>
    <row r="120" spans="1:59" x14ac:dyDescent="0.35">
      <c r="A120" s="1">
        <v>119</v>
      </c>
      <c r="B120" s="1">
        <v>45840.267025462963</v>
      </c>
      <c r="C120" s="1" t="s">
        <v>920</v>
      </c>
      <c r="D120" s="1" t="s">
        <v>921</v>
      </c>
      <c r="E120" s="1" t="s">
        <v>63</v>
      </c>
      <c r="F120" s="1" t="s">
        <v>179</v>
      </c>
      <c r="G120" s="1" t="s">
        <v>922</v>
      </c>
      <c r="H120" s="1" t="s">
        <v>242</v>
      </c>
      <c r="I120" s="1" t="s">
        <v>243</v>
      </c>
      <c r="J120" s="1" t="s">
        <v>639</v>
      </c>
      <c r="K120" s="1" t="s">
        <v>923</v>
      </c>
      <c r="L120" s="1" t="s">
        <v>69</v>
      </c>
      <c r="M120" s="1" t="s">
        <v>69</v>
      </c>
      <c r="N120" s="1" t="s">
        <v>69</v>
      </c>
      <c r="O120" s="1" t="s">
        <v>69</v>
      </c>
      <c r="P120" s="1" t="s">
        <v>70</v>
      </c>
      <c r="Q120" s="1" t="s">
        <v>71</v>
      </c>
      <c r="R120" s="1" t="s">
        <v>130</v>
      </c>
      <c r="S120" s="1">
        <v>18</v>
      </c>
      <c r="T120" s="1" t="s">
        <v>131</v>
      </c>
      <c r="U120" s="1" t="s">
        <v>73</v>
      </c>
      <c r="V120" s="1" t="s">
        <v>94</v>
      </c>
      <c r="W120" s="1" t="s">
        <v>95</v>
      </c>
      <c r="X120" s="1">
        <v>6</v>
      </c>
      <c r="Y120" s="1">
        <v>6</v>
      </c>
      <c r="Z120" s="1" t="s">
        <v>83</v>
      </c>
      <c r="AA120" s="1">
        <v>6</v>
      </c>
      <c r="AB120" s="1">
        <v>6</v>
      </c>
      <c r="AC120" s="1" t="s">
        <v>83</v>
      </c>
      <c r="AD120" s="1">
        <v>6</v>
      </c>
      <c r="AE120" s="1">
        <v>6</v>
      </c>
      <c r="AF120" s="1" t="s">
        <v>83</v>
      </c>
      <c r="AG120" s="1">
        <v>6</v>
      </c>
      <c r="AH120" s="1">
        <v>6</v>
      </c>
      <c r="AI120" s="1" t="s">
        <v>83</v>
      </c>
      <c r="AJ120" s="1">
        <v>6</v>
      </c>
      <c r="AK120" s="1">
        <v>6</v>
      </c>
      <c r="AL120" s="1" t="s">
        <v>83</v>
      </c>
      <c r="AM120" s="1">
        <v>6</v>
      </c>
      <c r="AN120" s="1">
        <v>6</v>
      </c>
      <c r="AO120" s="1" t="s">
        <v>83</v>
      </c>
      <c r="AP120" s="1">
        <v>6</v>
      </c>
      <c r="AQ120" s="1">
        <v>6</v>
      </c>
      <c r="AR120" s="1" t="s">
        <v>83</v>
      </c>
      <c r="AS120" s="1">
        <v>6</v>
      </c>
      <c r="AT120" s="1">
        <v>6</v>
      </c>
      <c r="AU120" s="1" t="s">
        <v>83</v>
      </c>
      <c r="AV120" s="1">
        <v>6</v>
      </c>
      <c r="AW120" s="1">
        <v>6</v>
      </c>
      <c r="AX120" s="1" t="s">
        <v>83</v>
      </c>
      <c r="AY120" s="1">
        <v>0</v>
      </c>
      <c r="AZ120" s="1">
        <v>1</v>
      </c>
      <c r="BA120" s="1">
        <v>0</v>
      </c>
      <c r="BB120" s="1" t="s">
        <v>83</v>
      </c>
      <c r="BC120" s="1">
        <v>0</v>
      </c>
      <c r="BD120" s="1" t="s">
        <v>248</v>
      </c>
      <c r="BE120" s="1" t="s">
        <v>248</v>
      </c>
      <c r="BF120" s="1" t="s">
        <v>248</v>
      </c>
      <c r="BG120" s="1" t="s">
        <v>248</v>
      </c>
    </row>
    <row r="121" spans="1:59" x14ac:dyDescent="0.35">
      <c r="A121" s="1">
        <v>120</v>
      </c>
      <c r="B121" s="1">
        <v>45840.270173611112</v>
      </c>
      <c r="C121" s="1" t="s">
        <v>924</v>
      </c>
      <c r="D121" s="1" t="s">
        <v>925</v>
      </c>
      <c r="E121" s="1" t="s">
        <v>63</v>
      </c>
      <c r="F121" s="1" t="s">
        <v>125</v>
      </c>
      <c r="G121" s="1" t="s">
        <v>926</v>
      </c>
      <c r="H121" s="1" t="s">
        <v>438</v>
      </c>
      <c r="I121" s="1" t="s">
        <v>439</v>
      </c>
      <c r="J121" s="1" t="s">
        <v>649</v>
      </c>
      <c r="K121" s="1" t="s">
        <v>927</v>
      </c>
      <c r="L121" s="1" t="s">
        <v>69</v>
      </c>
      <c r="M121" s="1" t="s">
        <v>69</v>
      </c>
      <c r="N121" s="1" t="s">
        <v>69</v>
      </c>
      <c r="O121" s="1" t="s">
        <v>69</v>
      </c>
      <c r="P121" s="1" t="s">
        <v>106</v>
      </c>
      <c r="Q121" s="1" t="s">
        <v>71</v>
      </c>
      <c r="R121" s="1" t="s">
        <v>130</v>
      </c>
      <c r="S121" s="1">
        <v>18</v>
      </c>
      <c r="T121" s="1" t="s">
        <v>131</v>
      </c>
      <c r="U121" s="1" t="s">
        <v>73</v>
      </c>
      <c r="V121" s="1" t="s">
        <v>133</v>
      </c>
      <c r="W121" s="1" t="s">
        <v>133</v>
      </c>
      <c r="X121" s="1">
        <v>5</v>
      </c>
      <c r="Y121" s="1">
        <v>5</v>
      </c>
      <c r="Z121" s="1" t="s">
        <v>83</v>
      </c>
      <c r="AA121" s="1">
        <v>3</v>
      </c>
      <c r="AB121" s="1">
        <v>3</v>
      </c>
      <c r="AC121" s="1" t="s">
        <v>2483</v>
      </c>
      <c r="AD121" s="1">
        <v>6</v>
      </c>
      <c r="AE121" s="1">
        <v>6</v>
      </c>
      <c r="AF121" s="1" t="s">
        <v>83</v>
      </c>
      <c r="AG121" s="1">
        <v>5</v>
      </c>
      <c r="AH121" s="1">
        <v>5</v>
      </c>
      <c r="AI121" s="1" t="s">
        <v>83</v>
      </c>
      <c r="AJ121" s="1">
        <v>5</v>
      </c>
      <c r="AK121" s="1">
        <v>5</v>
      </c>
      <c r="AL121" s="1" t="s">
        <v>83</v>
      </c>
      <c r="AM121" s="1">
        <v>6</v>
      </c>
      <c r="AN121" s="1">
        <v>6</v>
      </c>
      <c r="AO121" s="1" t="s">
        <v>83</v>
      </c>
      <c r="AP121" s="1">
        <v>6</v>
      </c>
      <c r="AQ121" s="1">
        <v>6</v>
      </c>
      <c r="AR121" s="1" t="s">
        <v>83</v>
      </c>
      <c r="AS121" s="1">
        <v>6</v>
      </c>
      <c r="AT121" s="1">
        <v>6</v>
      </c>
      <c r="AU121" s="1" t="s">
        <v>83</v>
      </c>
      <c r="AV121" s="1">
        <v>5</v>
      </c>
      <c r="AW121" s="1">
        <v>5</v>
      </c>
      <c r="AX121" s="1" t="s">
        <v>83</v>
      </c>
      <c r="AY121" s="1">
        <v>0</v>
      </c>
      <c r="AZ121" s="1">
        <v>2</v>
      </c>
      <c r="BA121" s="1">
        <v>0</v>
      </c>
      <c r="BB121" s="1" t="s">
        <v>83</v>
      </c>
      <c r="BC121" s="1">
        <v>0</v>
      </c>
      <c r="BD121" s="1" t="s">
        <v>442</v>
      </c>
      <c r="BE121" s="1" t="s">
        <v>442</v>
      </c>
      <c r="BF121" s="1" t="s">
        <v>891</v>
      </c>
      <c r="BG121" s="1" t="s">
        <v>83</v>
      </c>
    </row>
    <row r="122" spans="1:59" x14ac:dyDescent="0.35">
      <c r="A122" s="1">
        <v>121</v>
      </c>
      <c r="B122" s="1">
        <v>45840.270231481481</v>
      </c>
      <c r="C122" s="1" t="s">
        <v>928</v>
      </c>
      <c r="D122" s="1" t="s">
        <v>929</v>
      </c>
      <c r="E122" s="1" t="s">
        <v>63</v>
      </c>
      <c r="F122" s="1" t="s">
        <v>179</v>
      </c>
      <c r="G122" s="1" t="s">
        <v>930</v>
      </c>
      <c r="H122" s="1" t="s">
        <v>242</v>
      </c>
      <c r="I122" s="1" t="s">
        <v>243</v>
      </c>
      <c r="J122" s="1" t="s">
        <v>639</v>
      </c>
      <c r="K122" s="1" t="s">
        <v>270</v>
      </c>
      <c r="L122" s="1" t="s">
        <v>69</v>
      </c>
      <c r="M122" s="1" t="s">
        <v>69</v>
      </c>
      <c r="N122" s="1" t="s">
        <v>69</v>
      </c>
      <c r="O122" s="1" t="s">
        <v>69</v>
      </c>
      <c r="P122" s="1" t="s">
        <v>70</v>
      </c>
      <c r="Q122" s="1" t="s">
        <v>71</v>
      </c>
      <c r="R122" s="1" t="s">
        <v>492</v>
      </c>
      <c r="S122" s="1">
        <v>24</v>
      </c>
      <c r="T122" s="1" t="s">
        <v>72</v>
      </c>
      <c r="U122" s="1" t="s">
        <v>93</v>
      </c>
      <c r="V122" s="1" t="s">
        <v>74</v>
      </c>
      <c r="W122" s="1" t="s">
        <v>74</v>
      </c>
      <c r="X122" s="1">
        <v>6</v>
      </c>
      <c r="Y122" s="1">
        <v>6</v>
      </c>
      <c r="Z122" s="1" t="s">
        <v>83</v>
      </c>
      <c r="AA122" s="1">
        <v>5</v>
      </c>
      <c r="AB122" s="1">
        <v>6</v>
      </c>
      <c r="AC122" s="1" t="s">
        <v>83</v>
      </c>
      <c r="AD122" s="1">
        <v>6</v>
      </c>
      <c r="AE122" s="1">
        <v>6</v>
      </c>
      <c r="AF122" s="1" t="s">
        <v>83</v>
      </c>
      <c r="AG122" s="1">
        <v>6</v>
      </c>
      <c r="AH122" s="1">
        <v>6</v>
      </c>
      <c r="AI122" s="1" t="s">
        <v>83</v>
      </c>
      <c r="AJ122" s="1">
        <v>6</v>
      </c>
      <c r="AK122" s="1">
        <v>6</v>
      </c>
      <c r="AL122" s="1" t="s">
        <v>83</v>
      </c>
      <c r="AM122" s="1">
        <v>6</v>
      </c>
      <c r="AN122" s="1">
        <v>6</v>
      </c>
      <c r="AO122" s="1" t="s">
        <v>83</v>
      </c>
      <c r="AP122" s="1">
        <v>6</v>
      </c>
      <c r="AQ122" s="1">
        <v>6</v>
      </c>
      <c r="AR122" s="1" t="s">
        <v>83</v>
      </c>
      <c r="AS122" s="1">
        <v>6</v>
      </c>
      <c r="AT122" s="1">
        <v>6</v>
      </c>
      <c r="AU122" s="1" t="s">
        <v>83</v>
      </c>
      <c r="AV122" s="1">
        <v>6</v>
      </c>
      <c r="AW122" s="1">
        <v>5</v>
      </c>
      <c r="AX122" s="1" t="s">
        <v>83</v>
      </c>
      <c r="AY122" s="1">
        <v>0</v>
      </c>
      <c r="AZ122" s="1">
        <v>2</v>
      </c>
      <c r="BA122" s="1">
        <v>0</v>
      </c>
      <c r="BB122" s="1" t="s">
        <v>83</v>
      </c>
      <c r="BC122" s="1">
        <v>0</v>
      </c>
      <c r="BD122" s="1" t="s">
        <v>248</v>
      </c>
      <c r="BE122" s="1" t="s">
        <v>278</v>
      </c>
      <c r="BF122" s="1" t="s">
        <v>278</v>
      </c>
      <c r="BG122" s="1" t="s">
        <v>931</v>
      </c>
    </row>
    <row r="123" spans="1:59" x14ac:dyDescent="0.35">
      <c r="A123" s="1">
        <v>122</v>
      </c>
      <c r="B123" s="1">
        <v>45840.273194444446</v>
      </c>
      <c r="C123" s="1" t="s">
        <v>932</v>
      </c>
      <c r="D123" s="1" t="s">
        <v>933</v>
      </c>
      <c r="E123" s="1" t="s">
        <v>63</v>
      </c>
      <c r="F123" s="1" t="s">
        <v>179</v>
      </c>
      <c r="G123" s="1" t="s">
        <v>934</v>
      </c>
      <c r="H123" s="1" t="s">
        <v>242</v>
      </c>
      <c r="I123" s="1" t="s">
        <v>243</v>
      </c>
      <c r="J123" s="1" t="s">
        <v>639</v>
      </c>
      <c r="K123" s="1" t="s">
        <v>935</v>
      </c>
      <c r="L123" s="1" t="s">
        <v>69</v>
      </c>
      <c r="M123" s="1" t="s">
        <v>69</v>
      </c>
      <c r="N123" s="1" t="s">
        <v>69</v>
      </c>
      <c r="O123" s="1" t="s">
        <v>69</v>
      </c>
      <c r="P123" s="1" t="s">
        <v>106</v>
      </c>
      <c r="Q123" s="1" t="s">
        <v>71</v>
      </c>
      <c r="R123" s="1" t="s">
        <v>91</v>
      </c>
      <c r="S123" s="1">
        <v>27</v>
      </c>
      <c r="T123" s="1" t="s">
        <v>92</v>
      </c>
      <c r="U123" s="1" t="s">
        <v>73</v>
      </c>
      <c r="V123" s="1" t="s">
        <v>74</v>
      </c>
      <c r="W123" s="1" t="s">
        <v>74</v>
      </c>
      <c r="X123" s="1">
        <v>6</v>
      </c>
      <c r="Y123" s="1">
        <v>5</v>
      </c>
      <c r="Z123" s="1" t="s">
        <v>83</v>
      </c>
      <c r="AA123" s="1">
        <v>5</v>
      </c>
      <c r="AB123" s="1">
        <v>6</v>
      </c>
      <c r="AC123" s="1" t="s">
        <v>83</v>
      </c>
      <c r="AD123" s="1">
        <v>6</v>
      </c>
      <c r="AE123" s="1">
        <v>6</v>
      </c>
      <c r="AF123" s="1" t="s">
        <v>83</v>
      </c>
      <c r="AG123" s="1">
        <v>6</v>
      </c>
      <c r="AH123" s="1">
        <v>6</v>
      </c>
      <c r="AI123" s="1" t="s">
        <v>83</v>
      </c>
      <c r="AJ123" s="1">
        <v>6</v>
      </c>
      <c r="AK123" s="1">
        <v>6</v>
      </c>
      <c r="AL123" s="1" t="s">
        <v>83</v>
      </c>
      <c r="AM123" s="1">
        <v>6</v>
      </c>
      <c r="AN123" s="1">
        <v>6</v>
      </c>
      <c r="AO123" s="1" t="s">
        <v>83</v>
      </c>
      <c r="AP123" s="1">
        <v>6</v>
      </c>
      <c r="AQ123" s="1">
        <v>6</v>
      </c>
      <c r="AR123" s="1" t="s">
        <v>83</v>
      </c>
      <c r="AS123" s="1">
        <v>6</v>
      </c>
      <c r="AT123" s="1">
        <v>6</v>
      </c>
      <c r="AU123" s="1" t="s">
        <v>83</v>
      </c>
      <c r="AV123" s="1">
        <v>6</v>
      </c>
      <c r="AW123" s="1">
        <v>6</v>
      </c>
      <c r="AX123" s="1" t="s">
        <v>83</v>
      </c>
      <c r="AY123" s="1">
        <v>0</v>
      </c>
      <c r="AZ123" s="1">
        <v>1</v>
      </c>
      <c r="BA123" s="1">
        <v>0</v>
      </c>
      <c r="BB123" s="1" t="s">
        <v>83</v>
      </c>
      <c r="BC123" s="1">
        <v>0</v>
      </c>
      <c r="BD123" s="1" t="s">
        <v>278</v>
      </c>
      <c r="BE123" s="1" t="s">
        <v>278</v>
      </c>
      <c r="BF123" s="1" t="s">
        <v>936</v>
      </c>
      <c r="BG123" s="1" t="s">
        <v>278</v>
      </c>
    </row>
    <row r="124" spans="1:59" x14ac:dyDescent="0.35">
      <c r="A124" s="1">
        <v>123</v>
      </c>
      <c r="B124" s="1">
        <v>45840.276192129626</v>
      </c>
      <c r="C124" s="1" t="s">
        <v>937</v>
      </c>
      <c r="D124" s="1" t="s">
        <v>938</v>
      </c>
      <c r="E124" s="1" t="s">
        <v>63</v>
      </c>
      <c r="F124" s="1" t="s">
        <v>179</v>
      </c>
      <c r="G124" s="1" t="s">
        <v>939</v>
      </c>
      <c r="H124" s="1" t="s">
        <v>242</v>
      </c>
      <c r="I124" s="1" t="s">
        <v>243</v>
      </c>
      <c r="J124" s="1" t="s">
        <v>639</v>
      </c>
      <c r="K124" s="1" t="s">
        <v>940</v>
      </c>
      <c r="L124" s="1" t="s">
        <v>69</v>
      </c>
      <c r="M124" s="1" t="s">
        <v>69</v>
      </c>
      <c r="N124" s="1" t="s">
        <v>69</v>
      </c>
      <c r="O124" s="1" t="s">
        <v>69</v>
      </c>
      <c r="P124" s="1" t="s">
        <v>70</v>
      </c>
      <c r="Q124" s="1" t="s">
        <v>71</v>
      </c>
      <c r="R124" s="1" t="s">
        <v>130</v>
      </c>
      <c r="S124" s="1">
        <v>18</v>
      </c>
      <c r="T124" s="1" t="s">
        <v>131</v>
      </c>
      <c r="U124" s="1" t="s">
        <v>73</v>
      </c>
      <c r="V124" s="1" t="s">
        <v>941</v>
      </c>
      <c r="W124" s="1" t="s">
        <v>133</v>
      </c>
      <c r="X124" s="1">
        <v>6</v>
      </c>
      <c r="Y124" s="1">
        <v>6</v>
      </c>
      <c r="Z124" s="1" t="s">
        <v>83</v>
      </c>
      <c r="AA124" s="1">
        <v>6</v>
      </c>
      <c r="AB124" s="1">
        <v>6</v>
      </c>
      <c r="AC124" s="1" t="s">
        <v>83</v>
      </c>
      <c r="AD124" s="1">
        <v>6</v>
      </c>
      <c r="AE124" s="1">
        <v>6</v>
      </c>
      <c r="AF124" s="1" t="s">
        <v>83</v>
      </c>
      <c r="AG124" s="1">
        <v>6</v>
      </c>
      <c r="AH124" s="1">
        <v>6</v>
      </c>
      <c r="AI124" s="1" t="s">
        <v>83</v>
      </c>
      <c r="AJ124" s="1">
        <v>6</v>
      </c>
      <c r="AK124" s="1">
        <v>6</v>
      </c>
      <c r="AL124" s="1" t="s">
        <v>83</v>
      </c>
      <c r="AM124" s="1">
        <v>6</v>
      </c>
      <c r="AN124" s="1">
        <v>6</v>
      </c>
      <c r="AO124" s="1" t="s">
        <v>83</v>
      </c>
      <c r="AP124" s="1">
        <v>6</v>
      </c>
      <c r="AQ124" s="1">
        <v>6</v>
      </c>
      <c r="AR124" s="1" t="s">
        <v>83</v>
      </c>
      <c r="AS124" s="1">
        <v>6</v>
      </c>
      <c r="AT124" s="1">
        <v>6</v>
      </c>
      <c r="AU124" s="1" t="s">
        <v>83</v>
      </c>
      <c r="AV124" s="1">
        <v>6</v>
      </c>
      <c r="AW124" s="1">
        <v>6</v>
      </c>
      <c r="AX124" s="1" t="s">
        <v>83</v>
      </c>
      <c r="AY124" s="1">
        <v>2</v>
      </c>
      <c r="AZ124" s="1">
        <v>0</v>
      </c>
      <c r="BA124" s="1">
        <v>0</v>
      </c>
      <c r="BB124" s="1" t="s">
        <v>83</v>
      </c>
      <c r="BC124" s="1">
        <v>0</v>
      </c>
      <c r="BD124" s="1" t="s">
        <v>942</v>
      </c>
      <c r="BE124" s="1" t="s">
        <v>248</v>
      </c>
      <c r="BF124" s="1" t="s">
        <v>248</v>
      </c>
      <c r="BG124" s="1" t="s">
        <v>278</v>
      </c>
    </row>
    <row r="125" spans="1:59" x14ac:dyDescent="0.35">
      <c r="A125" s="1">
        <v>124</v>
      </c>
      <c r="B125" s="1">
        <v>45840.282002314816</v>
      </c>
      <c r="C125" s="1" t="s">
        <v>943</v>
      </c>
      <c r="D125" s="1" t="s">
        <v>944</v>
      </c>
      <c r="E125" s="1" t="s">
        <v>63</v>
      </c>
      <c r="F125" s="1" t="s">
        <v>179</v>
      </c>
      <c r="G125" s="1" t="s">
        <v>945</v>
      </c>
      <c r="H125" s="1" t="s">
        <v>242</v>
      </c>
      <c r="I125" s="1" t="s">
        <v>243</v>
      </c>
      <c r="J125" s="1" t="s">
        <v>639</v>
      </c>
      <c r="K125" s="1" t="s">
        <v>946</v>
      </c>
      <c r="L125" s="1" t="s">
        <v>69</v>
      </c>
      <c r="M125" s="1" t="s">
        <v>69</v>
      </c>
      <c r="N125" s="1" t="s">
        <v>69</v>
      </c>
      <c r="O125" s="1" t="s">
        <v>69</v>
      </c>
      <c r="P125" s="1" t="s">
        <v>106</v>
      </c>
      <c r="Q125" s="1" t="s">
        <v>71</v>
      </c>
      <c r="R125" s="1" t="s">
        <v>431</v>
      </c>
      <c r="S125" s="1">
        <v>19</v>
      </c>
      <c r="T125" s="1" t="s">
        <v>131</v>
      </c>
      <c r="U125" s="1" t="s">
        <v>73</v>
      </c>
      <c r="V125" s="1" t="s">
        <v>941</v>
      </c>
      <c r="W125" s="1" t="s">
        <v>133</v>
      </c>
      <c r="X125" s="1">
        <v>5</v>
      </c>
      <c r="Y125" s="1">
        <v>5</v>
      </c>
      <c r="Z125" s="1" t="s">
        <v>83</v>
      </c>
      <c r="AA125" s="1">
        <v>6</v>
      </c>
      <c r="AB125" s="1">
        <v>5</v>
      </c>
      <c r="AC125" s="1" t="s">
        <v>83</v>
      </c>
      <c r="AD125" s="1">
        <v>5</v>
      </c>
      <c r="AE125" s="1">
        <v>5</v>
      </c>
      <c r="AF125" s="1" t="s">
        <v>83</v>
      </c>
      <c r="AG125" s="1">
        <v>6</v>
      </c>
      <c r="AH125" s="1">
        <v>6</v>
      </c>
      <c r="AI125" s="1" t="s">
        <v>83</v>
      </c>
      <c r="AJ125" s="1">
        <v>5</v>
      </c>
      <c r="AK125" s="1">
        <v>6</v>
      </c>
      <c r="AL125" s="1" t="s">
        <v>83</v>
      </c>
      <c r="AM125" s="1">
        <v>5</v>
      </c>
      <c r="AN125" s="1">
        <v>6</v>
      </c>
      <c r="AO125" s="1" t="s">
        <v>83</v>
      </c>
      <c r="AP125" s="1">
        <v>6</v>
      </c>
      <c r="AQ125" s="1">
        <v>6</v>
      </c>
      <c r="AR125" s="1" t="s">
        <v>83</v>
      </c>
      <c r="AS125" s="1">
        <v>6</v>
      </c>
      <c r="AT125" s="1">
        <v>6</v>
      </c>
      <c r="AU125" s="1" t="s">
        <v>83</v>
      </c>
      <c r="AV125" s="1">
        <v>5</v>
      </c>
      <c r="AW125" s="1">
        <v>6</v>
      </c>
      <c r="AX125" s="1" t="s">
        <v>83</v>
      </c>
      <c r="AY125" s="1">
        <v>0</v>
      </c>
      <c r="AZ125" s="1">
        <v>0</v>
      </c>
      <c r="BA125" s="1">
        <v>2</v>
      </c>
      <c r="BB125" s="1" t="s">
        <v>83</v>
      </c>
      <c r="BC125" s="1">
        <v>0</v>
      </c>
      <c r="BD125" s="1" t="s">
        <v>802</v>
      </c>
      <c r="BE125" s="1" t="s">
        <v>248</v>
      </c>
      <c r="BF125" s="1" t="s">
        <v>248</v>
      </c>
      <c r="BG125" s="1" t="s">
        <v>802</v>
      </c>
    </row>
    <row r="126" spans="1:59" x14ac:dyDescent="0.35">
      <c r="A126" s="1">
        <v>125</v>
      </c>
      <c r="B126" s="1">
        <v>45840.354398148149</v>
      </c>
      <c r="C126" s="1" t="s">
        <v>947</v>
      </c>
      <c r="D126" s="1" t="s">
        <v>948</v>
      </c>
      <c r="E126" s="1" t="s">
        <v>63</v>
      </c>
      <c r="F126" s="1" t="s">
        <v>125</v>
      </c>
      <c r="G126" s="1" t="s">
        <v>949</v>
      </c>
      <c r="H126" s="1" t="s">
        <v>578</v>
      </c>
      <c r="I126" s="1" t="s">
        <v>588</v>
      </c>
      <c r="J126" s="1" t="s">
        <v>950</v>
      </c>
      <c r="K126" s="1" t="s">
        <v>951</v>
      </c>
      <c r="L126" s="1" t="s">
        <v>69</v>
      </c>
      <c r="M126" s="1" t="s">
        <v>69</v>
      </c>
      <c r="N126" s="1" t="s">
        <v>69</v>
      </c>
      <c r="O126" s="1" t="s">
        <v>69</v>
      </c>
      <c r="P126" s="1" t="s">
        <v>70</v>
      </c>
      <c r="Q126" s="1" t="s">
        <v>107</v>
      </c>
      <c r="R126" s="1" t="s">
        <v>952</v>
      </c>
      <c r="S126" s="1">
        <v>35</v>
      </c>
      <c r="T126" s="1" t="s">
        <v>109</v>
      </c>
      <c r="U126" s="1" t="s">
        <v>73</v>
      </c>
      <c r="V126" s="1" t="s">
        <v>110</v>
      </c>
      <c r="W126" s="1" t="s">
        <v>110</v>
      </c>
      <c r="X126" s="1">
        <v>6</v>
      </c>
      <c r="Y126" s="1">
        <v>6</v>
      </c>
      <c r="Z126" s="1" t="s">
        <v>83</v>
      </c>
      <c r="AA126" s="1">
        <v>6</v>
      </c>
      <c r="AB126" s="1">
        <v>6</v>
      </c>
      <c r="AC126" s="1" t="s">
        <v>83</v>
      </c>
      <c r="AD126" s="1">
        <v>6</v>
      </c>
      <c r="AE126" s="1">
        <v>6</v>
      </c>
      <c r="AF126" s="1" t="s">
        <v>83</v>
      </c>
      <c r="AG126" s="1">
        <v>0</v>
      </c>
      <c r="AH126" s="1">
        <v>0</v>
      </c>
      <c r="AI126" s="1" t="s">
        <v>2461</v>
      </c>
      <c r="AJ126" s="1">
        <v>6</v>
      </c>
      <c r="AK126" s="1">
        <v>6</v>
      </c>
      <c r="AL126" s="1" t="s">
        <v>83</v>
      </c>
      <c r="AM126" s="1">
        <v>6</v>
      </c>
      <c r="AN126" s="1">
        <v>6</v>
      </c>
      <c r="AO126" s="1" t="s">
        <v>83</v>
      </c>
      <c r="AP126" s="1">
        <v>6</v>
      </c>
      <c r="AQ126" s="1">
        <v>6</v>
      </c>
      <c r="AR126" s="1" t="s">
        <v>83</v>
      </c>
      <c r="AS126" s="1">
        <v>5</v>
      </c>
      <c r="AT126" s="1">
        <v>6</v>
      </c>
      <c r="AU126" s="1" t="s">
        <v>83</v>
      </c>
      <c r="AV126" s="1">
        <v>5</v>
      </c>
      <c r="AW126" s="1">
        <v>6</v>
      </c>
      <c r="AX126" s="1" t="s">
        <v>83</v>
      </c>
      <c r="AY126" s="1">
        <v>0</v>
      </c>
      <c r="AZ126" s="1">
        <v>0</v>
      </c>
      <c r="BA126" s="1">
        <v>0</v>
      </c>
      <c r="BB126" s="1" t="s">
        <v>198</v>
      </c>
      <c r="BC126" s="1">
        <v>1</v>
      </c>
      <c r="BD126" s="1" t="s">
        <v>953</v>
      </c>
      <c r="BE126" s="1" t="s">
        <v>954</v>
      </c>
      <c r="BF126" s="1" t="s">
        <v>955</v>
      </c>
      <c r="BG126" s="1" t="s">
        <v>83</v>
      </c>
    </row>
    <row r="127" spans="1:59" x14ac:dyDescent="0.35">
      <c r="A127" s="1">
        <v>126</v>
      </c>
      <c r="B127" s="1">
        <v>45840.359074074076</v>
      </c>
      <c r="C127" s="1" t="s">
        <v>956</v>
      </c>
      <c r="D127" s="1" t="s">
        <v>957</v>
      </c>
      <c r="E127" s="1" t="s">
        <v>63</v>
      </c>
      <c r="F127" s="1" t="s">
        <v>125</v>
      </c>
      <c r="G127" s="1" t="s">
        <v>958</v>
      </c>
      <c r="H127" s="1" t="s">
        <v>578</v>
      </c>
      <c r="I127" s="1" t="s">
        <v>588</v>
      </c>
      <c r="J127" s="1" t="s">
        <v>950</v>
      </c>
      <c r="K127" s="1" t="s">
        <v>959</v>
      </c>
      <c r="L127" s="1" t="s">
        <v>69</v>
      </c>
      <c r="M127" s="1" t="s">
        <v>69</v>
      </c>
      <c r="N127" s="1" t="s">
        <v>69</v>
      </c>
      <c r="O127" s="1" t="s">
        <v>69</v>
      </c>
      <c r="P127" s="1" t="s">
        <v>106</v>
      </c>
      <c r="Q127" s="1" t="s">
        <v>107</v>
      </c>
      <c r="R127" s="1" t="s">
        <v>630</v>
      </c>
      <c r="S127" s="1">
        <v>38</v>
      </c>
      <c r="T127" s="1" t="s">
        <v>153</v>
      </c>
      <c r="U127" s="1" t="s">
        <v>73</v>
      </c>
      <c r="V127" s="1" t="s">
        <v>74</v>
      </c>
      <c r="W127" s="1" t="s">
        <v>74</v>
      </c>
      <c r="X127" s="1">
        <v>6</v>
      </c>
      <c r="Y127" s="1">
        <v>6</v>
      </c>
      <c r="Z127" s="1" t="s">
        <v>83</v>
      </c>
      <c r="AA127" s="1">
        <v>6</v>
      </c>
      <c r="AB127" s="1">
        <v>6</v>
      </c>
      <c r="AC127" s="1" t="s">
        <v>83</v>
      </c>
      <c r="AD127" s="1">
        <v>6</v>
      </c>
      <c r="AE127" s="1">
        <v>6</v>
      </c>
      <c r="AF127" s="1" t="s">
        <v>83</v>
      </c>
      <c r="AG127" s="1">
        <v>0</v>
      </c>
      <c r="AH127" s="1">
        <v>0</v>
      </c>
      <c r="AI127" s="1" t="s">
        <v>2461</v>
      </c>
      <c r="AJ127" s="1">
        <v>6</v>
      </c>
      <c r="AK127" s="1">
        <v>6</v>
      </c>
      <c r="AL127" s="1" t="s">
        <v>83</v>
      </c>
      <c r="AM127" s="1">
        <v>6</v>
      </c>
      <c r="AN127" s="1">
        <v>6</v>
      </c>
      <c r="AO127" s="1" t="s">
        <v>83</v>
      </c>
      <c r="AP127" s="1">
        <v>6</v>
      </c>
      <c r="AQ127" s="1">
        <v>6</v>
      </c>
      <c r="AR127" s="1" t="s">
        <v>83</v>
      </c>
      <c r="AS127" s="1">
        <v>6</v>
      </c>
      <c r="AT127" s="1">
        <v>6</v>
      </c>
      <c r="AU127" s="1" t="s">
        <v>83</v>
      </c>
      <c r="AV127" s="1">
        <v>5</v>
      </c>
      <c r="AW127" s="1">
        <v>5</v>
      </c>
      <c r="AX127" s="1" t="s">
        <v>83</v>
      </c>
      <c r="AY127" s="1">
        <v>1</v>
      </c>
      <c r="AZ127" s="1">
        <v>0</v>
      </c>
      <c r="BA127" s="1">
        <v>0</v>
      </c>
      <c r="BB127" s="1" t="s">
        <v>83</v>
      </c>
      <c r="BC127" s="1">
        <v>0</v>
      </c>
      <c r="BD127" s="1" t="s">
        <v>960</v>
      </c>
      <c r="BE127" s="1" t="s">
        <v>961</v>
      </c>
      <c r="BF127" s="1" t="s">
        <v>962</v>
      </c>
      <c r="BG127" s="1" t="s">
        <v>963</v>
      </c>
    </row>
    <row r="128" spans="1:59" x14ac:dyDescent="0.35">
      <c r="A128" s="1">
        <v>127</v>
      </c>
      <c r="B128" s="1">
        <v>45840.363923611112</v>
      </c>
      <c r="C128" s="1" t="s">
        <v>964</v>
      </c>
      <c r="D128" s="1" t="s">
        <v>965</v>
      </c>
      <c r="E128" s="1" t="s">
        <v>63</v>
      </c>
      <c r="F128" s="1" t="s">
        <v>125</v>
      </c>
      <c r="G128" s="1" t="s">
        <v>966</v>
      </c>
      <c r="H128" s="1" t="s">
        <v>103</v>
      </c>
      <c r="I128" s="1" t="s">
        <v>588</v>
      </c>
      <c r="J128" s="1" t="s">
        <v>639</v>
      </c>
      <c r="K128" s="1" t="s">
        <v>967</v>
      </c>
      <c r="L128" s="1" t="s">
        <v>69</v>
      </c>
      <c r="M128" s="1" t="s">
        <v>69</v>
      </c>
      <c r="N128" s="1" t="s">
        <v>69</v>
      </c>
      <c r="O128" s="1" t="s">
        <v>69</v>
      </c>
      <c r="P128" s="1" t="s">
        <v>70</v>
      </c>
      <c r="Q128" s="1" t="s">
        <v>71</v>
      </c>
      <c r="R128" s="1" t="s">
        <v>598</v>
      </c>
      <c r="S128" s="1">
        <v>18</v>
      </c>
      <c r="T128" s="1" t="s">
        <v>131</v>
      </c>
      <c r="U128" s="1" t="s">
        <v>73</v>
      </c>
      <c r="V128" s="1" t="s">
        <v>94</v>
      </c>
      <c r="W128" s="1" t="s">
        <v>95</v>
      </c>
      <c r="X128" s="1">
        <v>4</v>
      </c>
      <c r="Y128" s="1">
        <v>5</v>
      </c>
      <c r="Z128" s="1" t="s">
        <v>83</v>
      </c>
      <c r="AA128" s="1">
        <v>6</v>
      </c>
      <c r="AB128" s="1">
        <v>5</v>
      </c>
      <c r="AC128" s="1" t="s">
        <v>83</v>
      </c>
      <c r="AD128" s="1">
        <v>4</v>
      </c>
      <c r="AE128" s="1">
        <v>5</v>
      </c>
      <c r="AF128" s="1" t="s">
        <v>83</v>
      </c>
      <c r="AG128" s="1">
        <v>4</v>
      </c>
      <c r="AH128" s="1">
        <v>5</v>
      </c>
      <c r="AI128" s="1" t="s">
        <v>2484</v>
      </c>
      <c r="AJ128" s="1">
        <v>5</v>
      </c>
      <c r="AK128" s="1">
        <v>6</v>
      </c>
      <c r="AL128" s="1" t="s">
        <v>83</v>
      </c>
      <c r="AM128" s="1">
        <v>5</v>
      </c>
      <c r="AN128" s="1">
        <v>6</v>
      </c>
      <c r="AO128" s="1" t="s">
        <v>83</v>
      </c>
      <c r="AP128" s="1">
        <v>5</v>
      </c>
      <c r="AQ128" s="1">
        <v>5</v>
      </c>
      <c r="AR128" s="1" t="s">
        <v>83</v>
      </c>
      <c r="AS128" s="1">
        <v>6</v>
      </c>
      <c r="AT128" s="1">
        <v>6</v>
      </c>
      <c r="AU128" s="1" t="s">
        <v>83</v>
      </c>
      <c r="AV128" s="1">
        <v>5</v>
      </c>
      <c r="AW128" s="1">
        <v>6</v>
      </c>
      <c r="AX128" s="1" t="s">
        <v>83</v>
      </c>
      <c r="AY128" s="1">
        <v>0</v>
      </c>
      <c r="AZ128" s="1">
        <v>1</v>
      </c>
      <c r="BA128" s="1">
        <v>0</v>
      </c>
      <c r="BB128" s="1" t="s">
        <v>83</v>
      </c>
      <c r="BC128" s="1">
        <v>0</v>
      </c>
      <c r="BD128" s="1" t="s">
        <v>442</v>
      </c>
      <c r="BE128" s="1" t="s">
        <v>624</v>
      </c>
      <c r="BF128" s="1" t="s">
        <v>442</v>
      </c>
      <c r="BG128" s="1" t="s">
        <v>83</v>
      </c>
    </row>
    <row r="129" spans="1:59" x14ac:dyDescent="0.35">
      <c r="A129" s="1">
        <v>128</v>
      </c>
      <c r="B129" s="1">
        <v>45840.421041666668</v>
      </c>
      <c r="C129" s="1" t="s">
        <v>968</v>
      </c>
      <c r="D129" s="1" t="s">
        <v>969</v>
      </c>
      <c r="E129" s="1" t="s">
        <v>63</v>
      </c>
      <c r="F129" s="1" t="s">
        <v>125</v>
      </c>
      <c r="G129" s="1" t="s">
        <v>970</v>
      </c>
      <c r="H129" s="1" t="s">
        <v>459</v>
      </c>
      <c r="I129" s="1" t="s">
        <v>439</v>
      </c>
      <c r="J129" s="1" t="s">
        <v>971</v>
      </c>
      <c r="K129" s="1" t="s">
        <v>972</v>
      </c>
      <c r="L129" s="1" t="s">
        <v>69</v>
      </c>
      <c r="M129" s="1" t="s">
        <v>69</v>
      </c>
      <c r="N129" s="1" t="s">
        <v>69</v>
      </c>
      <c r="O129" s="1" t="s">
        <v>69</v>
      </c>
      <c r="P129" s="1" t="s">
        <v>70</v>
      </c>
      <c r="Q129" s="1" t="s">
        <v>71</v>
      </c>
      <c r="R129" s="1" t="s">
        <v>492</v>
      </c>
      <c r="S129" s="1">
        <v>24</v>
      </c>
      <c r="T129" s="1" t="s">
        <v>72</v>
      </c>
      <c r="U129" s="1" t="s">
        <v>73</v>
      </c>
      <c r="V129" s="1" t="s">
        <v>74</v>
      </c>
      <c r="W129" s="1" t="s">
        <v>74</v>
      </c>
      <c r="X129" s="1">
        <v>6</v>
      </c>
      <c r="Y129" s="1">
        <v>6</v>
      </c>
      <c r="Z129" s="1" t="s">
        <v>83</v>
      </c>
      <c r="AA129" s="1">
        <v>6</v>
      </c>
      <c r="AB129" s="1">
        <v>6</v>
      </c>
      <c r="AC129" s="1" t="s">
        <v>83</v>
      </c>
      <c r="AD129" s="1">
        <v>6</v>
      </c>
      <c r="AE129" s="1">
        <v>6</v>
      </c>
      <c r="AF129" s="1" t="s">
        <v>83</v>
      </c>
      <c r="AG129" s="1">
        <v>6</v>
      </c>
      <c r="AH129" s="1">
        <v>6</v>
      </c>
      <c r="AI129" s="1" t="s">
        <v>83</v>
      </c>
      <c r="AJ129" s="1">
        <v>6</v>
      </c>
      <c r="AK129" s="1">
        <v>6</v>
      </c>
      <c r="AL129" s="1" t="s">
        <v>83</v>
      </c>
      <c r="AM129" s="1">
        <v>6</v>
      </c>
      <c r="AN129" s="1">
        <v>6</v>
      </c>
      <c r="AO129" s="1" t="s">
        <v>83</v>
      </c>
      <c r="AP129" s="1">
        <v>6</v>
      </c>
      <c r="AQ129" s="1">
        <v>6</v>
      </c>
      <c r="AR129" s="1" t="s">
        <v>83</v>
      </c>
      <c r="AS129" s="1">
        <v>6</v>
      </c>
      <c r="AT129" s="1">
        <v>6</v>
      </c>
      <c r="AU129" s="1" t="s">
        <v>83</v>
      </c>
      <c r="AV129" s="1">
        <v>6</v>
      </c>
      <c r="AW129" s="1">
        <v>6</v>
      </c>
      <c r="AX129" s="1" t="s">
        <v>83</v>
      </c>
      <c r="AY129" s="1">
        <v>1</v>
      </c>
      <c r="AZ129" s="1">
        <v>0</v>
      </c>
      <c r="BA129" s="1">
        <v>0</v>
      </c>
      <c r="BB129" s="1" t="s">
        <v>83</v>
      </c>
      <c r="BC129" s="1">
        <v>0</v>
      </c>
      <c r="BD129" s="1" t="s">
        <v>973</v>
      </c>
      <c r="BE129" s="1" t="s">
        <v>442</v>
      </c>
      <c r="BF129" s="1" t="s">
        <v>442</v>
      </c>
      <c r="BG129" s="1" t="s">
        <v>83</v>
      </c>
    </row>
    <row r="130" spans="1:59" x14ac:dyDescent="0.35">
      <c r="A130" s="1">
        <v>129</v>
      </c>
      <c r="B130" s="1">
        <v>45840.424872685187</v>
      </c>
      <c r="C130" s="1" t="s">
        <v>974</v>
      </c>
      <c r="D130" s="1" t="s">
        <v>975</v>
      </c>
      <c r="E130" s="1" t="s">
        <v>63</v>
      </c>
      <c r="F130" s="1" t="s">
        <v>86</v>
      </c>
      <c r="G130" s="1" t="s">
        <v>976</v>
      </c>
      <c r="H130" s="1" t="s">
        <v>459</v>
      </c>
      <c r="I130" s="1" t="s">
        <v>439</v>
      </c>
      <c r="J130" s="1" t="s">
        <v>971</v>
      </c>
      <c r="K130" s="1" t="s">
        <v>977</v>
      </c>
      <c r="L130" s="1" t="s">
        <v>69</v>
      </c>
      <c r="M130" s="1" t="s">
        <v>69</v>
      </c>
      <c r="N130" s="1" t="s">
        <v>69</v>
      </c>
      <c r="O130" s="1" t="s">
        <v>69</v>
      </c>
      <c r="P130" s="1" t="s">
        <v>70</v>
      </c>
      <c r="Q130" s="1" t="s">
        <v>71</v>
      </c>
      <c r="R130" s="1" t="s">
        <v>217</v>
      </c>
      <c r="S130" s="1">
        <v>20</v>
      </c>
      <c r="T130" s="1" t="s">
        <v>131</v>
      </c>
      <c r="U130" s="1" t="s">
        <v>73</v>
      </c>
      <c r="V130" s="1" t="s">
        <v>74</v>
      </c>
      <c r="W130" s="1" t="s">
        <v>74</v>
      </c>
      <c r="X130" s="1">
        <v>5</v>
      </c>
      <c r="Y130" s="1">
        <v>5</v>
      </c>
      <c r="Z130" s="1" t="s">
        <v>83</v>
      </c>
      <c r="AA130" s="1">
        <v>5</v>
      </c>
      <c r="AB130" s="1">
        <v>5</v>
      </c>
      <c r="AC130" s="1" t="s">
        <v>83</v>
      </c>
      <c r="AD130" s="1">
        <v>5</v>
      </c>
      <c r="AE130" s="1">
        <v>5</v>
      </c>
      <c r="AF130" s="1" t="s">
        <v>83</v>
      </c>
      <c r="AG130" s="1">
        <v>5</v>
      </c>
      <c r="AH130" s="1">
        <v>5</v>
      </c>
      <c r="AI130" s="1" t="s">
        <v>83</v>
      </c>
      <c r="AJ130" s="1">
        <v>5</v>
      </c>
      <c r="AK130" s="1">
        <v>5</v>
      </c>
      <c r="AL130" s="1" t="s">
        <v>83</v>
      </c>
      <c r="AM130" s="1">
        <v>5</v>
      </c>
      <c r="AN130" s="1">
        <v>5</v>
      </c>
      <c r="AO130" s="1" t="s">
        <v>83</v>
      </c>
      <c r="AP130" s="1">
        <v>5</v>
      </c>
      <c r="AQ130" s="1">
        <v>5</v>
      </c>
      <c r="AR130" s="1" t="s">
        <v>83</v>
      </c>
      <c r="AS130" s="1">
        <v>5</v>
      </c>
      <c r="AT130" s="1">
        <v>5</v>
      </c>
      <c r="AU130" s="1" t="s">
        <v>83</v>
      </c>
      <c r="AV130" s="1">
        <v>5</v>
      </c>
      <c r="AW130" s="1">
        <v>5</v>
      </c>
      <c r="AX130" s="1" t="s">
        <v>83</v>
      </c>
      <c r="AY130" s="1">
        <v>1</v>
      </c>
      <c r="AZ130" s="1">
        <v>0</v>
      </c>
      <c r="BA130" s="1">
        <v>0</v>
      </c>
      <c r="BB130" s="1" t="s">
        <v>83</v>
      </c>
      <c r="BC130" s="1">
        <v>0</v>
      </c>
      <c r="BD130" s="1" t="s">
        <v>442</v>
      </c>
      <c r="BE130" s="1" t="s">
        <v>442</v>
      </c>
      <c r="BF130" s="1" t="s">
        <v>442</v>
      </c>
      <c r="BG130" s="1" t="s">
        <v>83</v>
      </c>
    </row>
    <row r="131" spans="1:59" x14ac:dyDescent="0.35">
      <c r="A131" s="1">
        <v>130</v>
      </c>
      <c r="B131" s="1">
        <v>45840.440787037034</v>
      </c>
      <c r="C131" s="1" t="s">
        <v>978</v>
      </c>
      <c r="D131" s="1" t="s">
        <v>979</v>
      </c>
      <c r="E131" s="1" t="s">
        <v>63</v>
      </c>
      <c r="F131" s="1" t="s">
        <v>757</v>
      </c>
      <c r="G131" s="1" t="s">
        <v>980</v>
      </c>
      <c r="H131" s="1" t="s">
        <v>981</v>
      </c>
      <c r="I131" s="1" t="s">
        <v>982</v>
      </c>
      <c r="J131" s="1" t="s">
        <v>983</v>
      </c>
      <c r="K131" s="1" t="s">
        <v>984</v>
      </c>
      <c r="L131" s="1" t="s">
        <v>69</v>
      </c>
      <c r="M131" s="1" t="s">
        <v>69</v>
      </c>
      <c r="N131" s="1" t="s">
        <v>69</v>
      </c>
      <c r="O131" s="1" t="s">
        <v>69</v>
      </c>
      <c r="P131" s="1" t="s">
        <v>106</v>
      </c>
      <c r="Q131" s="1" t="s">
        <v>71</v>
      </c>
      <c r="R131" s="1" t="s">
        <v>483</v>
      </c>
      <c r="S131" s="1">
        <v>28</v>
      </c>
      <c r="T131" s="1" t="s">
        <v>92</v>
      </c>
      <c r="U131" s="1" t="s">
        <v>93</v>
      </c>
      <c r="V131" s="1" t="s">
        <v>74</v>
      </c>
      <c r="W131" s="1" t="s">
        <v>74</v>
      </c>
      <c r="X131" s="1">
        <v>4</v>
      </c>
      <c r="Y131" s="1">
        <v>3</v>
      </c>
      <c r="Z131" s="1" t="s">
        <v>2485</v>
      </c>
      <c r="AA131" s="1">
        <v>6</v>
      </c>
      <c r="AB131" s="1">
        <v>5</v>
      </c>
      <c r="AC131" s="1" t="s">
        <v>83</v>
      </c>
      <c r="AD131" s="1">
        <v>6</v>
      </c>
      <c r="AE131" s="1">
        <v>6</v>
      </c>
      <c r="AF131" s="1" t="s">
        <v>83</v>
      </c>
      <c r="AG131" s="1">
        <v>5</v>
      </c>
      <c r="AH131" s="1">
        <v>4</v>
      </c>
      <c r="AI131" s="1" t="s">
        <v>83</v>
      </c>
      <c r="AJ131" s="1">
        <v>5</v>
      </c>
      <c r="AK131" s="1">
        <v>6</v>
      </c>
      <c r="AL131" s="1" t="s">
        <v>83</v>
      </c>
      <c r="AM131" s="1">
        <v>6</v>
      </c>
      <c r="AN131" s="1">
        <v>6</v>
      </c>
      <c r="AO131" s="1" t="s">
        <v>83</v>
      </c>
      <c r="AP131" s="1">
        <v>6</v>
      </c>
      <c r="AQ131" s="1">
        <v>6</v>
      </c>
      <c r="AR131" s="1" t="s">
        <v>83</v>
      </c>
      <c r="AS131" s="1">
        <v>6</v>
      </c>
      <c r="AT131" s="1">
        <v>6</v>
      </c>
      <c r="AU131" s="1" t="s">
        <v>83</v>
      </c>
      <c r="AV131" s="1">
        <v>6</v>
      </c>
      <c r="AW131" s="1">
        <v>6</v>
      </c>
      <c r="AX131" s="1" t="s">
        <v>83</v>
      </c>
      <c r="AY131" s="1">
        <v>1</v>
      </c>
      <c r="AZ131" s="1">
        <v>0</v>
      </c>
      <c r="BA131" s="1">
        <v>0</v>
      </c>
      <c r="BB131" s="1" t="s">
        <v>83</v>
      </c>
      <c r="BC131" s="1">
        <v>0</v>
      </c>
      <c r="BD131" s="1" t="s">
        <v>985</v>
      </c>
      <c r="BE131" s="1" t="s">
        <v>985</v>
      </c>
      <c r="BF131" s="1" t="s">
        <v>985</v>
      </c>
      <c r="BG131" s="1" t="s">
        <v>83</v>
      </c>
    </row>
    <row r="132" spans="1:59" x14ac:dyDescent="0.35">
      <c r="A132" s="1">
        <v>131</v>
      </c>
      <c r="B132" s="1">
        <v>45840.445960648147</v>
      </c>
      <c r="C132" s="1" t="s">
        <v>986</v>
      </c>
      <c r="D132" s="1" t="s">
        <v>987</v>
      </c>
      <c r="E132" s="1" t="s">
        <v>63</v>
      </c>
      <c r="F132" s="1" t="s">
        <v>757</v>
      </c>
      <c r="G132" s="1" t="s">
        <v>988</v>
      </c>
      <c r="H132" s="1" t="s">
        <v>981</v>
      </c>
      <c r="I132" s="1" t="s">
        <v>982</v>
      </c>
      <c r="J132" s="1" t="s">
        <v>989</v>
      </c>
      <c r="K132" s="1" t="s">
        <v>990</v>
      </c>
      <c r="L132" s="1" t="s">
        <v>69</v>
      </c>
      <c r="M132" s="1" t="s">
        <v>69</v>
      </c>
      <c r="N132" s="1" t="s">
        <v>69</v>
      </c>
      <c r="O132" s="1" t="s">
        <v>69</v>
      </c>
      <c r="P132" s="1" t="s">
        <v>106</v>
      </c>
      <c r="Q132" s="1" t="s">
        <v>71</v>
      </c>
      <c r="R132" s="1" t="s">
        <v>217</v>
      </c>
      <c r="S132" s="1">
        <v>20</v>
      </c>
      <c r="T132" s="1" t="s">
        <v>131</v>
      </c>
      <c r="U132" s="1" t="s">
        <v>73</v>
      </c>
      <c r="V132" s="1" t="s">
        <v>991</v>
      </c>
      <c r="W132" s="1" t="s">
        <v>133</v>
      </c>
      <c r="X132" s="1">
        <v>6</v>
      </c>
      <c r="Y132" s="1">
        <v>6</v>
      </c>
      <c r="Z132" s="1" t="s">
        <v>83</v>
      </c>
      <c r="AA132" s="1">
        <v>6</v>
      </c>
      <c r="AB132" s="1">
        <v>6</v>
      </c>
      <c r="AC132" s="1" t="s">
        <v>83</v>
      </c>
      <c r="AD132" s="1">
        <v>6</v>
      </c>
      <c r="AE132" s="1">
        <v>6</v>
      </c>
      <c r="AF132" s="1" t="s">
        <v>83</v>
      </c>
      <c r="AG132" s="1">
        <v>6</v>
      </c>
      <c r="AH132" s="1">
        <v>6</v>
      </c>
      <c r="AI132" s="1" t="s">
        <v>83</v>
      </c>
      <c r="AJ132" s="1">
        <v>6</v>
      </c>
      <c r="AK132" s="1">
        <v>6</v>
      </c>
      <c r="AL132" s="1" t="s">
        <v>83</v>
      </c>
      <c r="AM132" s="1">
        <v>6</v>
      </c>
      <c r="AN132" s="1">
        <v>6</v>
      </c>
      <c r="AO132" s="1" t="s">
        <v>83</v>
      </c>
      <c r="AP132" s="1">
        <v>6</v>
      </c>
      <c r="AQ132" s="1">
        <v>6</v>
      </c>
      <c r="AR132" s="1" t="s">
        <v>83</v>
      </c>
      <c r="AS132" s="1">
        <v>6</v>
      </c>
      <c r="AT132" s="1">
        <v>6</v>
      </c>
      <c r="AU132" s="1" t="s">
        <v>83</v>
      </c>
      <c r="AV132" s="1">
        <v>6</v>
      </c>
      <c r="AW132" s="1">
        <v>6</v>
      </c>
      <c r="AX132" s="1" t="s">
        <v>83</v>
      </c>
      <c r="AY132" s="1">
        <v>1</v>
      </c>
      <c r="AZ132" s="1">
        <v>0</v>
      </c>
      <c r="BA132" s="1">
        <v>0</v>
      </c>
      <c r="BB132" s="1" t="s">
        <v>83</v>
      </c>
      <c r="BC132" s="1">
        <v>0</v>
      </c>
      <c r="BD132" s="1" t="s">
        <v>992</v>
      </c>
      <c r="BE132" s="1" t="s">
        <v>985</v>
      </c>
      <c r="BF132" s="1" t="s">
        <v>985</v>
      </c>
      <c r="BG132" s="1" t="s">
        <v>83</v>
      </c>
    </row>
    <row r="133" spans="1:59" x14ac:dyDescent="0.35">
      <c r="A133" s="1">
        <v>132</v>
      </c>
      <c r="B133" s="1">
        <v>45840.450312499997</v>
      </c>
      <c r="C133" s="1" t="s">
        <v>993</v>
      </c>
      <c r="D133" s="1" t="s">
        <v>994</v>
      </c>
      <c r="E133" s="1" t="s">
        <v>63</v>
      </c>
      <c r="F133" s="1" t="s">
        <v>136</v>
      </c>
      <c r="G133" s="1" t="s">
        <v>995</v>
      </c>
      <c r="H133" s="1" t="s">
        <v>981</v>
      </c>
      <c r="I133" s="1" t="s">
        <v>982</v>
      </c>
      <c r="J133" s="1" t="s">
        <v>996</v>
      </c>
      <c r="K133" s="1" t="s">
        <v>997</v>
      </c>
      <c r="L133" s="1" t="s">
        <v>69</v>
      </c>
      <c r="M133" s="1" t="s">
        <v>69</v>
      </c>
      <c r="N133" s="1" t="s">
        <v>69</v>
      </c>
      <c r="O133" s="1" t="s">
        <v>69</v>
      </c>
      <c r="P133" s="1" t="s">
        <v>106</v>
      </c>
      <c r="Q133" s="1" t="s">
        <v>71</v>
      </c>
      <c r="R133" s="1" t="s">
        <v>389</v>
      </c>
      <c r="S133" s="1">
        <v>47</v>
      </c>
      <c r="T133" s="1" t="s">
        <v>225</v>
      </c>
      <c r="U133" s="1" t="s">
        <v>73</v>
      </c>
      <c r="V133" s="1" t="s">
        <v>154</v>
      </c>
      <c r="W133" s="1" t="s">
        <v>154</v>
      </c>
      <c r="X133" s="1">
        <v>6</v>
      </c>
      <c r="Y133" s="1">
        <v>6</v>
      </c>
      <c r="Z133" s="1" t="s">
        <v>83</v>
      </c>
      <c r="AA133" s="1">
        <v>6</v>
      </c>
      <c r="AB133" s="1">
        <v>6</v>
      </c>
      <c r="AC133" s="1" t="s">
        <v>83</v>
      </c>
      <c r="AD133" s="1">
        <v>6</v>
      </c>
      <c r="AE133" s="1">
        <v>6</v>
      </c>
      <c r="AF133" s="1" t="s">
        <v>83</v>
      </c>
      <c r="AG133" s="1">
        <v>6</v>
      </c>
      <c r="AH133" s="1">
        <v>6</v>
      </c>
      <c r="AI133" s="1" t="s">
        <v>83</v>
      </c>
      <c r="AJ133" s="1">
        <v>6</v>
      </c>
      <c r="AK133" s="1">
        <v>6</v>
      </c>
      <c r="AL133" s="1" t="s">
        <v>83</v>
      </c>
      <c r="AM133" s="1">
        <v>6</v>
      </c>
      <c r="AN133" s="1">
        <v>6</v>
      </c>
      <c r="AO133" s="1" t="s">
        <v>83</v>
      </c>
      <c r="AP133" s="1">
        <v>6</v>
      </c>
      <c r="AQ133" s="1">
        <v>6</v>
      </c>
      <c r="AR133" s="1" t="s">
        <v>83</v>
      </c>
      <c r="AS133" s="1">
        <v>6</v>
      </c>
      <c r="AT133" s="1">
        <v>6</v>
      </c>
      <c r="AU133" s="1" t="s">
        <v>83</v>
      </c>
      <c r="AV133" s="1">
        <v>6</v>
      </c>
      <c r="AW133" s="1">
        <v>6</v>
      </c>
      <c r="AX133" s="1" t="s">
        <v>83</v>
      </c>
      <c r="AY133" s="1">
        <v>1</v>
      </c>
      <c r="AZ133" s="1">
        <v>0</v>
      </c>
      <c r="BA133" s="1">
        <v>0</v>
      </c>
      <c r="BB133" s="1" t="s">
        <v>83</v>
      </c>
      <c r="BC133" s="1">
        <v>0</v>
      </c>
      <c r="BD133" s="1" t="s">
        <v>985</v>
      </c>
      <c r="BE133" s="1" t="s">
        <v>985</v>
      </c>
      <c r="BF133" s="1" t="s">
        <v>985</v>
      </c>
      <c r="BG133" s="1" t="s">
        <v>83</v>
      </c>
    </row>
    <row r="134" spans="1:59" x14ac:dyDescent="0.35">
      <c r="A134" s="1">
        <v>133</v>
      </c>
      <c r="B134" s="1">
        <v>45840.453796296293</v>
      </c>
      <c r="C134" s="1" t="s">
        <v>998</v>
      </c>
      <c r="D134" s="1" t="s">
        <v>999</v>
      </c>
      <c r="E134" s="1" t="s">
        <v>63</v>
      </c>
      <c r="F134" s="1" t="s">
        <v>63</v>
      </c>
      <c r="G134" s="1" t="s">
        <v>1000</v>
      </c>
      <c r="H134" s="1" t="s">
        <v>981</v>
      </c>
      <c r="I134" s="1" t="s">
        <v>982</v>
      </c>
      <c r="J134" s="1" t="s">
        <v>981</v>
      </c>
      <c r="K134" s="1" t="s">
        <v>1001</v>
      </c>
      <c r="L134" s="1" t="s">
        <v>69</v>
      </c>
      <c r="M134" s="1" t="s">
        <v>69</v>
      </c>
      <c r="N134" s="1" t="s">
        <v>69</v>
      </c>
      <c r="O134" s="1" t="s">
        <v>69</v>
      </c>
      <c r="P134" s="1" t="s">
        <v>70</v>
      </c>
      <c r="Q134" s="1" t="s">
        <v>71</v>
      </c>
      <c r="R134" s="1" t="s">
        <v>91</v>
      </c>
      <c r="S134" s="1">
        <v>27</v>
      </c>
      <c r="T134" s="1" t="s">
        <v>92</v>
      </c>
      <c r="U134" s="1" t="s">
        <v>73</v>
      </c>
      <c r="V134" s="1" t="s">
        <v>991</v>
      </c>
      <c r="W134" s="1" t="s">
        <v>133</v>
      </c>
      <c r="X134" s="1">
        <v>6</v>
      </c>
      <c r="Y134" s="1">
        <v>6</v>
      </c>
      <c r="Z134" s="1" t="s">
        <v>83</v>
      </c>
      <c r="AA134" s="1">
        <v>6</v>
      </c>
      <c r="AB134" s="1">
        <v>6</v>
      </c>
      <c r="AC134" s="1" t="s">
        <v>83</v>
      </c>
      <c r="AD134" s="1">
        <v>6</v>
      </c>
      <c r="AE134" s="1">
        <v>5</v>
      </c>
      <c r="AF134" s="1" t="s">
        <v>83</v>
      </c>
      <c r="AG134" s="1">
        <v>6</v>
      </c>
      <c r="AH134" s="1">
        <v>6</v>
      </c>
      <c r="AI134" s="1" t="s">
        <v>83</v>
      </c>
      <c r="AJ134" s="1">
        <v>6</v>
      </c>
      <c r="AK134" s="1">
        <v>6</v>
      </c>
      <c r="AL134" s="1" t="s">
        <v>83</v>
      </c>
      <c r="AM134" s="1">
        <v>6</v>
      </c>
      <c r="AN134" s="1">
        <v>6</v>
      </c>
      <c r="AO134" s="1" t="s">
        <v>83</v>
      </c>
      <c r="AP134" s="1">
        <v>6</v>
      </c>
      <c r="AQ134" s="1">
        <v>6</v>
      </c>
      <c r="AR134" s="1" t="s">
        <v>83</v>
      </c>
      <c r="AS134" s="1">
        <v>6</v>
      </c>
      <c r="AT134" s="1">
        <v>6</v>
      </c>
      <c r="AU134" s="1" t="s">
        <v>83</v>
      </c>
      <c r="AV134" s="1">
        <v>6</v>
      </c>
      <c r="AW134" s="1">
        <v>6</v>
      </c>
      <c r="AX134" s="1" t="s">
        <v>83</v>
      </c>
      <c r="AY134" s="1">
        <v>1</v>
      </c>
      <c r="AZ134" s="1">
        <v>0</v>
      </c>
      <c r="BA134" s="1">
        <v>0</v>
      </c>
      <c r="BB134" s="1" t="s">
        <v>83</v>
      </c>
      <c r="BC134" s="1">
        <v>0</v>
      </c>
      <c r="BD134" s="1" t="s">
        <v>985</v>
      </c>
      <c r="BE134" s="1" t="s">
        <v>985</v>
      </c>
      <c r="BF134" s="1" t="s">
        <v>985</v>
      </c>
      <c r="BG134" s="1" t="s">
        <v>83</v>
      </c>
    </row>
    <row r="135" spans="1:59" x14ac:dyDescent="0.35">
      <c r="A135" s="1">
        <v>134</v>
      </c>
      <c r="B135" s="1">
        <v>45840.456921296296</v>
      </c>
      <c r="C135" s="1" t="s">
        <v>1002</v>
      </c>
      <c r="D135" s="1" t="s">
        <v>1003</v>
      </c>
      <c r="E135" s="1" t="s">
        <v>63</v>
      </c>
      <c r="F135" s="1" t="s">
        <v>125</v>
      </c>
      <c r="G135" s="1" t="s">
        <v>1004</v>
      </c>
      <c r="H135" s="1" t="s">
        <v>981</v>
      </c>
      <c r="I135" s="1" t="s">
        <v>982</v>
      </c>
      <c r="J135" s="1" t="s">
        <v>989</v>
      </c>
      <c r="K135" s="1" t="s">
        <v>1005</v>
      </c>
      <c r="L135" s="1" t="s">
        <v>69</v>
      </c>
      <c r="M135" s="1" t="s">
        <v>69</v>
      </c>
      <c r="N135" s="1" t="s">
        <v>69</v>
      </c>
      <c r="O135" s="1" t="s">
        <v>69</v>
      </c>
      <c r="P135" s="1" t="s">
        <v>106</v>
      </c>
      <c r="Q135" s="1" t="s">
        <v>71</v>
      </c>
      <c r="R135" s="1" t="s">
        <v>1006</v>
      </c>
      <c r="S135" s="1">
        <v>26</v>
      </c>
      <c r="T135" s="1" t="s">
        <v>92</v>
      </c>
      <c r="U135" s="1" t="s">
        <v>93</v>
      </c>
      <c r="V135" s="1" t="s">
        <v>1007</v>
      </c>
      <c r="W135" s="1" t="s">
        <v>143</v>
      </c>
      <c r="X135" s="1">
        <v>6</v>
      </c>
      <c r="Y135" s="1">
        <v>5</v>
      </c>
      <c r="Z135" s="1" t="s">
        <v>83</v>
      </c>
      <c r="AA135" s="1">
        <v>6</v>
      </c>
      <c r="AB135" s="1">
        <v>5</v>
      </c>
      <c r="AC135" s="1" t="s">
        <v>83</v>
      </c>
      <c r="AD135" s="1">
        <v>6</v>
      </c>
      <c r="AE135" s="1">
        <v>6</v>
      </c>
      <c r="AF135" s="1" t="s">
        <v>83</v>
      </c>
      <c r="AG135" s="1">
        <v>6</v>
      </c>
      <c r="AH135" s="1">
        <v>6</v>
      </c>
      <c r="AI135" s="1" t="s">
        <v>83</v>
      </c>
      <c r="AJ135" s="1">
        <v>6</v>
      </c>
      <c r="AK135" s="1">
        <v>6</v>
      </c>
      <c r="AL135" s="1" t="s">
        <v>83</v>
      </c>
      <c r="AM135" s="1">
        <v>6</v>
      </c>
      <c r="AN135" s="1">
        <v>6</v>
      </c>
      <c r="AO135" s="1" t="s">
        <v>83</v>
      </c>
      <c r="AP135" s="1">
        <v>6</v>
      </c>
      <c r="AQ135" s="1">
        <v>6</v>
      </c>
      <c r="AR135" s="1" t="s">
        <v>83</v>
      </c>
      <c r="AS135" s="1">
        <v>6</v>
      </c>
      <c r="AT135" s="1">
        <v>6</v>
      </c>
      <c r="AU135" s="1" t="s">
        <v>83</v>
      </c>
      <c r="AV135" s="1">
        <v>6</v>
      </c>
      <c r="AW135" s="1">
        <v>6</v>
      </c>
      <c r="AX135" s="1" t="s">
        <v>83</v>
      </c>
      <c r="AY135" s="1">
        <v>1</v>
      </c>
      <c r="AZ135" s="1">
        <v>0</v>
      </c>
      <c r="BA135" s="1">
        <v>0</v>
      </c>
      <c r="BB135" s="1" t="s">
        <v>83</v>
      </c>
      <c r="BC135" s="1">
        <v>0</v>
      </c>
      <c r="BD135" s="1" t="s">
        <v>985</v>
      </c>
      <c r="BE135" s="1" t="s">
        <v>985</v>
      </c>
      <c r="BF135" s="1" t="s">
        <v>985</v>
      </c>
      <c r="BG135" s="1" t="s">
        <v>83</v>
      </c>
    </row>
    <row r="136" spans="1:59" x14ac:dyDescent="0.35">
      <c r="A136" s="1">
        <v>135</v>
      </c>
      <c r="B136" s="1">
        <v>45840.663576388892</v>
      </c>
      <c r="C136" s="1" t="s">
        <v>1008</v>
      </c>
      <c r="D136" s="1" t="s">
        <v>1009</v>
      </c>
      <c r="E136" s="1" t="s">
        <v>63</v>
      </c>
      <c r="F136" s="1" t="s">
        <v>1010</v>
      </c>
      <c r="G136" s="1" t="s">
        <v>1011</v>
      </c>
      <c r="H136" s="1" t="s">
        <v>981</v>
      </c>
      <c r="I136" s="1" t="s">
        <v>982</v>
      </c>
      <c r="J136" s="1" t="s">
        <v>151</v>
      </c>
      <c r="K136" s="1" t="s">
        <v>1012</v>
      </c>
      <c r="L136" s="1" t="s">
        <v>69</v>
      </c>
      <c r="M136" s="1" t="s">
        <v>69</v>
      </c>
      <c r="N136" s="1" t="s">
        <v>69</v>
      </c>
      <c r="O136" s="1" t="s">
        <v>69</v>
      </c>
      <c r="P136" s="1" t="s">
        <v>106</v>
      </c>
      <c r="Q136" s="1" t="s">
        <v>292</v>
      </c>
      <c r="R136" s="1" t="s">
        <v>431</v>
      </c>
      <c r="S136" s="1">
        <v>19</v>
      </c>
      <c r="T136" s="1" t="s">
        <v>131</v>
      </c>
      <c r="U136" s="1" t="s">
        <v>73</v>
      </c>
      <c r="V136" s="1" t="s">
        <v>94</v>
      </c>
      <c r="W136" s="1" t="s">
        <v>95</v>
      </c>
      <c r="X136" s="1">
        <v>5</v>
      </c>
      <c r="Y136" s="1">
        <v>5</v>
      </c>
      <c r="Z136" s="1" t="s">
        <v>83</v>
      </c>
      <c r="AA136" s="1">
        <v>6</v>
      </c>
      <c r="AB136" s="1">
        <v>5</v>
      </c>
      <c r="AC136" s="1" t="s">
        <v>83</v>
      </c>
      <c r="AD136" s="1">
        <v>4</v>
      </c>
      <c r="AE136" s="1">
        <v>6</v>
      </c>
      <c r="AF136" s="1" t="s">
        <v>83</v>
      </c>
      <c r="AG136" s="1">
        <v>6</v>
      </c>
      <c r="AH136" s="1">
        <v>6</v>
      </c>
      <c r="AI136" s="1" t="s">
        <v>83</v>
      </c>
      <c r="AJ136" s="1">
        <v>5</v>
      </c>
      <c r="AK136" s="1">
        <v>5</v>
      </c>
      <c r="AL136" s="1" t="s">
        <v>83</v>
      </c>
      <c r="AM136" s="1">
        <v>6</v>
      </c>
      <c r="AN136" s="1">
        <v>6</v>
      </c>
      <c r="AO136" s="1" t="s">
        <v>83</v>
      </c>
      <c r="AP136" s="1">
        <v>6</v>
      </c>
      <c r="AQ136" s="1">
        <v>6</v>
      </c>
      <c r="AR136" s="1" t="s">
        <v>83</v>
      </c>
      <c r="AS136" s="1">
        <v>6</v>
      </c>
      <c r="AT136" s="1">
        <v>6</v>
      </c>
      <c r="AU136" s="1" t="s">
        <v>83</v>
      </c>
      <c r="AV136" s="1">
        <v>6</v>
      </c>
      <c r="AW136" s="1">
        <v>6</v>
      </c>
      <c r="AX136" s="1" t="s">
        <v>83</v>
      </c>
      <c r="AY136" s="1">
        <v>0</v>
      </c>
      <c r="AZ136" s="1">
        <v>0</v>
      </c>
      <c r="BA136" s="1">
        <v>0</v>
      </c>
      <c r="BB136" s="1" t="s">
        <v>166</v>
      </c>
      <c r="BC136" s="1">
        <v>4</v>
      </c>
      <c r="BD136" s="1" t="s">
        <v>985</v>
      </c>
      <c r="BE136" s="1" t="s">
        <v>1013</v>
      </c>
      <c r="BF136" s="1" t="s">
        <v>985</v>
      </c>
      <c r="BG136" s="1" t="s">
        <v>83</v>
      </c>
    </row>
    <row r="137" spans="1:59" x14ac:dyDescent="0.35">
      <c r="A137" s="1">
        <v>136</v>
      </c>
      <c r="B137" s="1">
        <v>45840.667210648149</v>
      </c>
      <c r="C137" s="1" t="s">
        <v>1014</v>
      </c>
      <c r="D137" s="1" t="s">
        <v>1015</v>
      </c>
      <c r="E137" s="1" t="s">
        <v>63</v>
      </c>
      <c r="F137" s="1" t="s">
        <v>338</v>
      </c>
      <c r="G137" s="1" t="s">
        <v>1016</v>
      </c>
      <c r="H137" s="1" t="s">
        <v>981</v>
      </c>
      <c r="I137" s="1" t="s">
        <v>982</v>
      </c>
      <c r="J137" s="1" t="s">
        <v>151</v>
      </c>
      <c r="K137" s="1" t="s">
        <v>1017</v>
      </c>
      <c r="L137" s="1" t="s">
        <v>69</v>
      </c>
      <c r="M137" s="1" t="s">
        <v>69</v>
      </c>
      <c r="N137" s="1" t="s">
        <v>69</v>
      </c>
      <c r="O137" s="1" t="s">
        <v>69</v>
      </c>
      <c r="P137" s="1" t="s">
        <v>70</v>
      </c>
      <c r="Q137" s="1" t="s">
        <v>292</v>
      </c>
      <c r="R137" s="1" t="s">
        <v>217</v>
      </c>
      <c r="S137" s="1">
        <v>20</v>
      </c>
      <c r="T137" s="1" t="s">
        <v>131</v>
      </c>
      <c r="U137" s="1" t="s">
        <v>73</v>
      </c>
      <c r="V137" s="1" t="s">
        <v>94</v>
      </c>
      <c r="W137" s="1" t="s">
        <v>95</v>
      </c>
      <c r="X137" s="1">
        <v>5</v>
      </c>
      <c r="Y137" s="1">
        <v>6</v>
      </c>
      <c r="Z137" s="1" t="s">
        <v>83</v>
      </c>
      <c r="AA137" s="1">
        <v>5</v>
      </c>
      <c r="AB137" s="1">
        <v>5</v>
      </c>
      <c r="AC137" s="1" t="s">
        <v>83</v>
      </c>
      <c r="AD137" s="1">
        <v>5</v>
      </c>
      <c r="AE137" s="1">
        <v>5</v>
      </c>
      <c r="AF137" s="1" t="s">
        <v>83</v>
      </c>
      <c r="AG137" s="1">
        <v>5</v>
      </c>
      <c r="AH137" s="1">
        <v>5</v>
      </c>
      <c r="AI137" s="1" t="s">
        <v>83</v>
      </c>
      <c r="AJ137" s="1">
        <v>6</v>
      </c>
      <c r="AK137" s="1">
        <v>6</v>
      </c>
      <c r="AL137" s="1" t="s">
        <v>83</v>
      </c>
      <c r="AM137" s="1">
        <v>6</v>
      </c>
      <c r="AN137" s="1">
        <v>6</v>
      </c>
      <c r="AO137" s="1" t="s">
        <v>83</v>
      </c>
      <c r="AP137" s="1">
        <v>6</v>
      </c>
      <c r="AQ137" s="1">
        <v>6</v>
      </c>
      <c r="AR137" s="1" t="s">
        <v>83</v>
      </c>
      <c r="AS137" s="1">
        <v>6</v>
      </c>
      <c r="AT137" s="1">
        <v>6</v>
      </c>
      <c r="AU137" s="1" t="s">
        <v>83</v>
      </c>
      <c r="AV137" s="1">
        <v>6</v>
      </c>
      <c r="AW137" s="1">
        <v>5</v>
      </c>
      <c r="AX137" s="1" t="s">
        <v>83</v>
      </c>
      <c r="AY137" s="1">
        <v>0</v>
      </c>
      <c r="AZ137" s="1">
        <v>0</v>
      </c>
      <c r="BA137" s="1">
        <v>1</v>
      </c>
      <c r="BB137" s="1" t="s">
        <v>83</v>
      </c>
      <c r="BC137" s="1">
        <v>0</v>
      </c>
      <c r="BD137" s="1" t="s">
        <v>985</v>
      </c>
      <c r="BE137" s="1" t="s">
        <v>985</v>
      </c>
      <c r="BF137" s="1" t="s">
        <v>985</v>
      </c>
      <c r="BG137" s="1" t="s">
        <v>83</v>
      </c>
    </row>
    <row r="138" spans="1:59" x14ac:dyDescent="0.35">
      <c r="A138" s="1">
        <v>137</v>
      </c>
      <c r="B138" s="1">
        <v>45840.671724537038</v>
      </c>
      <c r="C138" s="1" t="s">
        <v>1018</v>
      </c>
      <c r="D138" s="1" t="s">
        <v>1019</v>
      </c>
      <c r="E138" s="1" t="s">
        <v>63</v>
      </c>
      <c r="F138" s="1" t="s">
        <v>240</v>
      </c>
      <c r="G138" s="1" t="s">
        <v>1020</v>
      </c>
      <c r="H138" s="1" t="s">
        <v>981</v>
      </c>
      <c r="I138" s="1" t="s">
        <v>982</v>
      </c>
      <c r="J138" s="1" t="s">
        <v>151</v>
      </c>
      <c r="K138" s="1" t="s">
        <v>872</v>
      </c>
      <c r="L138" s="1" t="s">
        <v>69</v>
      </c>
      <c r="M138" s="1" t="s">
        <v>69</v>
      </c>
      <c r="N138" s="1" t="s">
        <v>69</v>
      </c>
      <c r="O138" s="1" t="s">
        <v>69</v>
      </c>
      <c r="P138" s="1" t="s">
        <v>106</v>
      </c>
      <c r="Q138" s="1" t="s">
        <v>292</v>
      </c>
      <c r="R138" s="1" t="s">
        <v>217</v>
      </c>
      <c r="S138" s="1">
        <v>20</v>
      </c>
      <c r="T138" s="1" t="s">
        <v>131</v>
      </c>
      <c r="U138" s="1" t="s">
        <v>73</v>
      </c>
      <c r="V138" s="1" t="s">
        <v>74</v>
      </c>
      <c r="W138" s="1" t="s">
        <v>74</v>
      </c>
      <c r="X138" s="1">
        <v>5</v>
      </c>
      <c r="Y138" s="1">
        <v>5</v>
      </c>
      <c r="Z138" s="1" t="s">
        <v>83</v>
      </c>
      <c r="AA138" s="1">
        <v>6</v>
      </c>
      <c r="AB138" s="1">
        <v>5</v>
      </c>
      <c r="AC138" s="1" t="s">
        <v>83</v>
      </c>
      <c r="AD138" s="1">
        <v>4</v>
      </c>
      <c r="AE138" s="1">
        <v>6</v>
      </c>
      <c r="AF138" s="1" t="s">
        <v>83</v>
      </c>
      <c r="AG138" s="1">
        <v>6</v>
      </c>
      <c r="AH138" s="1">
        <v>5</v>
      </c>
      <c r="AI138" s="1" t="s">
        <v>83</v>
      </c>
      <c r="AJ138" s="1">
        <v>6</v>
      </c>
      <c r="AK138" s="1">
        <v>5</v>
      </c>
      <c r="AL138" s="1" t="s">
        <v>83</v>
      </c>
      <c r="AM138" s="1">
        <v>5</v>
      </c>
      <c r="AN138" s="1">
        <v>5</v>
      </c>
      <c r="AO138" s="1" t="s">
        <v>83</v>
      </c>
      <c r="AP138" s="1">
        <v>5</v>
      </c>
      <c r="AQ138" s="1">
        <v>5</v>
      </c>
      <c r="AR138" s="1" t="s">
        <v>83</v>
      </c>
      <c r="AS138" s="1">
        <v>6</v>
      </c>
      <c r="AT138" s="1">
        <v>5</v>
      </c>
      <c r="AU138" s="1" t="s">
        <v>83</v>
      </c>
      <c r="AV138" s="1">
        <v>6</v>
      </c>
      <c r="AW138" s="1">
        <v>5</v>
      </c>
      <c r="AX138" s="1" t="s">
        <v>83</v>
      </c>
      <c r="AY138" s="1">
        <v>0</v>
      </c>
      <c r="AZ138" s="1">
        <v>0</v>
      </c>
      <c r="BA138" s="1">
        <v>0</v>
      </c>
      <c r="BB138" s="1" t="s">
        <v>379</v>
      </c>
      <c r="BC138" s="1">
        <v>1</v>
      </c>
      <c r="BD138" s="1" t="s">
        <v>985</v>
      </c>
      <c r="BE138" s="1" t="s">
        <v>985</v>
      </c>
      <c r="BF138" s="1" t="s">
        <v>985</v>
      </c>
      <c r="BG138" s="1" t="s">
        <v>83</v>
      </c>
    </row>
    <row r="139" spans="1:59" x14ac:dyDescent="0.35">
      <c r="A139" s="1">
        <v>138</v>
      </c>
      <c r="B139" s="1">
        <v>45840.675347222219</v>
      </c>
      <c r="C139" s="1" t="s">
        <v>1021</v>
      </c>
      <c r="D139" s="1" t="s">
        <v>1022</v>
      </c>
      <c r="E139" s="1" t="s">
        <v>63</v>
      </c>
      <c r="F139" s="1" t="s">
        <v>240</v>
      </c>
      <c r="G139" s="1" t="s">
        <v>1023</v>
      </c>
      <c r="H139" s="1" t="s">
        <v>981</v>
      </c>
      <c r="I139" s="1" t="s">
        <v>982</v>
      </c>
      <c r="J139" s="1" t="s">
        <v>151</v>
      </c>
      <c r="K139" s="1" t="s">
        <v>1024</v>
      </c>
      <c r="L139" s="1" t="s">
        <v>69</v>
      </c>
      <c r="M139" s="1" t="s">
        <v>69</v>
      </c>
      <c r="N139" s="1" t="s">
        <v>69</v>
      </c>
      <c r="O139" s="1" t="s">
        <v>69</v>
      </c>
      <c r="P139" s="1" t="s">
        <v>106</v>
      </c>
      <c r="Q139" s="1" t="s">
        <v>292</v>
      </c>
      <c r="R139" s="1" t="s">
        <v>441</v>
      </c>
      <c r="S139" s="1">
        <v>23</v>
      </c>
      <c r="T139" s="1" t="s">
        <v>72</v>
      </c>
      <c r="U139" s="1" t="s">
        <v>73</v>
      </c>
      <c r="V139" s="1" t="s">
        <v>74</v>
      </c>
      <c r="W139" s="1" t="s">
        <v>74</v>
      </c>
      <c r="X139" s="1">
        <v>6</v>
      </c>
      <c r="Y139" s="1">
        <v>6</v>
      </c>
      <c r="Z139" s="1" t="s">
        <v>83</v>
      </c>
      <c r="AA139" s="1">
        <v>6</v>
      </c>
      <c r="AB139" s="1">
        <v>6</v>
      </c>
      <c r="AC139" s="1" t="s">
        <v>83</v>
      </c>
      <c r="AD139" s="1">
        <v>6</v>
      </c>
      <c r="AE139" s="1">
        <v>6</v>
      </c>
      <c r="AF139" s="1" t="s">
        <v>83</v>
      </c>
      <c r="AG139" s="1">
        <v>6</v>
      </c>
      <c r="AH139" s="1">
        <v>6</v>
      </c>
      <c r="AI139" s="1" t="s">
        <v>83</v>
      </c>
      <c r="AJ139" s="1">
        <v>6</v>
      </c>
      <c r="AK139" s="1">
        <v>6</v>
      </c>
      <c r="AL139" s="1" t="s">
        <v>83</v>
      </c>
      <c r="AM139" s="1">
        <v>6</v>
      </c>
      <c r="AN139" s="1">
        <v>6</v>
      </c>
      <c r="AO139" s="1" t="s">
        <v>83</v>
      </c>
      <c r="AP139" s="1">
        <v>6</v>
      </c>
      <c r="AQ139" s="1">
        <v>6</v>
      </c>
      <c r="AR139" s="1" t="s">
        <v>83</v>
      </c>
      <c r="AS139" s="1">
        <v>6</v>
      </c>
      <c r="AT139" s="1">
        <v>6</v>
      </c>
      <c r="AU139" s="1" t="s">
        <v>83</v>
      </c>
      <c r="AV139" s="1">
        <v>6</v>
      </c>
      <c r="AW139" s="1">
        <v>6</v>
      </c>
      <c r="AX139" s="1" t="s">
        <v>83</v>
      </c>
      <c r="AY139" s="1">
        <v>0</v>
      </c>
      <c r="AZ139" s="1">
        <v>0</v>
      </c>
      <c r="BA139" s="1">
        <v>0</v>
      </c>
      <c r="BB139" s="1" t="s">
        <v>144</v>
      </c>
      <c r="BC139" s="1">
        <v>1</v>
      </c>
      <c r="BD139" s="1" t="s">
        <v>985</v>
      </c>
      <c r="BE139" s="1" t="s">
        <v>985</v>
      </c>
      <c r="BF139" s="1" t="s">
        <v>985</v>
      </c>
      <c r="BG139" s="1" t="s">
        <v>83</v>
      </c>
    </row>
    <row r="140" spans="1:59" x14ac:dyDescent="0.35">
      <c r="A140" s="1">
        <v>139</v>
      </c>
      <c r="B140" s="1">
        <v>45840.6797337963</v>
      </c>
      <c r="C140" s="1" t="s">
        <v>1025</v>
      </c>
      <c r="D140" s="1" t="s">
        <v>1026</v>
      </c>
      <c r="E140" s="1" t="s">
        <v>63</v>
      </c>
      <c r="F140" s="1" t="s">
        <v>480</v>
      </c>
      <c r="G140" s="1" t="s">
        <v>1027</v>
      </c>
      <c r="H140" s="1" t="s">
        <v>981</v>
      </c>
      <c r="I140" s="1" t="s">
        <v>982</v>
      </c>
      <c r="J140" s="1" t="s">
        <v>151</v>
      </c>
      <c r="K140" s="1" t="s">
        <v>355</v>
      </c>
      <c r="L140" s="1" t="s">
        <v>69</v>
      </c>
      <c r="M140" s="1" t="s">
        <v>69</v>
      </c>
      <c r="N140" s="1" t="s">
        <v>69</v>
      </c>
      <c r="O140" s="1" t="s">
        <v>69</v>
      </c>
      <c r="P140" s="1" t="s">
        <v>70</v>
      </c>
      <c r="Q140" s="1" t="s">
        <v>292</v>
      </c>
      <c r="R140" s="1" t="s">
        <v>431</v>
      </c>
      <c r="S140" s="1">
        <v>19</v>
      </c>
      <c r="T140" s="1" t="s">
        <v>131</v>
      </c>
      <c r="U140" s="1" t="s">
        <v>73</v>
      </c>
      <c r="V140" s="1" t="s">
        <v>94</v>
      </c>
      <c r="W140" s="1" t="s">
        <v>95</v>
      </c>
      <c r="X140" s="1">
        <v>6</v>
      </c>
      <c r="Y140" s="1">
        <v>6</v>
      </c>
      <c r="Z140" s="1" t="s">
        <v>83</v>
      </c>
      <c r="AA140" s="1">
        <v>6</v>
      </c>
      <c r="AB140" s="1">
        <v>6</v>
      </c>
      <c r="AC140" s="1" t="s">
        <v>83</v>
      </c>
      <c r="AD140" s="1">
        <v>6</v>
      </c>
      <c r="AE140" s="1">
        <v>5</v>
      </c>
      <c r="AF140" s="1" t="s">
        <v>83</v>
      </c>
      <c r="AG140" s="1">
        <v>6</v>
      </c>
      <c r="AH140" s="1">
        <v>6</v>
      </c>
      <c r="AI140" s="1" t="s">
        <v>83</v>
      </c>
      <c r="AJ140" s="1">
        <v>6</v>
      </c>
      <c r="AK140" s="1">
        <v>6</v>
      </c>
      <c r="AL140" s="1" t="s">
        <v>83</v>
      </c>
      <c r="AM140" s="1">
        <v>6</v>
      </c>
      <c r="AN140" s="1">
        <v>6</v>
      </c>
      <c r="AO140" s="1" t="s">
        <v>83</v>
      </c>
      <c r="AP140" s="1">
        <v>6</v>
      </c>
      <c r="AQ140" s="1">
        <v>5</v>
      </c>
      <c r="AR140" s="1" t="s">
        <v>83</v>
      </c>
      <c r="AS140" s="1">
        <v>6</v>
      </c>
      <c r="AT140" s="1">
        <v>5</v>
      </c>
      <c r="AU140" s="1" t="s">
        <v>83</v>
      </c>
      <c r="AV140" s="1">
        <v>6</v>
      </c>
      <c r="AW140" s="1">
        <v>6</v>
      </c>
      <c r="AX140" s="1" t="s">
        <v>83</v>
      </c>
      <c r="AY140" s="1">
        <v>0</v>
      </c>
      <c r="AZ140" s="1">
        <v>0</v>
      </c>
      <c r="BA140" s="1">
        <v>0</v>
      </c>
      <c r="BB140" s="1" t="s">
        <v>77</v>
      </c>
      <c r="BC140" s="1">
        <v>1</v>
      </c>
      <c r="BD140" s="1" t="s">
        <v>985</v>
      </c>
      <c r="BE140" s="1" t="s">
        <v>985</v>
      </c>
      <c r="BF140" s="1" t="s">
        <v>985</v>
      </c>
      <c r="BG140" s="1" t="s">
        <v>83</v>
      </c>
    </row>
    <row r="141" spans="1:59" x14ac:dyDescent="0.35">
      <c r="A141" s="1">
        <v>140</v>
      </c>
      <c r="B141" s="1">
        <v>45840.686006944445</v>
      </c>
      <c r="C141" s="1" t="s">
        <v>1028</v>
      </c>
      <c r="D141" s="1" t="s">
        <v>1029</v>
      </c>
      <c r="E141" s="1" t="s">
        <v>1030</v>
      </c>
      <c r="F141" s="1" t="s">
        <v>1031</v>
      </c>
      <c r="G141" s="1" t="s">
        <v>1032</v>
      </c>
      <c r="H141" s="1" t="s">
        <v>981</v>
      </c>
      <c r="I141" s="1" t="s">
        <v>982</v>
      </c>
      <c r="J141" s="1" t="s">
        <v>151</v>
      </c>
      <c r="K141" s="1" t="s">
        <v>314</v>
      </c>
      <c r="L141" s="1" t="s">
        <v>69</v>
      </c>
      <c r="M141" s="1" t="s">
        <v>69</v>
      </c>
      <c r="N141" s="1" t="s">
        <v>69</v>
      </c>
      <c r="O141" s="1" t="s">
        <v>69</v>
      </c>
      <c r="P141" s="1" t="s">
        <v>106</v>
      </c>
      <c r="Q141" s="1" t="s">
        <v>271</v>
      </c>
      <c r="R141" s="1" t="s">
        <v>546</v>
      </c>
      <c r="S141" s="1">
        <v>31</v>
      </c>
      <c r="T141" s="1" t="s">
        <v>109</v>
      </c>
      <c r="U141" s="1" t="s">
        <v>73</v>
      </c>
      <c r="V141" s="1" t="s">
        <v>74</v>
      </c>
      <c r="W141" s="1" t="s">
        <v>74</v>
      </c>
      <c r="X141" s="1">
        <v>6</v>
      </c>
      <c r="Y141" s="1">
        <v>6</v>
      </c>
      <c r="Z141" s="1" t="s">
        <v>83</v>
      </c>
      <c r="AA141" s="1">
        <v>6</v>
      </c>
      <c r="AB141" s="1">
        <v>6</v>
      </c>
      <c r="AC141" s="1" t="s">
        <v>83</v>
      </c>
      <c r="AD141" s="1">
        <v>6</v>
      </c>
      <c r="AE141" s="1">
        <v>6</v>
      </c>
      <c r="AF141" s="1" t="s">
        <v>83</v>
      </c>
      <c r="AG141" s="1">
        <v>6</v>
      </c>
      <c r="AH141" s="1">
        <v>6</v>
      </c>
      <c r="AI141" s="1" t="s">
        <v>83</v>
      </c>
      <c r="AJ141" s="1">
        <v>6</v>
      </c>
      <c r="AK141" s="1">
        <v>6</v>
      </c>
      <c r="AL141" s="1" t="s">
        <v>83</v>
      </c>
      <c r="AM141" s="1">
        <v>6</v>
      </c>
      <c r="AN141" s="1">
        <v>6</v>
      </c>
      <c r="AO141" s="1" t="s">
        <v>83</v>
      </c>
      <c r="AP141" s="1">
        <v>6</v>
      </c>
      <c r="AQ141" s="1">
        <v>6</v>
      </c>
      <c r="AR141" s="1" t="s">
        <v>83</v>
      </c>
      <c r="AS141" s="1">
        <v>6</v>
      </c>
      <c r="AT141" s="1">
        <v>6</v>
      </c>
      <c r="AU141" s="1" t="s">
        <v>83</v>
      </c>
      <c r="AV141" s="1">
        <v>6</v>
      </c>
      <c r="AW141" s="1">
        <v>6</v>
      </c>
      <c r="AX141" s="1" t="s">
        <v>83</v>
      </c>
      <c r="AY141" s="1">
        <v>1</v>
      </c>
      <c r="AZ141" s="1">
        <v>0</v>
      </c>
      <c r="BA141" s="1">
        <v>0</v>
      </c>
      <c r="BB141" s="1" t="s">
        <v>83</v>
      </c>
      <c r="BC141" s="1">
        <v>0</v>
      </c>
      <c r="BD141" s="1" t="s">
        <v>985</v>
      </c>
      <c r="BE141" s="1" t="s">
        <v>985</v>
      </c>
      <c r="BF141" s="1" t="s">
        <v>985</v>
      </c>
      <c r="BG141" s="1" t="s">
        <v>83</v>
      </c>
    </row>
    <row r="142" spans="1:59" x14ac:dyDescent="0.35">
      <c r="A142" s="1">
        <v>141</v>
      </c>
      <c r="B142" s="1">
        <v>45840.690312500003</v>
      </c>
      <c r="C142" s="1" t="s">
        <v>1033</v>
      </c>
      <c r="D142" s="1" t="s">
        <v>1034</v>
      </c>
      <c r="E142" s="1" t="s">
        <v>63</v>
      </c>
      <c r="F142" s="1" t="s">
        <v>125</v>
      </c>
      <c r="G142" s="1" t="s">
        <v>1035</v>
      </c>
      <c r="H142" s="1" t="s">
        <v>981</v>
      </c>
      <c r="I142" s="1" t="s">
        <v>982</v>
      </c>
      <c r="J142" s="1" t="s">
        <v>151</v>
      </c>
      <c r="K142" s="1" t="s">
        <v>1036</v>
      </c>
      <c r="L142" s="1" t="s">
        <v>69</v>
      </c>
      <c r="M142" s="1" t="s">
        <v>69</v>
      </c>
      <c r="N142" s="1" t="s">
        <v>69</v>
      </c>
      <c r="O142" s="1" t="s">
        <v>69</v>
      </c>
      <c r="P142" s="1" t="s">
        <v>70</v>
      </c>
      <c r="Q142" s="1" t="s">
        <v>271</v>
      </c>
      <c r="R142" s="1" t="s">
        <v>1037</v>
      </c>
      <c r="S142" s="1">
        <v>51</v>
      </c>
      <c r="T142" s="1" t="s">
        <v>383</v>
      </c>
      <c r="U142" s="1" t="s">
        <v>93</v>
      </c>
      <c r="V142" s="1" t="s">
        <v>154</v>
      </c>
      <c r="W142" s="1" t="s">
        <v>154</v>
      </c>
      <c r="X142" s="1">
        <v>6</v>
      </c>
      <c r="Y142" s="1">
        <v>6</v>
      </c>
      <c r="Z142" s="1" t="s">
        <v>83</v>
      </c>
      <c r="AA142" s="1">
        <v>6</v>
      </c>
      <c r="AB142" s="1">
        <v>6</v>
      </c>
      <c r="AC142" s="1" t="s">
        <v>83</v>
      </c>
      <c r="AD142" s="1">
        <v>5</v>
      </c>
      <c r="AE142" s="1">
        <v>6</v>
      </c>
      <c r="AF142" s="1" t="s">
        <v>83</v>
      </c>
      <c r="AG142" s="1">
        <v>6</v>
      </c>
      <c r="AH142" s="1">
        <v>6</v>
      </c>
      <c r="AI142" s="1" t="s">
        <v>83</v>
      </c>
      <c r="AJ142" s="1">
        <v>6</v>
      </c>
      <c r="AK142" s="1">
        <v>6</v>
      </c>
      <c r="AL142" s="1" t="s">
        <v>83</v>
      </c>
      <c r="AM142" s="1">
        <v>6</v>
      </c>
      <c r="AN142" s="1">
        <v>6</v>
      </c>
      <c r="AO142" s="1" t="s">
        <v>83</v>
      </c>
      <c r="AP142" s="1">
        <v>6</v>
      </c>
      <c r="AQ142" s="1">
        <v>6</v>
      </c>
      <c r="AR142" s="1" t="s">
        <v>83</v>
      </c>
      <c r="AS142" s="1">
        <v>6</v>
      </c>
      <c r="AT142" s="1">
        <v>6</v>
      </c>
      <c r="AU142" s="1" t="s">
        <v>83</v>
      </c>
      <c r="AV142" s="1">
        <v>6</v>
      </c>
      <c r="AW142" s="1">
        <v>6</v>
      </c>
      <c r="AX142" s="1" t="s">
        <v>83</v>
      </c>
      <c r="AY142" s="1">
        <v>0</v>
      </c>
      <c r="AZ142" s="1">
        <v>0</v>
      </c>
      <c r="BA142" s="1">
        <v>0</v>
      </c>
      <c r="BB142" s="1" t="s">
        <v>144</v>
      </c>
      <c r="BC142" s="1">
        <v>1</v>
      </c>
      <c r="BD142" s="1" t="s">
        <v>1038</v>
      </c>
      <c r="BE142" s="1" t="s">
        <v>985</v>
      </c>
      <c r="BF142" s="1" t="s">
        <v>1039</v>
      </c>
      <c r="BG142" s="1" t="s">
        <v>83</v>
      </c>
    </row>
    <row r="143" spans="1:59" x14ac:dyDescent="0.35">
      <c r="A143" s="1">
        <v>142</v>
      </c>
      <c r="B143" s="1">
        <v>45840.694594907407</v>
      </c>
      <c r="C143" s="1" t="s">
        <v>1040</v>
      </c>
      <c r="D143" s="1" t="s">
        <v>1041</v>
      </c>
      <c r="E143" s="1" t="s">
        <v>1030</v>
      </c>
      <c r="F143" s="1" t="s">
        <v>1042</v>
      </c>
      <c r="G143" s="1" t="s">
        <v>1043</v>
      </c>
      <c r="H143" s="1" t="s">
        <v>981</v>
      </c>
      <c r="I143" s="1" t="s">
        <v>982</v>
      </c>
      <c r="J143" s="1" t="s">
        <v>151</v>
      </c>
      <c r="K143" s="1" t="s">
        <v>1044</v>
      </c>
      <c r="L143" s="1" t="s">
        <v>69</v>
      </c>
      <c r="M143" s="1" t="s">
        <v>69</v>
      </c>
      <c r="N143" s="1" t="s">
        <v>69</v>
      </c>
      <c r="O143" s="1" t="s">
        <v>69</v>
      </c>
      <c r="P143" s="1" t="s">
        <v>106</v>
      </c>
      <c r="Q143" s="1" t="s">
        <v>271</v>
      </c>
      <c r="R143" s="1" t="s">
        <v>1045</v>
      </c>
      <c r="S143" s="1">
        <v>29</v>
      </c>
      <c r="T143" s="1" t="s">
        <v>92</v>
      </c>
      <c r="U143" s="1" t="s">
        <v>254</v>
      </c>
      <c r="V143" s="1" t="s">
        <v>110</v>
      </c>
      <c r="W143" s="1" t="s">
        <v>110</v>
      </c>
      <c r="X143" s="1">
        <v>6</v>
      </c>
      <c r="Y143" s="1">
        <v>6</v>
      </c>
      <c r="Z143" s="1" t="s">
        <v>83</v>
      </c>
      <c r="AA143" s="1">
        <v>6</v>
      </c>
      <c r="AB143" s="1">
        <v>5</v>
      </c>
      <c r="AC143" s="1" t="s">
        <v>83</v>
      </c>
      <c r="AD143" s="1">
        <v>5</v>
      </c>
      <c r="AE143" s="1">
        <v>5</v>
      </c>
      <c r="AF143" s="1" t="s">
        <v>83</v>
      </c>
      <c r="AG143" s="1">
        <v>6</v>
      </c>
      <c r="AH143" s="1">
        <v>6</v>
      </c>
      <c r="AI143" s="1" t="s">
        <v>83</v>
      </c>
      <c r="AJ143" s="1">
        <v>6</v>
      </c>
      <c r="AK143" s="1">
        <v>6</v>
      </c>
      <c r="AL143" s="1" t="s">
        <v>83</v>
      </c>
      <c r="AM143" s="1">
        <v>6</v>
      </c>
      <c r="AN143" s="1">
        <v>6</v>
      </c>
      <c r="AO143" s="1" t="s">
        <v>83</v>
      </c>
      <c r="AP143" s="1">
        <v>6</v>
      </c>
      <c r="AQ143" s="1">
        <v>6</v>
      </c>
      <c r="AR143" s="1" t="s">
        <v>83</v>
      </c>
      <c r="AS143" s="1">
        <v>6</v>
      </c>
      <c r="AT143" s="1">
        <v>6</v>
      </c>
      <c r="AU143" s="1" t="s">
        <v>83</v>
      </c>
      <c r="AV143" s="1">
        <v>6</v>
      </c>
      <c r="AW143" s="1">
        <v>6</v>
      </c>
      <c r="AX143" s="1" t="s">
        <v>83</v>
      </c>
      <c r="AY143" s="1">
        <v>0</v>
      </c>
      <c r="AZ143" s="1">
        <v>0</v>
      </c>
      <c r="BA143" s="1">
        <v>0</v>
      </c>
      <c r="BB143" s="1" t="s">
        <v>1046</v>
      </c>
      <c r="BC143" s="1">
        <v>1</v>
      </c>
      <c r="BD143" s="1" t="s">
        <v>985</v>
      </c>
      <c r="BE143" s="1" t="s">
        <v>985</v>
      </c>
      <c r="BF143" s="1" t="s">
        <v>985</v>
      </c>
      <c r="BG143" s="1" t="s">
        <v>83</v>
      </c>
    </row>
    <row r="144" spans="1:59" x14ac:dyDescent="0.35">
      <c r="A144" s="1">
        <v>143</v>
      </c>
      <c r="B144" s="1">
        <v>45840.698287037034</v>
      </c>
      <c r="C144" s="1" t="s">
        <v>1047</v>
      </c>
      <c r="D144" s="1" t="s">
        <v>1048</v>
      </c>
      <c r="E144" s="1" t="s">
        <v>63</v>
      </c>
      <c r="F144" s="1" t="s">
        <v>480</v>
      </c>
      <c r="G144" s="1" t="s">
        <v>1049</v>
      </c>
      <c r="H144" s="1" t="s">
        <v>981</v>
      </c>
      <c r="I144" s="1" t="s">
        <v>982</v>
      </c>
      <c r="J144" s="1" t="s">
        <v>151</v>
      </c>
      <c r="K144" s="1" t="s">
        <v>1050</v>
      </c>
      <c r="L144" s="1" t="s">
        <v>69</v>
      </c>
      <c r="M144" s="1" t="s">
        <v>69</v>
      </c>
      <c r="N144" s="1" t="s">
        <v>69</v>
      </c>
      <c r="O144" s="1" t="s">
        <v>69</v>
      </c>
      <c r="P144" s="1" t="s">
        <v>106</v>
      </c>
      <c r="Q144" s="1" t="s">
        <v>271</v>
      </c>
      <c r="R144" s="1" t="s">
        <v>108</v>
      </c>
      <c r="S144" s="1">
        <v>32</v>
      </c>
      <c r="T144" s="1" t="s">
        <v>109</v>
      </c>
      <c r="U144" s="1" t="s">
        <v>273</v>
      </c>
      <c r="V144" s="1" t="s">
        <v>110</v>
      </c>
      <c r="W144" s="1" t="s">
        <v>110</v>
      </c>
      <c r="X144" s="1">
        <v>6</v>
      </c>
      <c r="Y144" s="1">
        <v>6</v>
      </c>
      <c r="Z144" s="1" t="s">
        <v>83</v>
      </c>
      <c r="AA144" s="1">
        <v>6</v>
      </c>
      <c r="AB144" s="1">
        <v>6</v>
      </c>
      <c r="AC144" s="1" t="s">
        <v>83</v>
      </c>
      <c r="AD144" s="1">
        <v>6</v>
      </c>
      <c r="AE144" s="1">
        <v>6</v>
      </c>
      <c r="AF144" s="1" t="s">
        <v>83</v>
      </c>
      <c r="AG144" s="1">
        <v>6</v>
      </c>
      <c r="AH144" s="1">
        <v>6</v>
      </c>
      <c r="AI144" s="1" t="s">
        <v>83</v>
      </c>
      <c r="AJ144" s="1">
        <v>6</v>
      </c>
      <c r="AK144" s="1">
        <v>6</v>
      </c>
      <c r="AL144" s="1" t="s">
        <v>83</v>
      </c>
      <c r="AM144" s="1">
        <v>6</v>
      </c>
      <c r="AN144" s="1">
        <v>6</v>
      </c>
      <c r="AO144" s="1" t="s">
        <v>83</v>
      </c>
      <c r="AP144" s="1">
        <v>6</v>
      </c>
      <c r="AQ144" s="1">
        <v>6</v>
      </c>
      <c r="AR144" s="1" t="s">
        <v>83</v>
      </c>
      <c r="AS144" s="1">
        <v>6</v>
      </c>
      <c r="AT144" s="1">
        <v>6</v>
      </c>
      <c r="AU144" s="1" t="s">
        <v>83</v>
      </c>
      <c r="AV144" s="1">
        <v>6</v>
      </c>
      <c r="AW144" s="1">
        <v>6</v>
      </c>
      <c r="AX144" s="1" t="s">
        <v>83</v>
      </c>
      <c r="AY144" s="1">
        <v>0</v>
      </c>
      <c r="AZ144" s="1">
        <v>0</v>
      </c>
      <c r="BA144" s="1">
        <v>0</v>
      </c>
      <c r="BB144" s="1" t="s">
        <v>144</v>
      </c>
      <c r="BC144" s="1">
        <v>1</v>
      </c>
      <c r="BD144" s="1" t="s">
        <v>985</v>
      </c>
      <c r="BE144" s="1" t="s">
        <v>985</v>
      </c>
      <c r="BF144" s="1" t="s">
        <v>985</v>
      </c>
      <c r="BG144" s="1" t="s">
        <v>83</v>
      </c>
    </row>
    <row r="145" spans="1:59" x14ac:dyDescent="0.35">
      <c r="A145" s="1">
        <v>144</v>
      </c>
      <c r="B145" s="1">
        <v>45840.701689814814</v>
      </c>
      <c r="C145" s="1" t="s">
        <v>1051</v>
      </c>
      <c r="D145" s="1" t="s">
        <v>1052</v>
      </c>
      <c r="E145" s="1" t="s">
        <v>63</v>
      </c>
      <c r="F145" s="1" t="s">
        <v>480</v>
      </c>
      <c r="G145" s="1" t="s">
        <v>1053</v>
      </c>
      <c r="H145" s="1" t="s">
        <v>981</v>
      </c>
      <c r="I145" s="1" t="s">
        <v>982</v>
      </c>
      <c r="J145" s="1" t="s">
        <v>151</v>
      </c>
      <c r="K145" s="1" t="s">
        <v>895</v>
      </c>
      <c r="L145" s="1" t="s">
        <v>69</v>
      </c>
      <c r="M145" s="1" t="s">
        <v>69</v>
      </c>
      <c r="N145" s="1" t="s">
        <v>69</v>
      </c>
      <c r="O145" s="1" t="s">
        <v>69</v>
      </c>
      <c r="P145" s="1" t="s">
        <v>106</v>
      </c>
      <c r="Q145" s="1" t="s">
        <v>271</v>
      </c>
      <c r="R145" s="1" t="s">
        <v>546</v>
      </c>
      <c r="S145" s="1">
        <v>31</v>
      </c>
      <c r="T145" s="1" t="s">
        <v>109</v>
      </c>
      <c r="U145" s="1" t="s">
        <v>93</v>
      </c>
      <c r="V145" s="1" t="s">
        <v>74</v>
      </c>
      <c r="W145" s="1" t="s">
        <v>74</v>
      </c>
      <c r="X145" s="1">
        <v>6</v>
      </c>
      <c r="Y145" s="1">
        <v>5</v>
      </c>
      <c r="Z145" s="1" t="s">
        <v>83</v>
      </c>
      <c r="AA145" s="1">
        <v>6</v>
      </c>
      <c r="AB145" s="1">
        <v>5</v>
      </c>
      <c r="AC145" s="1" t="s">
        <v>83</v>
      </c>
      <c r="AD145" s="1">
        <v>5</v>
      </c>
      <c r="AE145" s="1">
        <v>5</v>
      </c>
      <c r="AF145" s="1" t="s">
        <v>83</v>
      </c>
      <c r="AG145" s="1">
        <v>5</v>
      </c>
      <c r="AH145" s="1">
        <v>5</v>
      </c>
      <c r="AI145" s="1" t="s">
        <v>83</v>
      </c>
      <c r="AJ145" s="1">
        <v>6</v>
      </c>
      <c r="AK145" s="1">
        <v>5</v>
      </c>
      <c r="AL145" s="1" t="s">
        <v>83</v>
      </c>
      <c r="AM145" s="1">
        <v>6</v>
      </c>
      <c r="AN145" s="1">
        <v>5</v>
      </c>
      <c r="AO145" s="1" t="s">
        <v>83</v>
      </c>
      <c r="AP145" s="1">
        <v>6</v>
      </c>
      <c r="AQ145" s="1">
        <v>5</v>
      </c>
      <c r="AR145" s="1" t="s">
        <v>83</v>
      </c>
      <c r="AS145" s="1">
        <v>6</v>
      </c>
      <c r="AT145" s="1">
        <v>5</v>
      </c>
      <c r="AU145" s="1" t="s">
        <v>83</v>
      </c>
      <c r="AV145" s="1">
        <v>6</v>
      </c>
      <c r="AW145" s="1">
        <v>5</v>
      </c>
      <c r="AX145" s="1" t="s">
        <v>83</v>
      </c>
      <c r="AY145" s="1">
        <v>1</v>
      </c>
      <c r="AZ145" s="1">
        <v>0</v>
      </c>
      <c r="BA145" s="1">
        <v>0</v>
      </c>
      <c r="BB145" s="1" t="s">
        <v>83</v>
      </c>
      <c r="BC145" s="1">
        <v>0</v>
      </c>
      <c r="BD145" s="1" t="s">
        <v>1054</v>
      </c>
      <c r="BE145" s="1" t="s">
        <v>985</v>
      </c>
      <c r="BF145" s="1" t="s">
        <v>985</v>
      </c>
      <c r="BG145" s="1" t="s">
        <v>83</v>
      </c>
    </row>
    <row r="146" spans="1:59" x14ac:dyDescent="0.35">
      <c r="A146" s="1">
        <v>145</v>
      </c>
      <c r="B146" s="1">
        <v>45840.707685185182</v>
      </c>
      <c r="C146" s="1" t="s">
        <v>1055</v>
      </c>
      <c r="D146" s="1" t="s">
        <v>1056</v>
      </c>
      <c r="E146" s="1" t="s">
        <v>63</v>
      </c>
      <c r="F146" s="1" t="s">
        <v>179</v>
      </c>
      <c r="G146" s="1" t="s">
        <v>1057</v>
      </c>
      <c r="H146" s="1" t="s">
        <v>981</v>
      </c>
      <c r="I146" s="1" t="s">
        <v>982</v>
      </c>
      <c r="J146" s="1" t="s">
        <v>862</v>
      </c>
      <c r="K146" s="1" t="s">
        <v>959</v>
      </c>
      <c r="L146" s="1" t="s">
        <v>69</v>
      </c>
      <c r="M146" s="1" t="s">
        <v>69</v>
      </c>
      <c r="N146" s="1" t="s">
        <v>69</v>
      </c>
      <c r="O146" s="1" t="s">
        <v>69</v>
      </c>
      <c r="P146" s="1" t="s">
        <v>70</v>
      </c>
      <c r="Q146" s="1" t="s">
        <v>71</v>
      </c>
      <c r="R146" s="1" t="s">
        <v>538</v>
      </c>
      <c r="S146" s="1">
        <v>41</v>
      </c>
      <c r="T146" s="1" t="s">
        <v>197</v>
      </c>
      <c r="U146" s="1" t="s">
        <v>93</v>
      </c>
      <c r="V146" s="1" t="s">
        <v>74</v>
      </c>
      <c r="W146" s="1" t="s">
        <v>74</v>
      </c>
      <c r="X146" s="1">
        <v>5</v>
      </c>
      <c r="Y146" s="1">
        <v>5</v>
      </c>
      <c r="Z146" s="1" t="s">
        <v>83</v>
      </c>
      <c r="AA146" s="1">
        <v>5</v>
      </c>
      <c r="AB146" s="1">
        <v>5</v>
      </c>
      <c r="AC146" s="1" t="s">
        <v>83</v>
      </c>
      <c r="AD146" s="1">
        <v>5</v>
      </c>
      <c r="AE146" s="1">
        <v>5</v>
      </c>
      <c r="AF146" s="1" t="s">
        <v>83</v>
      </c>
      <c r="AG146" s="1">
        <v>5</v>
      </c>
      <c r="AH146" s="1">
        <v>5</v>
      </c>
      <c r="AI146" s="1" t="s">
        <v>83</v>
      </c>
      <c r="AJ146" s="1">
        <v>5</v>
      </c>
      <c r="AK146" s="1">
        <v>5</v>
      </c>
      <c r="AL146" s="1" t="s">
        <v>83</v>
      </c>
      <c r="AM146" s="1">
        <v>6</v>
      </c>
      <c r="AN146" s="1">
        <v>6</v>
      </c>
      <c r="AO146" s="1" t="s">
        <v>83</v>
      </c>
      <c r="AP146" s="1">
        <v>6</v>
      </c>
      <c r="AQ146" s="1">
        <v>6</v>
      </c>
      <c r="AR146" s="1" t="s">
        <v>83</v>
      </c>
      <c r="AS146" s="1">
        <v>5</v>
      </c>
      <c r="AT146" s="1">
        <v>5</v>
      </c>
      <c r="AU146" s="1" t="s">
        <v>83</v>
      </c>
      <c r="AV146" s="1">
        <v>5</v>
      </c>
      <c r="AW146" s="1">
        <v>5</v>
      </c>
      <c r="AX146" s="1" t="s">
        <v>83</v>
      </c>
      <c r="AY146" s="1">
        <v>1</v>
      </c>
      <c r="AZ146" s="1">
        <v>0</v>
      </c>
      <c r="BA146" s="1">
        <v>0</v>
      </c>
      <c r="BB146" s="1" t="s">
        <v>83</v>
      </c>
      <c r="BC146" s="1">
        <v>0</v>
      </c>
      <c r="BD146" s="1" t="s">
        <v>1058</v>
      </c>
      <c r="BE146" s="1" t="s">
        <v>985</v>
      </c>
      <c r="BF146" s="1" t="s">
        <v>985</v>
      </c>
      <c r="BG146" s="1" t="s">
        <v>83</v>
      </c>
    </row>
    <row r="147" spans="1:59" x14ac:dyDescent="0.35">
      <c r="A147" s="1">
        <v>146</v>
      </c>
      <c r="B147" s="1">
        <v>45840.725694444445</v>
      </c>
      <c r="C147" s="1" t="s">
        <v>1059</v>
      </c>
      <c r="D147" s="1" t="s">
        <v>1060</v>
      </c>
      <c r="E147" s="1" t="s">
        <v>63</v>
      </c>
      <c r="F147" s="1" t="s">
        <v>179</v>
      </c>
      <c r="G147" s="1" t="s">
        <v>1061</v>
      </c>
      <c r="H147" s="1" t="s">
        <v>88</v>
      </c>
      <c r="I147" s="1" t="s">
        <v>89</v>
      </c>
      <c r="J147" s="1" t="s">
        <v>989</v>
      </c>
      <c r="K147" s="1" t="s">
        <v>1062</v>
      </c>
      <c r="L147" s="1" t="s">
        <v>69</v>
      </c>
      <c r="M147" s="1" t="s">
        <v>69</v>
      </c>
      <c r="N147" s="1" t="s">
        <v>69</v>
      </c>
      <c r="O147" s="1" t="s">
        <v>69</v>
      </c>
      <c r="P147" s="1" t="s">
        <v>106</v>
      </c>
      <c r="Q147" s="1" t="s">
        <v>71</v>
      </c>
      <c r="R147" s="1" t="s">
        <v>566</v>
      </c>
      <c r="S147" s="1">
        <v>25</v>
      </c>
      <c r="T147" s="1" t="s">
        <v>72</v>
      </c>
      <c r="U147" s="1" t="s">
        <v>93</v>
      </c>
      <c r="V147" s="1" t="s">
        <v>74</v>
      </c>
      <c r="W147" s="1" t="s">
        <v>74</v>
      </c>
      <c r="X147" s="1">
        <v>4</v>
      </c>
      <c r="Y147" s="1">
        <v>4</v>
      </c>
      <c r="Z147" s="1" t="s">
        <v>83</v>
      </c>
      <c r="AA147" s="1">
        <v>5</v>
      </c>
      <c r="AB147" s="1">
        <v>5</v>
      </c>
      <c r="AC147" s="1" t="s">
        <v>83</v>
      </c>
      <c r="AD147" s="1">
        <v>6</v>
      </c>
      <c r="AE147" s="1">
        <v>6</v>
      </c>
      <c r="AF147" s="1" t="s">
        <v>83</v>
      </c>
      <c r="AG147" s="1">
        <v>5</v>
      </c>
      <c r="AH147" s="1">
        <v>5</v>
      </c>
      <c r="AI147" s="1" t="s">
        <v>83</v>
      </c>
      <c r="AJ147" s="1">
        <v>4</v>
      </c>
      <c r="AK147" s="1">
        <v>4</v>
      </c>
      <c r="AL147" s="1" t="s">
        <v>83</v>
      </c>
      <c r="AM147" s="1">
        <v>6</v>
      </c>
      <c r="AN147" s="1">
        <v>5</v>
      </c>
      <c r="AO147" s="1" t="s">
        <v>83</v>
      </c>
      <c r="AP147" s="1">
        <v>5</v>
      </c>
      <c r="AQ147" s="1">
        <v>6</v>
      </c>
      <c r="AR147" s="1" t="s">
        <v>83</v>
      </c>
      <c r="AS147" s="1">
        <v>4</v>
      </c>
      <c r="AT147" s="1">
        <v>6</v>
      </c>
      <c r="AU147" s="1" t="s">
        <v>83</v>
      </c>
      <c r="AV147" s="1">
        <v>4</v>
      </c>
      <c r="AW147" s="1">
        <v>6</v>
      </c>
      <c r="AX147" s="1" t="s">
        <v>83</v>
      </c>
      <c r="AY147" s="1">
        <v>2</v>
      </c>
      <c r="AZ147" s="1">
        <v>0</v>
      </c>
      <c r="BA147" s="1">
        <v>0</v>
      </c>
      <c r="BB147" s="1" t="s">
        <v>83</v>
      </c>
      <c r="BC147" s="1">
        <v>0</v>
      </c>
      <c r="BD147" s="1" t="s">
        <v>1063</v>
      </c>
      <c r="BE147" s="1" t="s">
        <v>98</v>
      </c>
      <c r="BF147" s="1" t="s">
        <v>98</v>
      </c>
      <c r="BG147" s="1" t="s">
        <v>1064</v>
      </c>
    </row>
    <row r="148" spans="1:59" x14ac:dyDescent="0.35">
      <c r="A148" s="1">
        <v>147</v>
      </c>
      <c r="B148" s="1">
        <v>45840.728564814817</v>
      </c>
      <c r="C148" s="1" t="s">
        <v>1065</v>
      </c>
      <c r="D148" s="1" t="s">
        <v>1066</v>
      </c>
      <c r="E148" s="1" t="s">
        <v>63</v>
      </c>
      <c r="F148" s="1" t="s">
        <v>179</v>
      </c>
      <c r="G148" s="1" t="s">
        <v>1067</v>
      </c>
      <c r="H148" s="1" t="s">
        <v>88</v>
      </c>
      <c r="I148" s="1" t="s">
        <v>89</v>
      </c>
      <c r="J148" s="1" t="s">
        <v>971</v>
      </c>
      <c r="K148" s="1" t="s">
        <v>1068</v>
      </c>
      <c r="L148" s="1" t="s">
        <v>69</v>
      </c>
      <c r="M148" s="1" t="s">
        <v>69</v>
      </c>
      <c r="N148" s="1" t="s">
        <v>69</v>
      </c>
      <c r="O148" s="1" t="s">
        <v>69</v>
      </c>
      <c r="P148" s="1" t="s">
        <v>106</v>
      </c>
      <c r="Q148" s="1" t="s">
        <v>107</v>
      </c>
      <c r="R148" s="1" t="s">
        <v>884</v>
      </c>
      <c r="S148" s="1">
        <v>38</v>
      </c>
      <c r="T148" s="1" t="s">
        <v>153</v>
      </c>
      <c r="U148" s="1" t="s">
        <v>73</v>
      </c>
      <c r="V148" s="1" t="s">
        <v>74</v>
      </c>
      <c r="W148" s="1" t="s">
        <v>74</v>
      </c>
      <c r="X148" s="1">
        <v>5</v>
      </c>
      <c r="Y148" s="1">
        <v>6</v>
      </c>
      <c r="Z148" s="1" t="s">
        <v>83</v>
      </c>
      <c r="AA148" s="1">
        <v>5</v>
      </c>
      <c r="AB148" s="1">
        <v>6</v>
      </c>
      <c r="AC148" s="1" t="s">
        <v>83</v>
      </c>
      <c r="AD148" s="1">
        <v>5</v>
      </c>
      <c r="AE148" s="1">
        <v>6</v>
      </c>
      <c r="AF148" s="1" t="s">
        <v>83</v>
      </c>
      <c r="AG148" s="1">
        <v>0</v>
      </c>
      <c r="AH148" s="1">
        <v>0</v>
      </c>
      <c r="AI148" s="1" t="s">
        <v>83</v>
      </c>
      <c r="AJ148" s="1">
        <v>5</v>
      </c>
      <c r="AK148" s="1">
        <v>6</v>
      </c>
      <c r="AL148" s="1" t="s">
        <v>83</v>
      </c>
      <c r="AM148" s="1">
        <v>6</v>
      </c>
      <c r="AN148" s="1">
        <v>6</v>
      </c>
      <c r="AO148" s="1" t="s">
        <v>83</v>
      </c>
      <c r="AP148" s="1">
        <v>5</v>
      </c>
      <c r="AQ148" s="1">
        <v>5</v>
      </c>
      <c r="AR148" s="1" t="s">
        <v>83</v>
      </c>
      <c r="AS148" s="1">
        <v>6</v>
      </c>
      <c r="AT148" s="1">
        <v>6</v>
      </c>
      <c r="AU148" s="1" t="s">
        <v>83</v>
      </c>
      <c r="AV148" s="1">
        <v>6</v>
      </c>
      <c r="AW148" s="1">
        <v>6</v>
      </c>
      <c r="AX148" s="1" t="s">
        <v>83</v>
      </c>
      <c r="AY148" s="1">
        <v>0</v>
      </c>
      <c r="AZ148" s="1">
        <v>0</v>
      </c>
      <c r="BA148" s="1">
        <v>0</v>
      </c>
      <c r="BB148" s="1" t="s">
        <v>144</v>
      </c>
      <c r="BC148" s="1">
        <v>1</v>
      </c>
      <c r="BD148" s="1" t="s">
        <v>98</v>
      </c>
      <c r="BE148" s="1" t="s">
        <v>98</v>
      </c>
      <c r="BF148" s="1" t="s">
        <v>98</v>
      </c>
      <c r="BG148" s="1" t="s">
        <v>98</v>
      </c>
    </row>
    <row r="149" spans="1:59" x14ac:dyDescent="0.35">
      <c r="A149" s="1">
        <v>148</v>
      </c>
      <c r="B149" s="1">
        <v>45840.73165509259</v>
      </c>
      <c r="C149" s="1" t="s">
        <v>1069</v>
      </c>
      <c r="D149" s="1" t="s">
        <v>1070</v>
      </c>
      <c r="E149" s="1" t="s">
        <v>63</v>
      </c>
      <c r="F149" s="1" t="s">
        <v>179</v>
      </c>
      <c r="G149" s="1" t="s">
        <v>1071</v>
      </c>
      <c r="H149" s="1" t="s">
        <v>88</v>
      </c>
      <c r="I149" s="1" t="s">
        <v>89</v>
      </c>
      <c r="J149" s="1" t="s">
        <v>971</v>
      </c>
      <c r="K149" s="1" t="s">
        <v>1072</v>
      </c>
      <c r="L149" s="1" t="s">
        <v>69</v>
      </c>
      <c r="M149" s="1" t="s">
        <v>69</v>
      </c>
      <c r="N149" s="1" t="s">
        <v>69</v>
      </c>
      <c r="O149" s="1" t="s">
        <v>69</v>
      </c>
      <c r="P149" s="1" t="s">
        <v>106</v>
      </c>
      <c r="Q149" s="1" t="s">
        <v>71</v>
      </c>
      <c r="R149" s="1" t="s">
        <v>492</v>
      </c>
      <c r="S149" s="1">
        <v>24</v>
      </c>
      <c r="T149" s="1" t="s">
        <v>72</v>
      </c>
      <c r="U149" s="1" t="s">
        <v>73</v>
      </c>
      <c r="V149" s="1" t="s">
        <v>1073</v>
      </c>
      <c r="W149" s="1" t="s">
        <v>133</v>
      </c>
      <c r="X149" s="1">
        <v>5</v>
      </c>
      <c r="Y149" s="1">
        <v>5</v>
      </c>
      <c r="Z149" s="1" t="s">
        <v>83</v>
      </c>
      <c r="AA149" s="1">
        <v>6</v>
      </c>
      <c r="AB149" s="1">
        <v>5</v>
      </c>
      <c r="AC149" s="1" t="s">
        <v>83</v>
      </c>
      <c r="AD149" s="1">
        <v>6</v>
      </c>
      <c r="AE149" s="1">
        <v>6</v>
      </c>
      <c r="AF149" s="1" t="s">
        <v>83</v>
      </c>
      <c r="AG149" s="1">
        <v>5</v>
      </c>
      <c r="AH149" s="1">
        <v>5</v>
      </c>
      <c r="AI149" s="1" t="s">
        <v>83</v>
      </c>
      <c r="AJ149" s="1">
        <v>6</v>
      </c>
      <c r="AK149" s="1">
        <v>6</v>
      </c>
      <c r="AL149" s="1" t="s">
        <v>83</v>
      </c>
      <c r="AM149" s="1">
        <v>5</v>
      </c>
      <c r="AN149" s="1">
        <v>4</v>
      </c>
      <c r="AO149" s="1" t="s">
        <v>83</v>
      </c>
      <c r="AP149" s="1">
        <v>6</v>
      </c>
      <c r="AQ149" s="1">
        <v>6</v>
      </c>
      <c r="AR149" s="1" t="s">
        <v>83</v>
      </c>
      <c r="AS149" s="1">
        <v>5</v>
      </c>
      <c r="AT149" s="1">
        <v>5</v>
      </c>
      <c r="AU149" s="1" t="s">
        <v>83</v>
      </c>
      <c r="AV149" s="1">
        <v>6</v>
      </c>
      <c r="AW149" s="1">
        <v>5</v>
      </c>
      <c r="AX149" s="1" t="s">
        <v>83</v>
      </c>
      <c r="AY149" s="1">
        <v>0</v>
      </c>
      <c r="AZ149" s="1">
        <v>1</v>
      </c>
      <c r="BA149" s="1">
        <v>0</v>
      </c>
      <c r="BB149" s="1" t="s">
        <v>83</v>
      </c>
      <c r="BC149" s="1">
        <v>0</v>
      </c>
      <c r="BD149" s="1" t="s">
        <v>98</v>
      </c>
      <c r="BE149" s="1" t="s">
        <v>98</v>
      </c>
      <c r="BF149" s="1" t="s">
        <v>98</v>
      </c>
      <c r="BG149" s="1" t="s">
        <v>98</v>
      </c>
    </row>
    <row r="150" spans="1:59" x14ac:dyDescent="0.35">
      <c r="A150" s="1">
        <v>149</v>
      </c>
      <c r="B150" s="1">
        <v>45840.734456018516</v>
      </c>
      <c r="C150" s="1" t="s">
        <v>1074</v>
      </c>
      <c r="D150" s="1" t="s">
        <v>1075</v>
      </c>
      <c r="E150" s="1" t="s">
        <v>63</v>
      </c>
      <c r="F150" s="1" t="s">
        <v>179</v>
      </c>
      <c r="G150" s="1" t="s">
        <v>1076</v>
      </c>
      <c r="H150" s="1" t="s">
        <v>88</v>
      </c>
      <c r="I150" s="1" t="s">
        <v>89</v>
      </c>
      <c r="J150" s="1" t="s">
        <v>989</v>
      </c>
      <c r="K150" s="1" t="s">
        <v>1077</v>
      </c>
      <c r="L150" s="1" t="s">
        <v>69</v>
      </c>
      <c r="M150" s="1" t="s">
        <v>69</v>
      </c>
      <c r="N150" s="1" t="s">
        <v>69</v>
      </c>
      <c r="O150" s="1" t="s">
        <v>69</v>
      </c>
      <c r="P150" s="1" t="s">
        <v>106</v>
      </c>
      <c r="Q150" s="1" t="s">
        <v>107</v>
      </c>
      <c r="R150" s="1" t="s">
        <v>826</v>
      </c>
      <c r="S150" s="1">
        <v>44</v>
      </c>
      <c r="T150" s="1" t="s">
        <v>197</v>
      </c>
      <c r="U150" s="1" t="s">
        <v>273</v>
      </c>
      <c r="V150" s="1" t="s">
        <v>110</v>
      </c>
      <c r="W150" s="1" t="s">
        <v>110</v>
      </c>
      <c r="X150" s="1">
        <v>6</v>
      </c>
      <c r="Y150" s="1">
        <v>6</v>
      </c>
      <c r="Z150" s="1" t="s">
        <v>83</v>
      </c>
      <c r="AA150" s="1">
        <v>6</v>
      </c>
      <c r="AB150" s="1">
        <v>6</v>
      </c>
      <c r="AC150" s="1" t="s">
        <v>83</v>
      </c>
      <c r="AD150" s="1">
        <v>6</v>
      </c>
      <c r="AE150" s="1">
        <v>6</v>
      </c>
      <c r="AF150" s="1" t="s">
        <v>83</v>
      </c>
      <c r="AG150" s="1">
        <v>0</v>
      </c>
      <c r="AH150" s="1">
        <v>0</v>
      </c>
      <c r="AI150" s="1" t="s">
        <v>83</v>
      </c>
      <c r="AJ150" s="1">
        <v>6</v>
      </c>
      <c r="AK150" s="1">
        <v>6</v>
      </c>
      <c r="AL150" s="1" t="s">
        <v>83</v>
      </c>
      <c r="AM150" s="1">
        <v>6</v>
      </c>
      <c r="AN150" s="1">
        <v>6</v>
      </c>
      <c r="AO150" s="1" t="s">
        <v>83</v>
      </c>
      <c r="AP150" s="1">
        <v>6</v>
      </c>
      <c r="AQ150" s="1">
        <v>6</v>
      </c>
      <c r="AR150" s="1" t="s">
        <v>83</v>
      </c>
      <c r="AS150" s="1">
        <v>6</v>
      </c>
      <c r="AT150" s="1">
        <v>6</v>
      </c>
      <c r="AU150" s="1" t="s">
        <v>83</v>
      </c>
      <c r="AV150" s="1">
        <v>6</v>
      </c>
      <c r="AW150" s="1">
        <v>6</v>
      </c>
      <c r="AX150" s="1" t="s">
        <v>83</v>
      </c>
      <c r="AY150" s="1">
        <v>0</v>
      </c>
      <c r="AZ150" s="1">
        <v>0</v>
      </c>
      <c r="BA150" s="1">
        <v>0</v>
      </c>
      <c r="BB150" s="1" t="s">
        <v>1078</v>
      </c>
      <c r="BC150" s="1">
        <v>3</v>
      </c>
      <c r="BD150" s="1" t="s">
        <v>98</v>
      </c>
      <c r="BE150" s="1" t="s">
        <v>98</v>
      </c>
      <c r="BF150" s="1" t="s">
        <v>98</v>
      </c>
      <c r="BG150" s="1" t="s">
        <v>83</v>
      </c>
    </row>
    <row r="151" spans="1:59" x14ac:dyDescent="0.35">
      <c r="A151" s="1">
        <v>150</v>
      </c>
      <c r="B151" s="1">
        <v>45840.736909722225</v>
      </c>
      <c r="C151" s="1" t="s">
        <v>1079</v>
      </c>
      <c r="D151" s="1" t="s">
        <v>1080</v>
      </c>
      <c r="E151" s="1" t="s">
        <v>63</v>
      </c>
      <c r="F151" s="1" t="s">
        <v>179</v>
      </c>
      <c r="G151" s="1" t="s">
        <v>1081</v>
      </c>
      <c r="H151" s="1" t="s">
        <v>88</v>
      </c>
      <c r="I151" s="1" t="s">
        <v>89</v>
      </c>
      <c r="J151" s="1" t="s">
        <v>971</v>
      </c>
      <c r="K151" s="1" t="s">
        <v>806</v>
      </c>
      <c r="L151" s="1" t="s">
        <v>69</v>
      </c>
      <c r="M151" s="1" t="s">
        <v>69</v>
      </c>
      <c r="N151" s="1" t="s">
        <v>69</v>
      </c>
      <c r="O151" s="1" t="s">
        <v>69</v>
      </c>
      <c r="P151" s="1" t="s">
        <v>106</v>
      </c>
      <c r="Q151" s="1" t="s">
        <v>107</v>
      </c>
      <c r="R151" s="1" t="s">
        <v>483</v>
      </c>
      <c r="S151" s="1">
        <v>28</v>
      </c>
      <c r="T151" s="1" t="s">
        <v>92</v>
      </c>
      <c r="U151" s="1" t="s">
        <v>73</v>
      </c>
      <c r="V151" s="1" t="s">
        <v>74</v>
      </c>
      <c r="W151" s="1" t="s">
        <v>74</v>
      </c>
      <c r="X151" s="1">
        <v>6</v>
      </c>
      <c r="Y151" s="1">
        <v>6</v>
      </c>
      <c r="Z151" s="1" t="s">
        <v>83</v>
      </c>
      <c r="AA151" s="1">
        <v>6</v>
      </c>
      <c r="AB151" s="1">
        <v>6</v>
      </c>
      <c r="AC151" s="1" t="s">
        <v>83</v>
      </c>
      <c r="AD151" s="1">
        <v>6</v>
      </c>
      <c r="AE151" s="1">
        <v>6</v>
      </c>
      <c r="AF151" s="1" t="s">
        <v>83</v>
      </c>
      <c r="AG151" s="1">
        <v>0</v>
      </c>
      <c r="AH151" s="1">
        <v>0</v>
      </c>
      <c r="AI151" s="1" t="s">
        <v>83</v>
      </c>
      <c r="AJ151" s="1">
        <v>6</v>
      </c>
      <c r="AK151" s="1">
        <v>6</v>
      </c>
      <c r="AL151" s="1" t="s">
        <v>83</v>
      </c>
      <c r="AM151" s="1">
        <v>6</v>
      </c>
      <c r="AN151" s="1">
        <v>6</v>
      </c>
      <c r="AO151" s="1" t="s">
        <v>83</v>
      </c>
      <c r="AP151" s="1">
        <v>6</v>
      </c>
      <c r="AQ151" s="1">
        <v>6</v>
      </c>
      <c r="AR151" s="1" t="s">
        <v>83</v>
      </c>
      <c r="AS151" s="1">
        <v>6</v>
      </c>
      <c r="AT151" s="1">
        <v>6</v>
      </c>
      <c r="AU151" s="1" t="s">
        <v>83</v>
      </c>
      <c r="AV151" s="1">
        <v>6</v>
      </c>
      <c r="AW151" s="1">
        <v>6</v>
      </c>
      <c r="AX151" s="1" t="s">
        <v>83</v>
      </c>
      <c r="AY151" s="1">
        <v>0</v>
      </c>
      <c r="AZ151" s="1">
        <v>0</v>
      </c>
      <c r="BA151" s="1">
        <v>0</v>
      </c>
      <c r="BB151" s="1" t="s">
        <v>144</v>
      </c>
      <c r="BC151" s="1">
        <v>1</v>
      </c>
      <c r="BD151" s="1" t="s">
        <v>98</v>
      </c>
      <c r="BE151" s="1" t="s">
        <v>98</v>
      </c>
      <c r="BF151" s="1" t="s">
        <v>98</v>
      </c>
      <c r="BG151" s="1" t="s">
        <v>98</v>
      </c>
    </row>
    <row r="152" spans="1:59" x14ac:dyDescent="0.35">
      <c r="A152" s="1">
        <v>151</v>
      </c>
      <c r="B152" s="1">
        <v>45840.739432870374</v>
      </c>
      <c r="C152" s="1" t="s">
        <v>1082</v>
      </c>
      <c r="D152" s="1" t="s">
        <v>1083</v>
      </c>
      <c r="E152" s="1" t="s">
        <v>63</v>
      </c>
      <c r="F152" s="1" t="s">
        <v>179</v>
      </c>
      <c r="G152" s="1" t="s">
        <v>1084</v>
      </c>
      <c r="H152" s="1" t="s">
        <v>88</v>
      </c>
      <c r="I152" s="1" t="s">
        <v>89</v>
      </c>
      <c r="J152" s="1" t="s">
        <v>971</v>
      </c>
      <c r="K152" s="1" t="s">
        <v>1085</v>
      </c>
      <c r="L152" s="1" t="s">
        <v>69</v>
      </c>
      <c r="M152" s="1" t="s">
        <v>69</v>
      </c>
      <c r="N152" s="1" t="s">
        <v>69</v>
      </c>
      <c r="O152" s="1" t="s">
        <v>69</v>
      </c>
      <c r="P152" s="1" t="s">
        <v>70</v>
      </c>
      <c r="Q152" s="1" t="s">
        <v>71</v>
      </c>
      <c r="R152" s="1" t="s">
        <v>245</v>
      </c>
      <c r="S152" s="1">
        <v>21</v>
      </c>
      <c r="T152" s="1" t="s">
        <v>72</v>
      </c>
      <c r="U152" s="1" t="s">
        <v>73</v>
      </c>
      <c r="V152" s="1" t="s">
        <v>1073</v>
      </c>
      <c r="W152" s="1" t="s">
        <v>133</v>
      </c>
      <c r="X152" s="1">
        <v>5</v>
      </c>
      <c r="Y152" s="1">
        <v>5</v>
      </c>
      <c r="Z152" s="1" t="s">
        <v>83</v>
      </c>
      <c r="AA152" s="1">
        <v>6</v>
      </c>
      <c r="AB152" s="1">
        <v>5</v>
      </c>
      <c r="AC152" s="1" t="s">
        <v>83</v>
      </c>
      <c r="AD152" s="1">
        <v>5</v>
      </c>
      <c r="AE152" s="1">
        <v>5</v>
      </c>
      <c r="AF152" s="1" t="s">
        <v>83</v>
      </c>
      <c r="AG152" s="1">
        <v>5</v>
      </c>
      <c r="AH152" s="1">
        <v>5</v>
      </c>
      <c r="AI152" s="1" t="s">
        <v>83</v>
      </c>
      <c r="AJ152" s="1">
        <v>6</v>
      </c>
      <c r="AK152" s="1">
        <v>5</v>
      </c>
      <c r="AL152" s="1" t="s">
        <v>83</v>
      </c>
      <c r="AM152" s="1">
        <v>5</v>
      </c>
      <c r="AN152" s="1">
        <v>5</v>
      </c>
      <c r="AO152" s="1" t="s">
        <v>83</v>
      </c>
      <c r="AP152" s="1">
        <v>6</v>
      </c>
      <c r="AQ152" s="1">
        <v>5</v>
      </c>
      <c r="AR152" s="1" t="s">
        <v>83</v>
      </c>
      <c r="AS152" s="1">
        <v>5</v>
      </c>
      <c r="AT152" s="1">
        <v>5</v>
      </c>
      <c r="AU152" s="1" t="s">
        <v>83</v>
      </c>
      <c r="AV152" s="1">
        <v>5</v>
      </c>
      <c r="AW152" s="1">
        <v>5</v>
      </c>
      <c r="AX152" s="1" t="s">
        <v>83</v>
      </c>
      <c r="AY152" s="1">
        <v>0</v>
      </c>
      <c r="AZ152" s="1">
        <v>2</v>
      </c>
      <c r="BA152" s="1">
        <v>0</v>
      </c>
      <c r="BB152" s="1" t="s">
        <v>83</v>
      </c>
      <c r="BC152" s="1">
        <v>0</v>
      </c>
      <c r="BD152" s="1" t="s">
        <v>98</v>
      </c>
      <c r="BE152" s="1" t="s">
        <v>98</v>
      </c>
      <c r="BF152" s="1" t="s">
        <v>98</v>
      </c>
      <c r="BG152" s="1" t="s">
        <v>98</v>
      </c>
    </row>
    <row r="153" spans="1:59" x14ac:dyDescent="0.35">
      <c r="A153" s="1">
        <v>152</v>
      </c>
      <c r="B153" s="1">
        <v>45840.742083333331</v>
      </c>
      <c r="C153" s="1" t="s">
        <v>1086</v>
      </c>
      <c r="D153" s="1" t="s">
        <v>1087</v>
      </c>
      <c r="E153" s="1" t="s">
        <v>63</v>
      </c>
      <c r="F153" s="1" t="s">
        <v>179</v>
      </c>
      <c r="G153" s="1" t="s">
        <v>1088</v>
      </c>
      <c r="H153" s="1" t="s">
        <v>88</v>
      </c>
      <c r="I153" s="1" t="s">
        <v>89</v>
      </c>
      <c r="J153" s="1" t="s">
        <v>971</v>
      </c>
      <c r="K153" s="1" t="s">
        <v>571</v>
      </c>
      <c r="L153" s="1" t="s">
        <v>69</v>
      </c>
      <c r="M153" s="1" t="s">
        <v>69</v>
      </c>
      <c r="N153" s="1" t="s">
        <v>69</v>
      </c>
      <c r="O153" s="1" t="s">
        <v>69</v>
      </c>
      <c r="P153" s="1" t="s">
        <v>70</v>
      </c>
      <c r="Q153" s="1" t="s">
        <v>107</v>
      </c>
      <c r="R153" s="1" t="s">
        <v>551</v>
      </c>
      <c r="S153" s="1">
        <v>34</v>
      </c>
      <c r="T153" s="1" t="s">
        <v>109</v>
      </c>
      <c r="U153" s="1" t="s">
        <v>73</v>
      </c>
      <c r="V153" s="1" t="s">
        <v>110</v>
      </c>
      <c r="W153" s="1" t="s">
        <v>110</v>
      </c>
      <c r="X153" s="1">
        <v>6</v>
      </c>
      <c r="Y153" s="1">
        <v>6</v>
      </c>
      <c r="Z153" s="1" t="s">
        <v>83</v>
      </c>
      <c r="AA153" s="1">
        <v>5</v>
      </c>
      <c r="AB153" s="1">
        <v>6</v>
      </c>
      <c r="AC153" s="1" t="s">
        <v>83</v>
      </c>
      <c r="AD153" s="1">
        <v>6</v>
      </c>
      <c r="AE153" s="1">
        <v>6</v>
      </c>
      <c r="AF153" s="1" t="s">
        <v>83</v>
      </c>
      <c r="AG153" s="1">
        <v>0</v>
      </c>
      <c r="AH153" s="1">
        <v>0</v>
      </c>
      <c r="AI153" s="1" t="s">
        <v>83</v>
      </c>
      <c r="AJ153" s="1">
        <v>5</v>
      </c>
      <c r="AK153" s="1">
        <v>6</v>
      </c>
      <c r="AL153" s="1" t="s">
        <v>83</v>
      </c>
      <c r="AM153" s="1">
        <v>6</v>
      </c>
      <c r="AN153" s="1">
        <v>6</v>
      </c>
      <c r="AO153" s="1" t="s">
        <v>83</v>
      </c>
      <c r="AP153" s="1">
        <v>6</v>
      </c>
      <c r="AQ153" s="1">
        <v>6</v>
      </c>
      <c r="AR153" s="1" t="s">
        <v>83</v>
      </c>
      <c r="AS153" s="1">
        <v>5</v>
      </c>
      <c r="AT153" s="1">
        <v>6</v>
      </c>
      <c r="AU153" s="1" t="s">
        <v>83</v>
      </c>
      <c r="AV153" s="1">
        <v>6</v>
      </c>
      <c r="AW153" s="1">
        <v>6</v>
      </c>
      <c r="AX153" s="1" t="s">
        <v>83</v>
      </c>
      <c r="AY153" s="1">
        <v>2</v>
      </c>
      <c r="AZ153" s="1">
        <v>0</v>
      </c>
      <c r="BA153" s="1">
        <v>0</v>
      </c>
      <c r="BB153" s="1" t="s">
        <v>83</v>
      </c>
      <c r="BC153" s="1">
        <v>0</v>
      </c>
      <c r="BD153" s="1" t="s">
        <v>1089</v>
      </c>
      <c r="BE153" s="1" t="s">
        <v>98</v>
      </c>
      <c r="BF153" s="1" t="s">
        <v>98</v>
      </c>
      <c r="BG153" s="1" t="s">
        <v>98</v>
      </c>
    </row>
    <row r="154" spans="1:59" x14ac:dyDescent="0.35">
      <c r="A154" s="1">
        <v>153</v>
      </c>
      <c r="B154" s="1">
        <v>45840.745092592595</v>
      </c>
      <c r="C154" s="1" t="s">
        <v>1090</v>
      </c>
      <c r="D154" s="1" t="s">
        <v>1091</v>
      </c>
      <c r="E154" s="1" t="s">
        <v>63</v>
      </c>
      <c r="F154" s="1" t="s">
        <v>240</v>
      </c>
      <c r="G154" s="1" t="s">
        <v>1092</v>
      </c>
      <c r="H154" s="1" t="s">
        <v>88</v>
      </c>
      <c r="I154" s="1" t="s">
        <v>89</v>
      </c>
      <c r="J154" s="1" t="s">
        <v>971</v>
      </c>
      <c r="K154" s="1" t="s">
        <v>1093</v>
      </c>
      <c r="L154" s="1" t="s">
        <v>69</v>
      </c>
      <c r="M154" s="1" t="s">
        <v>69</v>
      </c>
      <c r="N154" s="1" t="s">
        <v>69</v>
      </c>
      <c r="O154" s="1" t="s">
        <v>69</v>
      </c>
      <c r="P154" s="1" t="s">
        <v>70</v>
      </c>
      <c r="Q154" s="1" t="s">
        <v>292</v>
      </c>
      <c r="R154" s="1" t="s">
        <v>826</v>
      </c>
      <c r="S154" s="1">
        <v>44</v>
      </c>
      <c r="T154" s="1" t="s">
        <v>197</v>
      </c>
      <c r="U154" s="1" t="s">
        <v>254</v>
      </c>
      <c r="V154" s="1" t="s">
        <v>232</v>
      </c>
      <c r="W154" s="1" t="s">
        <v>232</v>
      </c>
      <c r="X154" s="1">
        <v>5</v>
      </c>
      <c r="Y154" s="1">
        <v>5</v>
      </c>
      <c r="Z154" s="1" t="s">
        <v>83</v>
      </c>
      <c r="AA154" s="1">
        <v>5</v>
      </c>
      <c r="AB154" s="1">
        <v>5</v>
      </c>
      <c r="AC154" s="1" t="s">
        <v>83</v>
      </c>
      <c r="AD154" s="1">
        <v>5</v>
      </c>
      <c r="AE154" s="1">
        <v>5</v>
      </c>
      <c r="AF154" s="1" t="s">
        <v>83</v>
      </c>
      <c r="AG154" s="1">
        <v>5</v>
      </c>
      <c r="AH154" s="1">
        <v>5</v>
      </c>
      <c r="AI154" s="1" t="s">
        <v>83</v>
      </c>
      <c r="AJ154" s="1">
        <v>5</v>
      </c>
      <c r="AK154" s="1">
        <v>5</v>
      </c>
      <c r="AL154" s="1" t="s">
        <v>83</v>
      </c>
      <c r="AM154" s="1">
        <v>5</v>
      </c>
      <c r="AN154" s="1">
        <v>5</v>
      </c>
      <c r="AO154" s="1" t="s">
        <v>83</v>
      </c>
      <c r="AP154" s="1">
        <v>5</v>
      </c>
      <c r="AQ154" s="1">
        <v>5</v>
      </c>
      <c r="AR154" s="1" t="s">
        <v>83</v>
      </c>
      <c r="AS154" s="1">
        <v>5</v>
      </c>
      <c r="AT154" s="1">
        <v>6</v>
      </c>
      <c r="AU154" s="1" t="s">
        <v>83</v>
      </c>
      <c r="AV154" s="1">
        <v>5</v>
      </c>
      <c r="AW154" s="1">
        <v>5</v>
      </c>
      <c r="AX154" s="1" t="s">
        <v>83</v>
      </c>
      <c r="AY154" s="1">
        <v>0</v>
      </c>
      <c r="AZ154" s="1">
        <v>0</v>
      </c>
      <c r="BA154" s="1">
        <v>0</v>
      </c>
      <c r="BB154" s="1" t="s">
        <v>293</v>
      </c>
      <c r="BC154" s="1">
        <v>2</v>
      </c>
      <c r="BD154" s="1" t="s">
        <v>1094</v>
      </c>
      <c r="BE154" s="1" t="s">
        <v>98</v>
      </c>
      <c r="BF154" s="1" t="s">
        <v>98</v>
      </c>
      <c r="BG154" s="1" t="s">
        <v>98</v>
      </c>
    </row>
    <row r="155" spans="1:59" x14ac:dyDescent="0.35">
      <c r="A155" s="1">
        <v>154</v>
      </c>
      <c r="B155" s="1">
        <v>45840.747233796297</v>
      </c>
      <c r="C155" s="1" t="s">
        <v>1095</v>
      </c>
      <c r="D155" s="1" t="s">
        <v>1096</v>
      </c>
      <c r="E155" s="1" t="s">
        <v>63</v>
      </c>
      <c r="F155" s="1" t="s">
        <v>136</v>
      </c>
      <c r="G155" s="1" t="s">
        <v>1097</v>
      </c>
      <c r="H155" s="1" t="s">
        <v>88</v>
      </c>
      <c r="I155" s="1" t="s">
        <v>89</v>
      </c>
      <c r="J155" s="1" t="s">
        <v>971</v>
      </c>
      <c r="K155" s="1" t="s">
        <v>1098</v>
      </c>
      <c r="L155" s="1" t="s">
        <v>69</v>
      </c>
      <c r="M155" s="1" t="s">
        <v>69</v>
      </c>
      <c r="N155" s="1" t="s">
        <v>69</v>
      </c>
      <c r="O155" s="1" t="s">
        <v>69</v>
      </c>
      <c r="P155" s="1" t="s">
        <v>70</v>
      </c>
      <c r="Q155" s="1" t="s">
        <v>271</v>
      </c>
      <c r="R155" s="1" t="s">
        <v>130</v>
      </c>
      <c r="S155" s="1">
        <v>18</v>
      </c>
      <c r="T155" s="1" t="s">
        <v>131</v>
      </c>
      <c r="U155" s="1" t="s">
        <v>73</v>
      </c>
      <c r="V155" s="1" t="s">
        <v>839</v>
      </c>
      <c r="W155" s="1" t="s">
        <v>133</v>
      </c>
      <c r="X155" s="1">
        <v>5</v>
      </c>
      <c r="Y155" s="1">
        <v>6</v>
      </c>
      <c r="Z155" s="1" t="s">
        <v>83</v>
      </c>
      <c r="AA155" s="1">
        <v>6</v>
      </c>
      <c r="AB155" s="1">
        <v>6</v>
      </c>
      <c r="AC155" s="1" t="s">
        <v>83</v>
      </c>
      <c r="AD155" s="1">
        <v>5</v>
      </c>
      <c r="AE155" s="1">
        <v>6</v>
      </c>
      <c r="AF155" s="1" t="s">
        <v>83</v>
      </c>
      <c r="AG155" s="1">
        <v>6</v>
      </c>
      <c r="AH155" s="1">
        <v>6</v>
      </c>
      <c r="AI155" s="1" t="s">
        <v>83</v>
      </c>
      <c r="AJ155" s="1">
        <v>6</v>
      </c>
      <c r="AK155" s="1">
        <v>6</v>
      </c>
      <c r="AL155" s="1" t="s">
        <v>83</v>
      </c>
      <c r="AM155" s="1">
        <v>6</v>
      </c>
      <c r="AN155" s="1">
        <v>6</v>
      </c>
      <c r="AO155" s="1" t="s">
        <v>83</v>
      </c>
      <c r="AP155" s="1">
        <v>5</v>
      </c>
      <c r="AQ155" s="1">
        <v>6</v>
      </c>
      <c r="AR155" s="1" t="s">
        <v>83</v>
      </c>
      <c r="AS155" s="1">
        <v>6</v>
      </c>
      <c r="AT155" s="1">
        <v>6</v>
      </c>
      <c r="AU155" s="1" t="s">
        <v>83</v>
      </c>
      <c r="AV155" s="1">
        <v>6</v>
      </c>
      <c r="AW155" s="1">
        <v>6</v>
      </c>
      <c r="AX155" s="1" t="s">
        <v>83</v>
      </c>
      <c r="AY155" s="1">
        <v>0</v>
      </c>
      <c r="AZ155" s="1">
        <v>0</v>
      </c>
      <c r="BA155" s="1">
        <v>1</v>
      </c>
      <c r="BB155" s="1" t="s">
        <v>83</v>
      </c>
      <c r="BC155" s="1">
        <v>0</v>
      </c>
      <c r="BD155" s="1" t="s">
        <v>98</v>
      </c>
      <c r="BE155" s="1" t="s">
        <v>98</v>
      </c>
      <c r="BF155" s="1" t="s">
        <v>98</v>
      </c>
      <c r="BG155" s="1" t="s">
        <v>98</v>
      </c>
    </row>
    <row r="156" spans="1:59" x14ac:dyDescent="0.35">
      <c r="A156" s="1">
        <v>155</v>
      </c>
      <c r="B156" s="1">
        <v>45840.750509259262</v>
      </c>
      <c r="C156" s="1" t="s">
        <v>1099</v>
      </c>
      <c r="D156" s="1" t="s">
        <v>1100</v>
      </c>
      <c r="E156" s="1" t="s">
        <v>63</v>
      </c>
      <c r="F156" s="1" t="s">
        <v>338</v>
      </c>
      <c r="G156" s="1" t="s">
        <v>1101</v>
      </c>
      <c r="H156" s="1" t="s">
        <v>88</v>
      </c>
      <c r="I156" s="1" t="s">
        <v>89</v>
      </c>
      <c r="J156" s="1" t="s">
        <v>971</v>
      </c>
      <c r="K156" s="1" t="s">
        <v>560</v>
      </c>
      <c r="L156" s="1" t="s">
        <v>69</v>
      </c>
      <c r="M156" s="1" t="s">
        <v>69</v>
      </c>
      <c r="N156" s="1" t="s">
        <v>69</v>
      </c>
      <c r="O156" s="1" t="s">
        <v>69</v>
      </c>
      <c r="P156" s="1" t="s">
        <v>106</v>
      </c>
      <c r="Q156" s="1" t="s">
        <v>292</v>
      </c>
      <c r="R156" s="1" t="s">
        <v>1006</v>
      </c>
      <c r="S156" s="1">
        <v>26</v>
      </c>
      <c r="T156" s="1" t="s">
        <v>92</v>
      </c>
      <c r="U156" s="1" t="s">
        <v>73</v>
      </c>
      <c r="V156" s="1" t="s">
        <v>74</v>
      </c>
      <c r="W156" s="1" t="s">
        <v>74</v>
      </c>
      <c r="X156" s="1">
        <v>5</v>
      </c>
      <c r="Y156" s="1">
        <v>6</v>
      </c>
      <c r="Z156" s="1" t="s">
        <v>83</v>
      </c>
      <c r="AA156" s="1">
        <v>5</v>
      </c>
      <c r="AB156" s="1">
        <v>5</v>
      </c>
      <c r="AC156" s="1" t="s">
        <v>83</v>
      </c>
      <c r="AD156" s="1">
        <v>5</v>
      </c>
      <c r="AE156" s="1">
        <v>6</v>
      </c>
      <c r="AF156" s="1" t="s">
        <v>83</v>
      </c>
      <c r="AG156" s="1">
        <v>6</v>
      </c>
      <c r="AH156" s="1">
        <v>5</v>
      </c>
      <c r="AI156" s="1" t="s">
        <v>83</v>
      </c>
      <c r="AJ156" s="1">
        <v>5</v>
      </c>
      <c r="AK156" s="1">
        <v>6</v>
      </c>
      <c r="AL156" s="1" t="s">
        <v>83</v>
      </c>
      <c r="AM156" s="1">
        <v>5</v>
      </c>
      <c r="AN156" s="1">
        <v>5</v>
      </c>
      <c r="AO156" s="1" t="s">
        <v>83</v>
      </c>
      <c r="AP156" s="1">
        <v>5</v>
      </c>
      <c r="AQ156" s="1">
        <v>5</v>
      </c>
      <c r="AR156" s="1" t="s">
        <v>83</v>
      </c>
      <c r="AS156" s="1">
        <v>5</v>
      </c>
      <c r="AT156" s="1">
        <v>5</v>
      </c>
      <c r="AU156" s="1" t="s">
        <v>83</v>
      </c>
      <c r="AV156" s="1">
        <v>6</v>
      </c>
      <c r="AW156" s="1">
        <v>6</v>
      </c>
      <c r="AX156" s="1" t="s">
        <v>83</v>
      </c>
      <c r="AY156" s="1">
        <v>2</v>
      </c>
      <c r="AZ156" s="1">
        <v>0</v>
      </c>
      <c r="BA156" s="1">
        <v>0</v>
      </c>
      <c r="BB156" s="1" t="s">
        <v>83</v>
      </c>
      <c r="BC156" s="1">
        <v>0</v>
      </c>
      <c r="BD156" s="1" t="s">
        <v>1102</v>
      </c>
      <c r="BE156" s="1" t="s">
        <v>98</v>
      </c>
      <c r="BF156" s="1" t="s">
        <v>98</v>
      </c>
      <c r="BG156" s="1" t="s">
        <v>98</v>
      </c>
    </row>
    <row r="157" spans="1:59" x14ac:dyDescent="0.35">
      <c r="A157" s="1">
        <v>156</v>
      </c>
      <c r="B157" s="1">
        <v>45840.820092592592</v>
      </c>
      <c r="C157" s="1" t="s">
        <v>1103</v>
      </c>
      <c r="D157" s="1" t="s">
        <v>1104</v>
      </c>
      <c r="E157" s="1" t="s">
        <v>63</v>
      </c>
      <c r="F157" s="1" t="s">
        <v>63</v>
      </c>
      <c r="G157" s="1" t="s">
        <v>1105</v>
      </c>
      <c r="H157" s="1" t="s">
        <v>981</v>
      </c>
      <c r="I157" s="1" t="s">
        <v>982</v>
      </c>
      <c r="J157" s="1" t="s">
        <v>1106</v>
      </c>
      <c r="K157" s="1" t="s">
        <v>1107</v>
      </c>
      <c r="L157" s="1" t="s">
        <v>69</v>
      </c>
      <c r="M157" s="1" t="s">
        <v>69</v>
      </c>
      <c r="N157" s="1" t="s">
        <v>69</v>
      </c>
      <c r="O157" s="1" t="s">
        <v>69</v>
      </c>
      <c r="P157" s="1" t="s">
        <v>70</v>
      </c>
      <c r="Q157" s="1" t="s">
        <v>71</v>
      </c>
      <c r="R157" s="1" t="s">
        <v>499</v>
      </c>
      <c r="S157" s="1">
        <v>22</v>
      </c>
      <c r="T157" s="1" t="s">
        <v>72</v>
      </c>
      <c r="U157" s="1" t="s">
        <v>73</v>
      </c>
      <c r="V157" s="1" t="s">
        <v>74</v>
      </c>
      <c r="W157" s="1" t="s">
        <v>74</v>
      </c>
      <c r="X157" s="1">
        <v>6</v>
      </c>
      <c r="Y157" s="1">
        <v>6</v>
      </c>
      <c r="Z157" s="1" t="s">
        <v>83</v>
      </c>
      <c r="AA157" s="1">
        <v>6</v>
      </c>
      <c r="AB157" s="1">
        <v>5</v>
      </c>
      <c r="AC157" s="1" t="s">
        <v>83</v>
      </c>
      <c r="AD157" s="1">
        <v>6</v>
      </c>
      <c r="AE157" s="1">
        <v>6</v>
      </c>
      <c r="AF157" s="1" t="s">
        <v>83</v>
      </c>
      <c r="AG157" s="1">
        <v>6</v>
      </c>
      <c r="AH157" s="1">
        <v>6</v>
      </c>
      <c r="AI157" s="1" t="s">
        <v>83</v>
      </c>
      <c r="AJ157" s="1">
        <v>6</v>
      </c>
      <c r="AK157" s="1">
        <v>6</v>
      </c>
      <c r="AL157" s="1" t="s">
        <v>83</v>
      </c>
      <c r="AM157" s="1">
        <v>6</v>
      </c>
      <c r="AN157" s="1">
        <v>6</v>
      </c>
      <c r="AO157" s="1" t="s">
        <v>83</v>
      </c>
      <c r="AP157" s="1">
        <v>6</v>
      </c>
      <c r="AQ157" s="1">
        <v>6</v>
      </c>
      <c r="AR157" s="1" t="s">
        <v>83</v>
      </c>
      <c r="AS157" s="1">
        <v>6</v>
      </c>
      <c r="AT157" s="1">
        <v>6</v>
      </c>
      <c r="AU157" s="1" t="s">
        <v>83</v>
      </c>
      <c r="AV157" s="1">
        <v>5</v>
      </c>
      <c r="AW157" s="1">
        <v>5</v>
      </c>
      <c r="AX157" s="1" t="s">
        <v>83</v>
      </c>
      <c r="AY157" s="1">
        <v>0</v>
      </c>
      <c r="AZ157" s="1">
        <v>0</v>
      </c>
      <c r="BA157" s="1">
        <v>0</v>
      </c>
      <c r="BB157" s="1" t="s">
        <v>144</v>
      </c>
      <c r="BC157" s="1">
        <v>2</v>
      </c>
      <c r="BD157" s="1" t="s">
        <v>985</v>
      </c>
      <c r="BE157" s="1" t="s">
        <v>985</v>
      </c>
      <c r="BF157" s="1" t="s">
        <v>985</v>
      </c>
      <c r="BG157" s="1" t="s">
        <v>83</v>
      </c>
    </row>
    <row r="158" spans="1:59" x14ac:dyDescent="0.35">
      <c r="A158" s="1">
        <v>157</v>
      </c>
      <c r="B158" s="1">
        <v>45840.824699074074</v>
      </c>
      <c r="C158" s="1" t="s">
        <v>1108</v>
      </c>
      <c r="D158" s="1" t="s">
        <v>1109</v>
      </c>
      <c r="E158" s="1" t="s">
        <v>63</v>
      </c>
      <c r="F158" s="1" t="s">
        <v>179</v>
      </c>
      <c r="G158" s="1" t="s">
        <v>1110</v>
      </c>
      <c r="H158" s="1" t="s">
        <v>981</v>
      </c>
      <c r="I158" s="1" t="s">
        <v>982</v>
      </c>
      <c r="J158" s="1" t="s">
        <v>1106</v>
      </c>
      <c r="K158" s="1" t="s">
        <v>1111</v>
      </c>
      <c r="L158" s="1" t="s">
        <v>69</v>
      </c>
      <c r="M158" s="1" t="s">
        <v>69</v>
      </c>
      <c r="N158" s="1" t="s">
        <v>69</v>
      </c>
      <c r="O158" s="1" t="s">
        <v>69</v>
      </c>
      <c r="P158" s="1" t="s">
        <v>106</v>
      </c>
      <c r="Q158" s="1" t="s">
        <v>71</v>
      </c>
      <c r="R158" s="1" t="s">
        <v>217</v>
      </c>
      <c r="S158" s="1">
        <v>20</v>
      </c>
      <c r="T158" s="1" t="s">
        <v>131</v>
      </c>
      <c r="U158" s="1" t="s">
        <v>73</v>
      </c>
      <c r="V158" s="1" t="s">
        <v>1112</v>
      </c>
      <c r="W158" s="1" t="s">
        <v>133</v>
      </c>
      <c r="X158" s="1">
        <v>5</v>
      </c>
      <c r="Y158" s="1">
        <v>6</v>
      </c>
      <c r="Z158" s="1" t="s">
        <v>83</v>
      </c>
      <c r="AA158" s="1">
        <v>6</v>
      </c>
      <c r="AB158" s="1">
        <v>5</v>
      </c>
      <c r="AC158" s="1" t="s">
        <v>83</v>
      </c>
      <c r="AD158" s="1">
        <v>6</v>
      </c>
      <c r="AE158" s="1">
        <v>6</v>
      </c>
      <c r="AF158" s="1" t="s">
        <v>83</v>
      </c>
      <c r="AG158" s="1">
        <v>6</v>
      </c>
      <c r="AH158" s="1">
        <v>6</v>
      </c>
      <c r="AI158" s="1" t="s">
        <v>83</v>
      </c>
      <c r="AJ158" s="1">
        <v>6</v>
      </c>
      <c r="AK158" s="1">
        <v>6</v>
      </c>
      <c r="AL158" s="1" t="s">
        <v>83</v>
      </c>
      <c r="AM158" s="1">
        <v>6</v>
      </c>
      <c r="AN158" s="1">
        <v>6</v>
      </c>
      <c r="AO158" s="1" t="s">
        <v>83</v>
      </c>
      <c r="AP158" s="1">
        <v>6</v>
      </c>
      <c r="AQ158" s="1">
        <v>6</v>
      </c>
      <c r="AR158" s="1" t="s">
        <v>83</v>
      </c>
      <c r="AS158" s="1">
        <v>6</v>
      </c>
      <c r="AT158" s="1">
        <v>6</v>
      </c>
      <c r="AU158" s="1" t="s">
        <v>83</v>
      </c>
      <c r="AV158" s="1">
        <v>6</v>
      </c>
      <c r="AW158" s="1">
        <v>5</v>
      </c>
      <c r="AX158" s="1" t="s">
        <v>83</v>
      </c>
      <c r="AY158" s="1">
        <v>1</v>
      </c>
      <c r="AZ158" s="1">
        <v>0</v>
      </c>
      <c r="BA158" s="1">
        <v>0</v>
      </c>
      <c r="BB158" s="1" t="s">
        <v>83</v>
      </c>
      <c r="BC158" s="1">
        <v>0</v>
      </c>
      <c r="BD158" s="1" t="s">
        <v>985</v>
      </c>
      <c r="BE158" s="1" t="s">
        <v>342</v>
      </c>
      <c r="BF158" s="1" t="s">
        <v>985</v>
      </c>
      <c r="BG158" s="1" t="s">
        <v>83</v>
      </c>
    </row>
    <row r="159" spans="1:59" x14ac:dyDescent="0.35">
      <c r="A159" s="1">
        <v>158</v>
      </c>
      <c r="B159" s="1">
        <v>45840.844652777778</v>
      </c>
      <c r="C159" s="1" t="s">
        <v>1113</v>
      </c>
      <c r="D159" s="1" t="s">
        <v>1114</v>
      </c>
      <c r="E159" s="1" t="s">
        <v>63</v>
      </c>
      <c r="F159" s="1" t="s">
        <v>125</v>
      </c>
      <c r="G159" s="1" t="s">
        <v>1115</v>
      </c>
      <c r="H159" s="1" t="s">
        <v>578</v>
      </c>
      <c r="I159" s="1" t="s">
        <v>596</v>
      </c>
      <c r="J159" s="1" t="s">
        <v>649</v>
      </c>
      <c r="K159" s="1" t="s">
        <v>1116</v>
      </c>
      <c r="L159" s="1" t="s">
        <v>69</v>
      </c>
      <c r="M159" s="1" t="s">
        <v>69</v>
      </c>
      <c r="N159" s="1" t="s">
        <v>69</v>
      </c>
      <c r="O159" s="1" t="s">
        <v>69</v>
      </c>
      <c r="P159" s="1" t="s">
        <v>106</v>
      </c>
      <c r="Q159" s="1" t="s">
        <v>71</v>
      </c>
      <c r="R159" s="1" t="s">
        <v>1117</v>
      </c>
      <c r="S159" s="1">
        <v>21</v>
      </c>
      <c r="T159" s="1" t="s">
        <v>72</v>
      </c>
      <c r="U159" s="1" t="s">
        <v>73</v>
      </c>
      <c r="V159" s="1" t="s">
        <v>74</v>
      </c>
      <c r="W159" s="1" t="s">
        <v>74</v>
      </c>
      <c r="X159" s="1">
        <v>5</v>
      </c>
      <c r="Y159" s="1">
        <v>6</v>
      </c>
      <c r="Z159" s="1" t="s">
        <v>83</v>
      </c>
      <c r="AA159" s="1">
        <v>6</v>
      </c>
      <c r="AB159" s="1">
        <v>6</v>
      </c>
      <c r="AC159" s="1" t="s">
        <v>83</v>
      </c>
      <c r="AD159" s="1">
        <v>5</v>
      </c>
      <c r="AE159" s="1">
        <v>6</v>
      </c>
      <c r="AF159" s="1" t="s">
        <v>83</v>
      </c>
      <c r="AG159" s="1">
        <v>5</v>
      </c>
      <c r="AH159" s="1">
        <v>6</v>
      </c>
      <c r="AI159" s="1" t="s">
        <v>83</v>
      </c>
      <c r="AJ159" s="1">
        <v>6</v>
      </c>
      <c r="AK159" s="1">
        <v>6</v>
      </c>
      <c r="AL159" s="1" t="s">
        <v>83</v>
      </c>
      <c r="AM159" s="1">
        <v>6</v>
      </c>
      <c r="AN159" s="1">
        <v>6</v>
      </c>
      <c r="AO159" s="1" t="s">
        <v>83</v>
      </c>
      <c r="AP159" s="1">
        <v>6</v>
      </c>
      <c r="AQ159" s="1">
        <v>6</v>
      </c>
      <c r="AR159" s="1" t="s">
        <v>83</v>
      </c>
      <c r="AS159" s="1">
        <v>6</v>
      </c>
      <c r="AT159" s="1">
        <v>6</v>
      </c>
      <c r="AU159" s="1" t="s">
        <v>83</v>
      </c>
      <c r="AV159" s="1">
        <v>5</v>
      </c>
      <c r="AW159" s="1">
        <v>6</v>
      </c>
      <c r="AX159" s="1" t="s">
        <v>83</v>
      </c>
      <c r="AY159" s="1">
        <v>0</v>
      </c>
      <c r="AZ159" s="1">
        <v>2</v>
      </c>
      <c r="BA159" s="1">
        <v>0</v>
      </c>
      <c r="BB159" s="1" t="s">
        <v>83</v>
      </c>
      <c r="BC159" s="1">
        <v>0</v>
      </c>
      <c r="BD159" s="1" t="s">
        <v>1118</v>
      </c>
      <c r="BE159" s="1" t="s">
        <v>1119</v>
      </c>
      <c r="BF159" s="1" t="s">
        <v>624</v>
      </c>
      <c r="BG159" s="1" t="s">
        <v>83</v>
      </c>
    </row>
    <row r="160" spans="1:59" x14ac:dyDescent="0.35">
      <c r="A160" s="1">
        <v>159</v>
      </c>
      <c r="B160" s="1">
        <v>45840.855069444442</v>
      </c>
      <c r="C160" s="1" t="s">
        <v>1120</v>
      </c>
      <c r="D160" s="1" t="s">
        <v>1121</v>
      </c>
      <c r="E160" s="1" t="s">
        <v>63</v>
      </c>
      <c r="F160" s="1" t="s">
        <v>179</v>
      </c>
      <c r="G160" s="1" t="s">
        <v>1122</v>
      </c>
      <c r="H160" s="1" t="s">
        <v>981</v>
      </c>
      <c r="I160" s="1" t="s">
        <v>982</v>
      </c>
      <c r="J160" s="1" t="s">
        <v>1106</v>
      </c>
      <c r="K160" s="1" t="s">
        <v>923</v>
      </c>
      <c r="L160" s="1" t="s">
        <v>69</v>
      </c>
      <c r="M160" s="1" t="s">
        <v>69</v>
      </c>
      <c r="N160" s="1" t="s">
        <v>69</v>
      </c>
      <c r="O160" s="1" t="s">
        <v>69</v>
      </c>
      <c r="P160" s="1" t="s">
        <v>106</v>
      </c>
      <c r="Q160" s="1" t="s">
        <v>71</v>
      </c>
      <c r="R160" s="1" t="s">
        <v>1123</v>
      </c>
      <c r="S160" s="1">
        <v>48</v>
      </c>
      <c r="T160" s="1" t="s">
        <v>225</v>
      </c>
      <c r="U160" s="1" t="s">
        <v>73</v>
      </c>
      <c r="V160" s="1" t="s">
        <v>274</v>
      </c>
      <c r="W160" s="1" t="s">
        <v>274</v>
      </c>
      <c r="X160" s="1">
        <v>5</v>
      </c>
      <c r="Y160" s="1">
        <v>5</v>
      </c>
      <c r="Z160" s="1" t="s">
        <v>83</v>
      </c>
      <c r="AA160" s="1">
        <v>4</v>
      </c>
      <c r="AB160" s="1">
        <v>6</v>
      </c>
      <c r="AC160" s="1" t="s">
        <v>83</v>
      </c>
      <c r="AD160" s="1">
        <v>5</v>
      </c>
      <c r="AE160" s="1">
        <v>5</v>
      </c>
      <c r="AF160" s="1" t="s">
        <v>83</v>
      </c>
      <c r="AG160" s="1">
        <v>5</v>
      </c>
      <c r="AH160" s="1">
        <v>5</v>
      </c>
      <c r="AI160" s="1" t="s">
        <v>83</v>
      </c>
      <c r="AJ160" s="1">
        <v>6</v>
      </c>
      <c r="AK160" s="1">
        <v>5</v>
      </c>
      <c r="AL160" s="1" t="s">
        <v>83</v>
      </c>
      <c r="AM160" s="1">
        <v>6</v>
      </c>
      <c r="AN160" s="1">
        <v>6</v>
      </c>
      <c r="AO160" s="1" t="s">
        <v>83</v>
      </c>
      <c r="AP160" s="1">
        <v>6</v>
      </c>
      <c r="AQ160" s="1">
        <v>6</v>
      </c>
      <c r="AR160" s="1" t="s">
        <v>83</v>
      </c>
      <c r="AS160" s="1">
        <v>5</v>
      </c>
      <c r="AT160" s="1">
        <v>6</v>
      </c>
      <c r="AU160" s="1" t="s">
        <v>83</v>
      </c>
      <c r="AV160" s="1">
        <v>4</v>
      </c>
      <c r="AW160" s="1">
        <v>6</v>
      </c>
      <c r="AX160" s="1" t="s">
        <v>83</v>
      </c>
      <c r="AY160" s="1">
        <v>0</v>
      </c>
      <c r="AZ160" s="1">
        <v>0</v>
      </c>
      <c r="BA160" s="1">
        <v>1</v>
      </c>
      <c r="BB160" s="1" t="s">
        <v>83</v>
      </c>
      <c r="BC160" s="1">
        <v>0</v>
      </c>
      <c r="BD160" s="1" t="s">
        <v>985</v>
      </c>
      <c r="BE160" s="1" t="s">
        <v>985</v>
      </c>
      <c r="BF160" s="1" t="s">
        <v>1124</v>
      </c>
      <c r="BG160" s="1" t="s">
        <v>83</v>
      </c>
    </row>
    <row r="161" spans="1:59" x14ac:dyDescent="0.35">
      <c r="A161" s="1">
        <v>160</v>
      </c>
      <c r="B161" s="1">
        <v>45840.855243055557</v>
      </c>
      <c r="C161" s="1" t="s">
        <v>1125</v>
      </c>
      <c r="D161" s="1" t="s">
        <v>1126</v>
      </c>
      <c r="E161" s="1" t="s">
        <v>63</v>
      </c>
      <c r="F161" s="1" t="s">
        <v>86</v>
      </c>
      <c r="G161" s="1" t="s">
        <v>1127</v>
      </c>
      <c r="H161" s="1" t="s">
        <v>578</v>
      </c>
      <c r="I161" s="1" t="s">
        <v>596</v>
      </c>
      <c r="J161" s="1" t="s">
        <v>649</v>
      </c>
      <c r="K161" s="1" t="s">
        <v>1128</v>
      </c>
      <c r="L161" s="1" t="s">
        <v>69</v>
      </c>
      <c r="M161" s="1" t="s">
        <v>69</v>
      </c>
      <c r="N161" s="1" t="s">
        <v>69</v>
      </c>
      <c r="O161" s="1" t="s">
        <v>69</v>
      </c>
      <c r="P161" s="1" t="s">
        <v>70</v>
      </c>
      <c r="Q161" s="1" t="s">
        <v>71</v>
      </c>
      <c r="R161" s="1" t="s">
        <v>1129</v>
      </c>
      <c r="S161" s="1">
        <v>31</v>
      </c>
      <c r="T161" s="1" t="s">
        <v>109</v>
      </c>
      <c r="U161" s="1" t="s">
        <v>73</v>
      </c>
      <c r="V161" s="1" t="s">
        <v>232</v>
      </c>
      <c r="W161" s="1" t="s">
        <v>232</v>
      </c>
      <c r="X161" s="1">
        <v>5</v>
      </c>
      <c r="Y161" s="1">
        <v>5</v>
      </c>
      <c r="Z161" s="1" t="s">
        <v>83</v>
      </c>
      <c r="AA161" s="1">
        <v>5</v>
      </c>
      <c r="AB161" s="1">
        <v>6</v>
      </c>
      <c r="AC161" s="1" t="s">
        <v>83</v>
      </c>
      <c r="AD161" s="1">
        <v>6</v>
      </c>
      <c r="AE161" s="1">
        <v>6</v>
      </c>
      <c r="AF161" s="1" t="s">
        <v>83</v>
      </c>
      <c r="AG161" s="1">
        <v>6</v>
      </c>
      <c r="AH161" s="1">
        <v>6</v>
      </c>
      <c r="AI161" s="1" t="s">
        <v>83</v>
      </c>
      <c r="AJ161" s="1">
        <v>6</v>
      </c>
      <c r="AK161" s="1">
        <v>6</v>
      </c>
      <c r="AL161" s="1" t="s">
        <v>83</v>
      </c>
      <c r="AM161" s="1">
        <v>6</v>
      </c>
      <c r="AN161" s="1">
        <v>6</v>
      </c>
      <c r="AO161" s="1" t="s">
        <v>83</v>
      </c>
      <c r="AP161" s="1">
        <v>6</v>
      </c>
      <c r="AQ161" s="1">
        <v>6</v>
      </c>
      <c r="AR161" s="1" t="s">
        <v>83</v>
      </c>
      <c r="AS161" s="1">
        <v>6</v>
      </c>
      <c r="AT161" s="1">
        <v>6</v>
      </c>
      <c r="AU161" s="1" t="s">
        <v>83</v>
      </c>
      <c r="AV161" s="1">
        <v>6</v>
      </c>
      <c r="AW161" s="1">
        <v>6</v>
      </c>
      <c r="AX161" s="1" t="s">
        <v>83</v>
      </c>
      <c r="AY161" s="1">
        <v>0</v>
      </c>
      <c r="AZ161" s="1">
        <v>0</v>
      </c>
      <c r="BA161" s="1">
        <v>0</v>
      </c>
      <c r="BB161" s="1" t="s">
        <v>144</v>
      </c>
      <c r="BC161" s="1">
        <v>2</v>
      </c>
      <c r="BD161" s="1" t="s">
        <v>624</v>
      </c>
      <c r="BE161" s="1" t="s">
        <v>624</v>
      </c>
      <c r="BF161" s="1" t="s">
        <v>624</v>
      </c>
      <c r="BG161" s="1" t="s">
        <v>83</v>
      </c>
    </row>
    <row r="162" spans="1:59" x14ac:dyDescent="0.35">
      <c r="A162" s="1">
        <v>161</v>
      </c>
      <c r="B162" s="1">
        <v>45840.860173611109</v>
      </c>
      <c r="C162" s="1" t="s">
        <v>1130</v>
      </c>
      <c r="D162" s="1" t="s">
        <v>1131</v>
      </c>
      <c r="E162" s="1" t="s">
        <v>63</v>
      </c>
      <c r="F162" s="1" t="s">
        <v>63</v>
      </c>
      <c r="G162" s="1" t="s">
        <v>1132</v>
      </c>
      <c r="H162" s="1" t="s">
        <v>981</v>
      </c>
      <c r="I162" s="1" t="s">
        <v>982</v>
      </c>
      <c r="J162" s="1" t="s">
        <v>1106</v>
      </c>
      <c r="K162" s="1" t="s">
        <v>1133</v>
      </c>
      <c r="L162" s="1" t="s">
        <v>69</v>
      </c>
      <c r="M162" s="1" t="s">
        <v>69</v>
      </c>
      <c r="N162" s="1" t="s">
        <v>69</v>
      </c>
      <c r="O162" s="1" t="s">
        <v>69</v>
      </c>
      <c r="P162" s="1" t="s">
        <v>106</v>
      </c>
      <c r="Q162" s="1" t="s">
        <v>107</v>
      </c>
      <c r="R162" s="1" t="s">
        <v>253</v>
      </c>
      <c r="S162" s="1">
        <v>60</v>
      </c>
      <c r="T162" s="1" t="s">
        <v>182</v>
      </c>
      <c r="U162" s="1" t="s">
        <v>93</v>
      </c>
      <c r="V162" s="1" t="s">
        <v>74</v>
      </c>
      <c r="W162" s="1" t="s">
        <v>74</v>
      </c>
      <c r="X162" s="1">
        <v>6</v>
      </c>
      <c r="Y162" s="1">
        <v>6</v>
      </c>
      <c r="Z162" s="1" t="s">
        <v>83</v>
      </c>
      <c r="AA162" s="1">
        <v>6</v>
      </c>
      <c r="AB162" s="1">
        <v>6</v>
      </c>
      <c r="AC162" s="1" t="s">
        <v>83</v>
      </c>
      <c r="AD162" s="1">
        <v>6</v>
      </c>
      <c r="AE162" s="1">
        <v>6</v>
      </c>
      <c r="AF162" s="1" t="s">
        <v>83</v>
      </c>
      <c r="AG162" s="1">
        <v>0</v>
      </c>
      <c r="AH162" s="1">
        <v>0</v>
      </c>
      <c r="AI162" s="1" t="s">
        <v>83</v>
      </c>
      <c r="AJ162" s="1">
        <v>6</v>
      </c>
      <c r="AK162" s="1">
        <v>6</v>
      </c>
      <c r="AL162" s="1" t="s">
        <v>83</v>
      </c>
      <c r="AM162" s="1">
        <v>6</v>
      </c>
      <c r="AN162" s="1">
        <v>6</v>
      </c>
      <c r="AO162" s="1" t="s">
        <v>83</v>
      </c>
      <c r="AP162" s="1">
        <v>6</v>
      </c>
      <c r="AQ162" s="1">
        <v>6</v>
      </c>
      <c r="AR162" s="1" t="s">
        <v>83</v>
      </c>
      <c r="AS162" s="1">
        <v>6</v>
      </c>
      <c r="AT162" s="1">
        <v>6</v>
      </c>
      <c r="AU162" s="1" t="s">
        <v>83</v>
      </c>
      <c r="AV162" s="1">
        <v>6</v>
      </c>
      <c r="AW162" s="1">
        <v>6</v>
      </c>
      <c r="AX162" s="1" t="s">
        <v>83</v>
      </c>
      <c r="AY162" s="1">
        <v>0</v>
      </c>
      <c r="AZ162" s="1">
        <v>0</v>
      </c>
      <c r="BA162" s="1">
        <v>0</v>
      </c>
      <c r="BB162" s="1" t="s">
        <v>1134</v>
      </c>
      <c r="BC162" s="1">
        <v>1</v>
      </c>
      <c r="BD162" s="1" t="s">
        <v>985</v>
      </c>
      <c r="BE162" s="1" t="s">
        <v>985</v>
      </c>
      <c r="BF162" s="1" t="s">
        <v>1135</v>
      </c>
      <c r="BG162" s="1" t="s">
        <v>83</v>
      </c>
    </row>
    <row r="163" spans="1:59" x14ac:dyDescent="0.35">
      <c r="A163" s="1">
        <v>162</v>
      </c>
      <c r="B163" s="1">
        <v>45840.865405092591</v>
      </c>
      <c r="C163" s="1" t="s">
        <v>1136</v>
      </c>
      <c r="D163" s="1" t="s">
        <v>1137</v>
      </c>
      <c r="E163" s="1" t="s">
        <v>63</v>
      </c>
      <c r="F163" s="1" t="s">
        <v>63</v>
      </c>
      <c r="G163" s="1" t="s">
        <v>1138</v>
      </c>
      <c r="H163" s="1" t="s">
        <v>981</v>
      </c>
      <c r="I163" s="1" t="s">
        <v>982</v>
      </c>
      <c r="J163" s="1" t="s">
        <v>1106</v>
      </c>
      <c r="K163" s="1" t="s">
        <v>1139</v>
      </c>
      <c r="L163" s="1" t="s">
        <v>69</v>
      </c>
      <c r="M163" s="1" t="s">
        <v>69</v>
      </c>
      <c r="N163" s="1" t="s">
        <v>69</v>
      </c>
      <c r="O163" s="1" t="s">
        <v>69</v>
      </c>
      <c r="P163" s="1" t="s">
        <v>106</v>
      </c>
      <c r="Q163" s="1" t="s">
        <v>107</v>
      </c>
      <c r="R163" s="1" t="s">
        <v>561</v>
      </c>
      <c r="S163" s="1">
        <v>45</v>
      </c>
      <c r="T163" s="1" t="s">
        <v>197</v>
      </c>
      <c r="U163" s="1" t="s">
        <v>73</v>
      </c>
      <c r="V163" s="1" t="s">
        <v>74</v>
      </c>
      <c r="W163" s="1" t="s">
        <v>74</v>
      </c>
      <c r="X163" s="1">
        <v>6</v>
      </c>
      <c r="Y163" s="1">
        <v>6</v>
      </c>
      <c r="Z163" s="1" t="s">
        <v>83</v>
      </c>
      <c r="AA163" s="1">
        <v>6</v>
      </c>
      <c r="AB163" s="1">
        <v>6</v>
      </c>
      <c r="AC163" s="1" t="s">
        <v>83</v>
      </c>
      <c r="AD163" s="1">
        <v>6</v>
      </c>
      <c r="AE163" s="1">
        <v>6</v>
      </c>
      <c r="AF163" s="1" t="s">
        <v>83</v>
      </c>
      <c r="AG163" s="1">
        <v>0</v>
      </c>
      <c r="AH163" s="1">
        <v>0</v>
      </c>
      <c r="AI163" s="1" t="s">
        <v>83</v>
      </c>
      <c r="AJ163" s="1">
        <v>6</v>
      </c>
      <c r="AK163" s="1">
        <v>6</v>
      </c>
      <c r="AL163" s="1" t="s">
        <v>83</v>
      </c>
      <c r="AM163" s="1">
        <v>6</v>
      </c>
      <c r="AN163" s="1">
        <v>6</v>
      </c>
      <c r="AO163" s="1" t="s">
        <v>83</v>
      </c>
      <c r="AP163" s="1">
        <v>6</v>
      </c>
      <c r="AQ163" s="1">
        <v>6</v>
      </c>
      <c r="AR163" s="1" t="s">
        <v>83</v>
      </c>
      <c r="AS163" s="1">
        <v>6</v>
      </c>
      <c r="AT163" s="1">
        <v>6</v>
      </c>
      <c r="AU163" s="1" t="s">
        <v>83</v>
      </c>
      <c r="AV163" s="1">
        <v>6</v>
      </c>
      <c r="AW163" s="1">
        <v>6</v>
      </c>
      <c r="AX163" s="1" t="s">
        <v>83</v>
      </c>
      <c r="AY163" s="1">
        <v>0</v>
      </c>
      <c r="AZ163" s="1">
        <v>1</v>
      </c>
      <c r="BA163" s="1">
        <v>0</v>
      </c>
      <c r="BB163" s="1" t="s">
        <v>83</v>
      </c>
      <c r="BC163" s="1" t="s">
        <v>2486</v>
      </c>
      <c r="BD163" s="1" t="s">
        <v>992</v>
      </c>
      <c r="BE163" s="1" t="s">
        <v>985</v>
      </c>
      <c r="BF163" s="1" t="s">
        <v>985</v>
      </c>
      <c r="BG163" s="1" t="s">
        <v>83</v>
      </c>
    </row>
    <row r="164" spans="1:59" x14ac:dyDescent="0.35">
      <c r="A164" s="1">
        <v>163</v>
      </c>
      <c r="B164" s="1">
        <v>45840.868796296294</v>
      </c>
      <c r="C164" s="1" t="s">
        <v>1140</v>
      </c>
      <c r="D164" s="1" t="s">
        <v>1141</v>
      </c>
      <c r="E164" s="1" t="s">
        <v>63</v>
      </c>
      <c r="F164" s="1" t="s">
        <v>397</v>
      </c>
      <c r="G164" s="1" t="s">
        <v>1142</v>
      </c>
      <c r="H164" s="1" t="s">
        <v>578</v>
      </c>
      <c r="I164" s="1" t="s">
        <v>588</v>
      </c>
      <c r="J164" s="1" t="s">
        <v>639</v>
      </c>
      <c r="K164" s="1" t="s">
        <v>1143</v>
      </c>
      <c r="L164" s="1" t="s">
        <v>69</v>
      </c>
      <c r="M164" s="1" t="s">
        <v>69</v>
      </c>
      <c r="N164" s="1" t="s">
        <v>69</v>
      </c>
      <c r="O164" s="1" t="s">
        <v>69</v>
      </c>
      <c r="P164" s="1" t="s">
        <v>70</v>
      </c>
      <c r="Q164" s="1" t="s">
        <v>71</v>
      </c>
      <c r="R164" s="1" t="s">
        <v>1045</v>
      </c>
      <c r="S164" s="1">
        <v>29</v>
      </c>
      <c r="T164" s="1" t="s">
        <v>92</v>
      </c>
      <c r="U164" s="1" t="s">
        <v>73</v>
      </c>
      <c r="V164" s="1" t="s">
        <v>232</v>
      </c>
      <c r="W164" s="1" t="s">
        <v>232</v>
      </c>
      <c r="X164" s="1">
        <v>5</v>
      </c>
      <c r="Y164" s="1">
        <v>6</v>
      </c>
      <c r="Z164" s="1" t="s">
        <v>83</v>
      </c>
      <c r="AA164" s="1">
        <v>6</v>
      </c>
      <c r="AB164" s="1">
        <v>6</v>
      </c>
      <c r="AC164" s="1" t="s">
        <v>83</v>
      </c>
      <c r="AD164" s="1">
        <v>6</v>
      </c>
      <c r="AE164" s="1">
        <v>6</v>
      </c>
      <c r="AF164" s="1" t="s">
        <v>83</v>
      </c>
      <c r="AG164" s="1">
        <v>6</v>
      </c>
      <c r="AH164" s="1">
        <v>6</v>
      </c>
      <c r="AI164" s="1" t="s">
        <v>83</v>
      </c>
      <c r="AJ164" s="1">
        <v>6</v>
      </c>
      <c r="AK164" s="1">
        <v>6</v>
      </c>
      <c r="AL164" s="1" t="s">
        <v>83</v>
      </c>
      <c r="AM164" s="1">
        <v>6</v>
      </c>
      <c r="AN164" s="1">
        <v>6</v>
      </c>
      <c r="AO164" s="1" t="s">
        <v>83</v>
      </c>
      <c r="AP164" s="1">
        <v>6</v>
      </c>
      <c r="AQ164" s="1">
        <v>6</v>
      </c>
      <c r="AR164" s="1" t="s">
        <v>83</v>
      </c>
      <c r="AS164" s="1">
        <v>5</v>
      </c>
      <c r="AT164" s="1">
        <v>6</v>
      </c>
      <c r="AU164" s="1" t="s">
        <v>83</v>
      </c>
      <c r="AV164" s="1">
        <v>5</v>
      </c>
      <c r="AW164" s="1">
        <v>5</v>
      </c>
      <c r="AX164" s="1" t="s">
        <v>83</v>
      </c>
      <c r="AY164" s="1">
        <v>0</v>
      </c>
      <c r="AZ164" s="1">
        <v>0</v>
      </c>
      <c r="BA164" s="1">
        <v>2</v>
      </c>
      <c r="BB164" s="1" t="s">
        <v>83</v>
      </c>
      <c r="BC164" s="1">
        <v>0</v>
      </c>
      <c r="BD164" s="1" t="s">
        <v>624</v>
      </c>
      <c r="BE164" s="1" t="s">
        <v>624</v>
      </c>
      <c r="BF164" s="1" t="s">
        <v>1144</v>
      </c>
      <c r="BG164" s="1" t="s">
        <v>83</v>
      </c>
    </row>
    <row r="165" spans="1:59" x14ac:dyDescent="0.35">
      <c r="A165" s="1">
        <v>164</v>
      </c>
      <c r="B165" s="1">
        <v>45840.870717592596</v>
      </c>
      <c r="C165" s="1" t="s">
        <v>1145</v>
      </c>
      <c r="D165" s="1" t="s">
        <v>1146</v>
      </c>
      <c r="E165" s="1" t="s">
        <v>63</v>
      </c>
      <c r="F165" s="1" t="s">
        <v>179</v>
      </c>
      <c r="G165" s="1" t="s">
        <v>1147</v>
      </c>
      <c r="H165" s="1" t="s">
        <v>981</v>
      </c>
      <c r="I165" s="1" t="s">
        <v>982</v>
      </c>
      <c r="J165" s="1" t="s">
        <v>1106</v>
      </c>
      <c r="K165" s="1" t="s">
        <v>491</v>
      </c>
      <c r="L165" s="1" t="s">
        <v>69</v>
      </c>
      <c r="M165" s="1" t="s">
        <v>69</v>
      </c>
      <c r="N165" s="1" t="s">
        <v>69</v>
      </c>
      <c r="O165" s="1" t="s">
        <v>69</v>
      </c>
      <c r="P165" s="1" t="s">
        <v>106</v>
      </c>
      <c r="Q165" s="1" t="s">
        <v>107</v>
      </c>
      <c r="R165" s="1" t="s">
        <v>680</v>
      </c>
      <c r="S165" s="1">
        <v>39</v>
      </c>
      <c r="T165" s="1" t="s">
        <v>153</v>
      </c>
      <c r="U165" s="1" t="s">
        <v>73</v>
      </c>
      <c r="V165" s="1" t="s">
        <v>74</v>
      </c>
      <c r="W165" s="1" t="s">
        <v>74</v>
      </c>
      <c r="X165" s="1">
        <v>5</v>
      </c>
      <c r="Y165" s="1">
        <v>5</v>
      </c>
      <c r="Z165" s="1" t="s">
        <v>83</v>
      </c>
      <c r="AA165" s="1">
        <v>5</v>
      </c>
      <c r="AB165" s="1">
        <v>5</v>
      </c>
      <c r="AC165" s="1" t="s">
        <v>83</v>
      </c>
      <c r="AD165" s="1">
        <v>5</v>
      </c>
      <c r="AE165" s="1">
        <v>5</v>
      </c>
      <c r="AF165" s="1" t="s">
        <v>83</v>
      </c>
      <c r="AG165" s="1">
        <v>0</v>
      </c>
      <c r="AH165" s="1">
        <v>0</v>
      </c>
      <c r="AI165" s="1" t="s">
        <v>83</v>
      </c>
      <c r="AJ165" s="1">
        <v>5</v>
      </c>
      <c r="AK165" s="1">
        <v>6</v>
      </c>
      <c r="AL165" s="1" t="s">
        <v>83</v>
      </c>
      <c r="AM165" s="1">
        <v>5</v>
      </c>
      <c r="AN165" s="1">
        <v>6</v>
      </c>
      <c r="AO165" s="1" t="s">
        <v>83</v>
      </c>
      <c r="AP165" s="1">
        <v>5</v>
      </c>
      <c r="AQ165" s="1">
        <v>6</v>
      </c>
      <c r="AR165" s="1" t="s">
        <v>83</v>
      </c>
      <c r="AS165" s="1">
        <v>5</v>
      </c>
      <c r="AT165" s="1">
        <v>6</v>
      </c>
      <c r="AU165" s="1" t="s">
        <v>83</v>
      </c>
      <c r="AV165" s="1">
        <v>5</v>
      </c>
      <c r="AW165" s="1">
        <v>6</v>
      </c>
      <c r="AX165" s="1" t="s">
        <v>83</v>
      </c>
      <c r="AY165" s="1">
        <v>1</v>
      </c>
      <c r="AZ165" s="1">
        <v>0</v>
      </c>
      <c r="BA165" s="1">
        <v>0</v>
      </c>
      <c r="BB165" s="1" t="s">
        <v>83</v>
      </c>
      <c r="BC165" s="1">
        <v>0</v>
      </c>
      <c r="BD165" s="1" t="s">
        <v>1148</v>
      </c>
      <c r="BE165" s="1" t="s">
        <v>985</v>
      </c>
      <c r="BF165" s="1" t="s">
        <v>1149</v>
      </c>
      <c r="BG165" s="1" t="s">
        <v>83</v>
      </c>
    </row>
    <row r="166" spans="1:59" x14ac:dyDescent="0.35">
      <c r="A166" s="1">
        <v>165</v>
      </c>
      <c r="B166" s="1">
        <v>45840.873136574075</v>
      </c>
      <c r="C166" s="1" t="s">
        <v>1150</v>
      </c>
      <c r="D166" s="1" t="s">
        <v>1151</v>
      </c>
      <c r="E166" s="1" t="s">
        <v>63</v>
      </c>
      <c r="F166" s="1" t="s">
        <v>125</v>
      </c>
      <c r="G166" s="1" t="s">
        <v>1152</v>
      </c>
      <c r="H166" s="1" t="s">
        <v>578</v>
      </c>
      <c r="I166" s="1" t="s">
        <v>596</v>
      </c>
      <c r="J166" s="1" t="s">
        <v>971</v>
      </c>
      <c r="K166" s="1" t="s">
        <v>105</v>
      </c>
      <c r="L166" s="1" t="s">
        <v>69</v>
      </c>
      <c r="M166" s="1" t="s">
        <v>69</v>
      </c>
      <c r="N166" s="1" t="s">
        <v>69</v>
      </c>
      <c r="O166" s="1" t="s">
        <v>69</v>
      </c>
      <c r="P166" s="1" t="s">
        <v>106</v>
      </c>
      <c r="Q166" s="1" t="s">
        <v>107</v>
      </c>
      <c r="R166" s="1" t="s">
        <v>1153</v>
      </c>
      <c r="S166" s="1">
        <v>39</v>
      </c>
      <c r="T166" s="1" t="s">
        <v>153</v>
      </c>
      <c r="U166" s="1" t="s">
        <v>93</v>
      </c>
      <c r="V166" s="1" t="s">
        <v>74</v>
      </c>
      <c r="W166" s="1" t="s">
        <v>74</v>
      </c>
      <c r="X166" s="1">
        <v>6</v>
      </c>
      <c r="Y166" s="1">
        <v>6</v>
      </c>
      <c r="Z166" s="1" t="s">
        <v>83</v>
      </c>
      <c r="AA166" s="1">
        <v>6</v>
      </c>
      <c r="AB166" s="1">
        <v>6</v>
      </c>
      <c r="AC166" s="1" t="s">
        <v>83</v>
      </c>
      <c r="AD166" s="1">
        <v>6</v>
      </c>
      <c r="AE166" s="1">
        <v>6</v>
      </c>
      <c r="AF166" s="1" t="s">
        <v>83</v>
      </c>
      <c r="AG166" s="1">
        <v>0</v>
      </c>
      <c r="AH166" s="1">
        <v>0</v>
      </c>
      <c r="AI166" s="1" t="s">
        <v>83</v>
      </c>
      <c r="AJ166" s="1">
        <v>6</v>
      </c>
      <c r="AK166" s="1">
        <v>6</v>
      </c>
      <c r="AL166" s="1" t="s">
        <v>83</v>
      </c>
      <c r="AM166" s="1">
        <v>6</v>
      </c>
      <c r="AN166" s="1">
        <v>6</v>
      </c>
      <c r="AO166" s="1" t="s">
        <v>83</v>
      </c>
      <c r="AP166" s="1">
        <v>6</v>
      </c>
      <c r="AQ166" s="1">
        <v>6</v>
      </c>
      <c r="AR166" s="1" t="s">
        <v>83</v>
      </c>
      <c r="AS166" s="1">
        <v>6</v>
      </c>
      <c r="AT166" s="1">
        <v>6</v>
      </c>
      <c r="AU166" s="1" t="s">
        <v>83</v>
      </c>
      <c r="AV166" s="1">
        <v>6</v>
      </c>
      <c r="AW166" s="1">
        <v>6</v>
      </c>
      <c r="AX166" s="1" t="s">
        <v>83</v>
      </c>
      <c r="AY166" s="1">
        <v>0</v>
      </c>
      <c r="AZ166" s="1">
        <v>0</v>
      </c>
      <c r="BA166" s="1">
        <v>0</v>
      </c>
      <c r="BB166" s="1" t="s">
        <v>233</v>
      </c>
      <c r="BC166" s="1">
        <v>2</v>
      </c>
      <c r="BD166" s="1" t="s">
        <v>1154</v>
      </c>
      <c r="BE166" s="1" t="s">
        <v>1155</v>
      </c>
      <c r="BF166" s="1" t="s">
        <v>555</v>
      </c>
      <c r="BG166" s="1" t="s">
        <v>83</v>
      </c>
    </row>
    <row r="167" spans="1:59" x14ac:dyDescent="0.35">
      <c r="A167" s="1">
        <v>166</v>
      </c>
      <c r="B167" s="1">
        <v>45840.876238425924</v>
      </c>
      <c r="C167" s="1" t="s">
        <v>1156</v>
      </c>
      <c r="D167" s="1" t="s">
        <v>1157</v>
      </c>
      <c r="E167" s="1" t="s">
        <v>63</v>
      </c>
      <c r="F167" s="1" t="s">
        <v>179</v>
      </c>
      <c r="G167" s="1" t="s">
        <v>1158</v>
      </c>
      <c r="H167" s="1" t="s">
        <v>981</v>
      </c>
      <c r="I167" s="1" t="s">
        <v>982</v>
      </c>
      <c r="J167" s="1" t="s">
        <v>862</v>
      </c>
      <c r="K167" s="1" t="s">
        <v>1159</v>
      </c>
      <c r="L167" s="1" t="s">
        <v>69</v>
      </c>
      <c r="M167" s="1" t="s">
        <v>69</v>
      </c>
      <c r="N167" s="1" t="s">
        <v>69</v>
      </c>
      <c r="O167" s="1" t="s">
        <v>69</v>
      </c>
      <c r="P167" s="1" t="s">
        <v>106</v>
      </c>
      <c r="Q167" s="1" t="s">
        <v>107</v>
      </c>
      <c r="R167" s="1" t="s">
        <v>1160</v>
      </c>
      <c r="S167" s="1">
        <v>56</v>
      </c>
      <c r="T167" s="1" t="s">
        <v>182</v>
      </c>
      <c r="U167" s="1" t="s">
        <v>73</v>
      </c>
      <c r="V167" s="1" t="s">
        <v>110</v>
      </c>
      <c r="W167" s="1" t="s">
        <v>110</v>
      </c>
      <c r="X167" s="1">
        <v>6</v>
      </c>
      <c r="Y167" s="1">
        <v>6</v>
      </c>
      <c r="Z167" s="1" t="s">
        <v>83</v>
      </c>
      <c r="AA167" s="1">
        <v>6</v>
      </c>
      <c r="AB167" s="1">
        <v>6</v>
      </c>
      <c r="AC167" s="1" t="s">
        <v>83</v>
      </c>
      <c r="AD167" s="1">
        <v>6</v>
      </c>
      <c r="AE167" s="1">
        <v>5</v>
      </c>
      <c r="AF167" s="1" t="s">
        <v>83</v>
      </c>
      <c r="AG167" s="1">
        <v>0</v>
      </c>
      <c r="AH167" s="1">
        <v>0</v>
      </c>
      <c r="AI167" s="1" t="s">
        <v>83</v>
      </c>
      <c r="AJ167" s="1">
        <v>6</v>
      </c>
      <c r="AK167" s="1">
        <v>6</v>
      </c>
      <c r="AL167" s="1" t="s">
        <v>83</v>
      </c>
      <c r="AM167" s="1">
        <v>6</v>
      </c>
      <c r="AN167" s="1">
        <v>6</v>
      </c>
      <c r="AO167" s="1" t="s">
        <v>83</v>
      </c>
      <c r="AP167" s="1">
        <v>6</v>
      </c>
      <c r="AQ167" s="1">
        <v>6</v>
      </c>
      <c r="AR167" s="1" t="s">
        <v>83</v>
      </c>
      <c r="AS167" s="1">
        <v>6</v>
      </c>
      <c r="AT167" s="1">
        <v>6</v>
      </c>
      <c r="AU167" s="1" t="s">
        <v>83</v>
      </c>
      <c r="AV167" s="1">
        <v>6</v>
      </c>
      <c r="AW167" s="1">
        <v>6</v>
      </c>
      <c r="AX167" s="1" t="s">
        <v>83</v>
      </c>
      <c r="AY167" s="1">
        <v>0</v>
      </c>
      <c r="AZ167" s="1">
        <v>0</v>
      </c>
      <c r="BA167" s="1">
        <v>0</v>
      </c>
      <c r="BB167" s="1" t="s">
        <v>1161</v>
      </c>
      <c r="BC167" s="1">
        <v>4</v>
      </c>
      <c r="BD167" s="1" t="s">
        <v>1163</v>
      </c>
      <c r="BE167" s="1" t="s">
        <v>985</v>
      </c>
      <c r="BF167" s="1" t="s">
        <v>985</v>
      </c>
      <c r="BG167" s="1" t="s">
        <v>83</v>
      </c>
    </row>
    <row r="168" spans="1:59" x14ac:dyDescent="0.35">
      <c r="A168" s="1">
        <v>167</v>
      </c>
      <c r="B168" s="1">
        <v>45840.880069444444</v>
      </c>
      <c r="C168" s="1" t="s">
        <v>1164</v>
      </c>
      <c r="D168" s="1" t="s">
        <v>1165</v>
      </c>
      <c r="E168" s="1" t="s">
        <v>63</v>
      </c>
      <c r="F168" s="1" t="s">
        <v>757</v>
      </c>
      <c r="G168" s="1" t="s">
        <v>1166</v>
      </c>
      <c r="H168" s="1" t="s">
        <v>578</v>
      </c>
      <c r="I168" s="1" t="s">
        <v>596</v>
      </c>
      <c r="J168" s="1" t="s">
        <v>971</v>
      </c>
      <c r="K168" s="1" t="s">
        <v>1167</v>
      </c>
      <c r="L168" s="1" t="s">
        <v>69</v>
      </c>
      <c r="M168" s="1" t="s">
        <v>69</v>
      </c>
      <c r="N168" s="1" t="s">
        <v>69</v>
      </c>
      <c r="O168" s="1" t="s">
        <v>69</v>
      </c>
      <c r="P168" s="1" t="s">
        <v>70</v>
      </c>
      <c r="Q168" s="1" t="s">
        <v>1168</v>
      </c>
      <c r="R168" s="1" t="s">
        <v>1169</v>
      </c>
      <c r="S168" s="1">
        <v>40</v>
      </c>
      <c r="T168" s="1" t="s">
        <v>153</v>
      </c>
      <c r="U168" s="1" t="s">
        <v>254</v>
      </c>
      <c r="V168" s="1" t="s">
        <v>154</v>
      </c>
      <c r="W168" s="1" t="s">
        <v>154</v>
      </c>
      <c r="X168" s="1">
        <v>5</v>
      </c>
      <c r="Y168" s="1">
        <v>6</v>
      </c>
      <c r="Z168" s="1" t="s">
        <v>83</v>
      </c>
      <c r="AA168" s="1">
        <v>5</v>
      </c>
      <c r="AB168" s="1">
        <v>5</v>
      </c>
      <c r="AC168" s="1" t="s">
        <v>83</v>
      </c>
      <c r="AD168" s="1">
        <v>4</v>
      </c>
      <c r="AE168" s="1">
        <v>6</v>
      </c>
      <c r="AF168" s="1" t="s">
        <v>83</v>
      </c>
      <c r="AG168" s="1">
        <v>0</v>
      </c>
      <c r="AH168" s="1">
        <v>0</v>
      </c>
      <c r="AI168" s="1" t="s">
        <v>83</v>
      </c>
      <c r="AJ168" s="1">
        <v>5</v>
      </c>
      <c r="AK168" s="1">
        <v>6</v>
      </c>
      <c r="AL168" s="1" t="s">
        <v>83</v>
      </c>
      <c r="AM168" s="1">
        <v>5</v>
      </c>
      <c r="AN168" s="1">
        <v>6</v>
      </c>
      <c r="AO168" s="1" t="s">
        <v>83</v>
      </c>
      <c r="AP168" s="1">
        <v>6</v>
      </c>
      <c r="AQ168" s="1">
        <v>6</v>
      </c>
      <c r="AR168" s="1" t="s">
        <v>83</v>
      </c>
      <c r="AS168" s="1">
        <v>5</v>
      </c>
      <c r="AT168" s="1">
        <v>6</v>
      </c>
      <c r="AU168" s="1" t="s">
        <v>83</v>
      </c>
      <c r="AV168" s="1">
        <v>6</v>
      </c>
      <c r="AW168" s="1">
        <v>6</v>
      </c>
      <c r="AX168" s="1" t="s">
        <v>83</v>
      </c>
      <c r="AY168" s="1">
        <v>0</v>
      </c>
      <c r="AZ168" s="1">
        <v>0</v>
      </c>
      <c r="BA168" s="1">
        <v>0</v>
      </c>
      <c r="BB168" s="1" t="s">
        <v>1170</v>
      </c>
      <c r="BC168" s="1">
        <v>1</v>
      </c>
      <c r="BD168" s="1" t="s">
        <v>1171</v>
      </c>
      <c r="BE168" s="1" t="s">
        <v>1172</v>
      </c>
      <c r="BF168" s="1" t="s">
        <v>1173</v>
      </c>
      <c r="BG168" s="1" t="s">
        <v>1174</v>
      </c>
    </row>
    <row r="169" spans="1:59" x14ac:dyDescent="0.35">
      <c r="A169" s="1">
        <v>168</v>
      </c>
      <c r="B169" s="1">
        <v>45840.887743055559</v>
      </c>
      <c r="C169" s="1" t="s">
        <v>1175</v>
      </c>
      <c r="D169" s="1" t="s">
        <v>1176</v>
      </c>
      <c r="E169" s="1" t="s">
        <v>904</v>
      </c>
      <c r="F169" s="1" t="s">
        <v>1177</v>
      </c>
      <c r="G169" s="1" t="s">
        <v>1178</v>
      </c>
      <c r="H169" s="1" t="s">
        <v>578</v>
      </c>
      <c r="I169" s="1" t="s">
        <v>596</v>
      </c>
      <c r="J169" s="1" t="s">
        <v>971</v>
      </c>
      <c r="K169" s="1" t="s">
        <v>1179</v>
      </c>
      <c r="L169" s="1" t="s">
        <v>69</v>
      </c>
      <c r="M169" s="1" t="s">
        <v>69</v>
      </c>
      <c r="N169" s="1" t="s">
        <v>69</v>
      </c>
      <c r="O169" s="1" t="s">
        <v>69</v>
      </c>
      <c r="P169" s="1" t="s">
        <v>70</v>
      </c>
      <c r="Q169" s="1" t="s">
        <v>1180</v>
      </c>
      <c r="R169" s="1" t="s">
        <v>1181</v>
      </c>
      <c r="S169" s="1">
        <v>44</v>
      </c>
      <c r="T169" s="1" t="s">
        <v>197</v>
      </c>
      <c r="U169" s="1" t="s">
        <v>93</v>
      </c>
      <c r="V169" s="1" t="s">
        <v>74</v>
      </c>
      <c r="W169" s="1" t="s">
        <v>74</v>
      </c>
      <c r="X169" s="1">
        <v>5</v>
      </c>
      <c r="Y169" s="1">
        <v>4</v>
      </c>
      <c r="Z169" s="1" t="s">
        <v>83</v>
      </c>
      <c r="AA169" s="1">
        <v>5</v>
      </c>
      <c r="AB169" s="1">
        <v>6</v>
      </c>
      <c r="AC169" s="1" t="s">
        <v>83</v>
      </c>
      <c r="AD169" s="1">
        <v>5</v>
      </c>
      <c r="AE169" s="1">
        <v>6</v>
      </c>
      <c r="AF169" s="1" t="s">
        <v>83</v>
      </c>
      <c r="AG169" s="1">
        <v>0</v>
      </c>
      <c r="AH169" s="1">
        <v>0</v>
      </c>
      <c r="AI169" s="1" t="s">
        <v>83</v>
      </c>
      <c r="AJ169" s="1">
        <v>4</v>
      </c>
      <c r="AK169" s="1">
        <v>4</v>
      </c>
      <c r="AL169" s="1" t="s">
        <v>83</v>
      </c>
      <c r="AM169" s="1">
        <v>5</v>
      </c>
      <c r="AN169" s="1">
        <v>5</v>
      </c>
      <c r="AO169" s="1" t="s">
        <v>83</v>
      </c>
      <c r="AP169" s="1">
        <v>5</v>
      </c>
      <c r="AQ169" s="1">
        <v>5</v>
      </c>
      <c r="AR169" s="1" t="s">
        <v>83</v>
      </c>
      <c r="AS169" s="1">
        <v>5</v>
      </c>
      <c r="AT169" s="1">
        <v>5</v>
      </c>
      <c r="AU169" s="1" t="s">
        <v>83</v>
      </c>
      <c r="AV169" s="1">
        <v>6</v>
      </c>
      <c r="AW169" s="1">
        <v>5</v>
      </c>
      <c r="AX169" s="1" t="s">
        <v>83</v>
      </c>
      <c r="AY169" s="1">
        <v>0</v>
      </c>
      <c r="AZ169" s="1">
        <v>0</v>
      </c>
      <c r="BA169" s="1">
        <v>1</v>
      </c>
      <c r="BB169" s="1" t="s">
        <v>83</v>
      </c>
      <c r="BC169" s="1">
        <v>0</v>
      </c>
      <c r="BD169" s="1" t="s">
        <v>1182</v>
      </c>
      <c r="BE169" s="1" t="s">
        <v>624</v>
      </c>
      <c r="BF169" s="1" t="s">
        <v>1183</v>
      </c>
      <c r="BG169" s="1" t="s">
        <v>1185</v>
      </c>
    </row>
    <row r="170" spans="1:59" x14ac:dyDescent="0.35">
      <c r="A170" s="1">
        <v>169</v>
      </c>
      <c r="B170" s="1">
        <v>45840.920486111114</v>
      </c>
      <c r="C170" s="1" t="s">
        <v>1186</v>
      </c>
      <c r="D170" s="1" t="s">
        <v>1187</v>
      </c>
      <c r="E170" s="1" t="s">
        <v>63</v>
      </c>
      <c r="F170" s="1" t="s">
        <v>179</v>
      </c>
      <c r="G170" s="1" t="s">
        <v>1188</v>
      </c>
      <c r="H170" s="1" t="s">
        <v>242</v>
      </c>
      <c r="I170" s="1" t="s">
        <v>243</v>
      </c>
      <c r="J170" s="1" t="s">
        <v>1189</v>
      </c>
      <c r="K170" s="1" t="s">
        <v>440</v>
      </c>
      <c r="L170" s="1" t="s">
        <v>69</v>
      </c>
      <c r="M170" s="1" t="s">
        <v>69</v>
      </c>
      <c r="N170" s="1" t="s">
        <v>69</v>
      </c>
      <c r="O170" s="1" t="s">
        <v>69</v>
      </c>
      <c r="P170" s="1" t="s">
        <v>106</v>
      </c>
      <c r="Q170" s="1" t="s">
        <v>71</v>
      </c>
      <c r="R170" s="1" t="s">
        <v>671</v>
      </c>
      <c r="S170" s="1">
        <v>49</v>
      </c>
      <c r="T170" s="1" t="s">
        <v>225</v>
      </c>
      <c r="U170" s="1" t="s">
        <v>73</v>
      </c>
      <c r="V170" s="1" t="s">
        <v>74</v>
      </c>
      <c r="W170" s="1" t="s">
        <v>74</v>
      </c>
      <c r="X170" s="1">
        <v>6</v>
      </c>
      <c r="Y170" s="1">
        <v>6</v>
      </c>
      <c r="Z170" s="1" t="s">
        <v>83</v>
      </c>
      <c r="AA170" s="1">
        <v>6</v>
      </c>
      <c r="AB170" s="1">
        <v>6</v>
      </c>
      <c r="AC170" s="1" t="s">
        <v>83</v>
      </c>
      <c r="AD170" s="1">
        <v>6</v>
      </c>
      <c r="AE170" s="1">
        <v>6</v>
      </c>
      <c r="AF170" s="1" t="s">
        <v>83</v>
      </c>
      <c r="AG170" s="1">
        <v>6</v>
      </c>
      <c r="AH170" s="1">
        <v>6</v>
      </c>
      <c r="AI170" s="1" t="s">
        <v>83</v>
      </c>
      <c r="AJ170" s="1">
        <v>6</v>
      </c>
      <c r="AK170" s="1">
        <v>6</v>
      </c>
      <c r="AL170" s="1" t="s">
        <v>83</v>
      </c>
      <c r="AM170" s="1">
        <v>6</v>
      </c>
      <c r="AN170" s="1">
        <v>6</v>
      </c>
      <c r="AO170" s="1" t="s">
        <v>83</v>
      </c>
      <c r="AP170" s="1">
        <v>6</v>
      </c>
      <c r="AQ170" s="1">
        <v>6</v>
      </c>
      <c r="AR170" s="1" t="s">
        <v>83</v>
      </c>
      <c r="AS170" s="1">
        <v>6</v>
      </c>
      <c r="AT170" s="1">
        <v>6</v>
      </c>
      <c r="AU170" s="1" t="s">
        <v>83</v>
      </c>
      <c r="AV170" s="1">
        <v>6</v>
      </c>
      <c r="AW170" s="1">
        <v>6</v>
      </c>
      <c r="AX170" s="1" t="s">
        <v>83</v>
      </c>
      <c r="AY170" s="1">
        <v>0</v>
      </c>
      <c r="AZ170" s="1">
        <v>1</v>
      </c>
      <c r="BA170" s="1">
        <v>0</v>
      </c>
      <c r="BB170" s="1" t="s">
        <v>83</v>
      </c>
      <c r="BC170" s="1">
        <v>0</v>
      </c>
      <c r="BD170" s="1" t="s">
        <v>1190</v>
      </c>
      <c r="BE170" s="1" t="s">
        <v>248</v>
      </c>
      <c r="BF170" s="1" t="s">
        <v>248</v>
      </c>
      <c r="BG170" s="1" t="s">
        <v>278</v>
      </c>
    </row>
    <row r="171" spans="1:59" x14ac:dyDescent="0.35">
      <c r="A171" s="1">
        <v>170</v>
      </c>
      <c r="B171" s="1">
        <v>45840.923159722224</v>
      </c>
      <c r="C171" s="1" t="s">
        <v>1191</v>
      </c>
      <c r="D171" s="1" t="s">
        <v>1192</v>
      </c>
      <c r="E171" s="1" t="s">
        <v>63</v>
      </c>
      <c r="F171" s="1" t="s">
        <v>63</v>
      </c>
      <c r="G171" s="1" t="s">
        <v>1193</v>
      </c>
      <c r="H171" s="1" t="s">
        <v>242</v>
      </c>
      <c r="I171" s="1" t="s">
        <v>243</v>
      </c>
      <c r="J171" s="1" t="s">
        <v>1189</v>
      </c>
      <c r="K171" s="1" t="s">
        <v>951</v>
      </c>
      <c r="L171" s="1" t="s">
        <v>69</v>
      </c>
      <c r="M171" s="1" t="s">
        <v>69</v>
      </c>
      <c r="N171" s="1" t="s">
        <v>69</v>
      </c>
      <c r="O171" s="1" t="s">
        <v>69</v>
      </c>
      <c r="P171" s="1" t="s">
        <v>70</v>
      </c>
      <c r="Q171" s="1" t="s">
        <v>71</v>
      </c>
      <c r="R171" s="1" t="s">
        <v>441</v>
      </c>
      <c r="S171" s="1">
        <v>23</v>
      </c>
      <c r="T171" s="1" t="s">
        <v>72</v>
      </c>
      <c r="U171" s="1" t="s">
        <v>93</v>
      </c>
      <c r="V171" s="1" t="s">
        <v>74</v>
      </c>
      <c r="W171" s="1" t="s">
        <v>74</v>
      </c>
      <c r="X171" s="1">
        <v>6</v>
      </c>
      <c r="Y171" s="1">
        <v>6</v>
      </c>
      <c r="Z171" s="1" t="s">
        <v>83</v>
      </c>
      <c r="AA171" s="1">
        <v>6</v>
      </c>
      <c r="AB171" s="1">
        <v>6</v>
      </c>
      <c r="AC171" s="1" t="s">
        <v>83</v>
      </c>
      <c r="AD171" s="1">
        <v>6</v>
      </c>
      <c r="AE171" s="1">
        <v>6</v>
      </c>
      <c r="AF171" s="1" t="s">
        <v>83</v>
      </c>
      <c r="AG171" s="1">
        <v>6</v>
      </c>
      <c r="AH171" s="1">
        <v>6</v>
      </c>
      <c r="AI171" s="1" t="s">
        <v>83</v>
      </c>
      <c r="AJ171" s="1">
        <v>6</v>
      </c>
      <c r="AK171" s="1">
        <v>6</v>
      </c>
      <c r="AL171" s="1" t="s">
        <v>83</v>
      </c>
      <c r="AM171" s="1">
        <v>6</v>
      </c>
      <c r="AN171" s="1">
        <v>6</v>
      </c>
      <c r="AO171" s="1" t="s">
        <v>83</v>
      </c>
      <c r="AP171" s="1">
        <v>6</v>
      </c>
      <c r="AQ171" s="1">
        <v>6</v>
      </c>
      <c r="AR171" s="1" t="s">
        <v>83</v>
      </c>
      <c r="AS171" s="1">
        <v>6</v>
      </c>
      <c r="AT171" s="1">
        <v>6</v>
      </c>
      <c r="AU171" s="1" t="s">
        <v>83</v>
      </c>
      <c r="AV171" s="1">
        <v>6</v>
      </c>
      <c r="AW171" s="1">
        <v>6</v>
      </c>
      <c r="AX171" s="1" t="s">
        <v>83</v>
      </c>
      <c r="AY171" s="1">
        <v>0</v>
      </c>
      <c r="AZ171" s="1">
        <v>1</v>
      </c>
      <c r="BA171" s="1">
        <v>0</v>
      </c>
      <c r="BB171" s="1" t="s">
        <v>83</v>
      </c>
      <c r="BC171" s="1">
        <v>0</v>
      </c>
      <c r="BD171" s="1" t="s">
        <v>278</v>
      </c>
      <c r="BE171" s="1" t="s">
        <v>278</v>
      </c>
      <c r="BF171" s="1" t="s">
        <v>278</v>
      </c>
      <c r="BG171" s="1" t="s">
        <v>1194</v>
      </c>
    </row>
    <row r="172" spans="1:59" x14ac:dyDescent="0.35">
      <c r="A172" s="1">
        <v>171</v>
      </c>
      <c r="B172" s="1">
        <v>45840.926168981481</v>
      </c>
      <c r="C172" s="1" t="s">
        <v>1195</v>
      </c>
      <c r="D172" s="1" t="s">
        <v>1196</v>
      </c>
      <c r="E172" s="1" t="s">
        <v>63</v>
      </c>
      <c r="F172" s="1" t="s">
        <v>397</v>
      </c>
      <c r="G172" s="1" t="s">
        <v>1197</v>
      </c>
      <c r="H172" s="1" t="s">
        <v>242</v>
      </c>
      <c r="I172" s="1" t="s">
        <v>243</v>
      </c>
      <c r="J172" s="1" t="s">
        <v>639</v>
      </c>
      <c r="K172" s="1" t="s">
        <v>1198</v>
      </c>
      <c r="L172" s="1" t="s">
        <v>69</v>
      </c>
      <c r="M172" s="1" t="s">
        <v>69</v>
      </c>
      <c r="N172" s="1" t="s">
        <v>69</v>
      </c>
      <c r="O172" s="1" t="s">
        <v>69</v>
      </c>
      <c r="P172" s="1" t="s">
        <v>70</v>
      </c>
      <c r="Q172" s="1" t="s">
        <v>71</v>
      </c>
      <c r="R172" s="1" t="s">
        <v>566</v>
      </c>
      <c r="S172" s="1">
        <v>25</v>
      </c>
      <c r="T172" s="1" t="s">
        <v>72</v>
      </c>
      <c r="U172" s="1" t="s">
        <v>93</v>
      </c>
      <c r="V172" s="1" t="s">
        <v>74</v>
      </c>
      <c r="W172" s="1" t="s">
        <v>74</v>
      </c>
      <c r="X172" s="1">
        <v>6</v>
      </c>
      <c r="Y172" s="1">
        <v>5</v>
      </c>
      <c r="Z172" s="1" t="s">
        <v>83</v>
      </c>
      <c r="AA172" s="1">
        <v>6</v>
      </c>
      <c r="AB172" s="1">
        <v>6</v>
      </c>
      <c r="AC172" s="1" t="s">
        <v>83</v>
      </c>
      <c r="AD172" s="1">
        <v>6</v>
      </c>
      <c r="AE172" s="1">
        <v>6</v>
      </c>
      <c r="AF172" s="1" t="s">
        <v>83</v>
      </c>
      <c r="AG172" s="1">
        <v>6</v>
      </c>
      <c r="AH172" s="1">
        <v>6</v>
      </c>
      <c r="AI172" s="1" t="s">
        <v>83</v>
      </c>
      <c r="AJ172" s="1">
        <v>6</v>
      </c>
      <c r="AK172" s="1">
        <v>6</v>
      </c>
      <c r="AL172" s="1" t="s">
        <v>83</v>
      </c>
      <c r="AM172" s="1">
        <v>6</v>
      </c>
      <c r="AN172" s="1">
        <v>6</v>
      </c>
      <c r="AO172" s="1" t="s">
        <v>83</v>
      </c>
      <c r="AP172" s="1">
        <v>6</v>
      </c>
      <c r="AQ172" s="1">
        <v>6</v>
      </c>
      <c r="AR172" s="1" t="s">
        <v>83</v>
      </c>
      <c r="AS172" s="1">
        <v>6</v>
      </c>
      <c r="AT172" s="1">
        <v>6</v>
      </c>
      <c r="AU172" s="1" t="s">
        <v>83</v>
      </c>
      <c r="AV172" s="1">
        <v>6</v>
      </c>
      <c r="AW172" s="1">
        <v>6</v>
      </c>
      <c r="AX172" s="1" t="s">
        <v>83</v>
      </c>
      <c r="AY172" s="1">
        <v>0</v>
      </c>
      <c r="AZ172" s="1">
        <v>1</v>
      </c>
      <c r="BA172" s="1">
        <v>0</v>
      </c>
      <c r="BB172" s="1" t="s">
        <v>83</v>
      </c>
      <c r="BC172" s="1">
        <v>0</v>
      </c>
      <c r="BD172" s="1" t="s">
        <v>802</v>
      </c>
      <c r="BE172" s="1" t="s">
        <v>278</v>
      </c>
      <c r="BF172" s="1" t="s">
        <v>278</v>
      </c>
      <c r="BG172" s="1" t="s">
        <v>96</v>
      </c>
    </row>
    <row r="173" spans="1:59" x14ac:dyDescent="0.35">
      <c r="A173" s="1">
        <v>172</v>
      </c>
      <c r="B173" s="1">
        <v>45840.929988425924</v>
      </c>
      <c r="C173" s="1" t="s">
        <v>1199</v>
      </c>
      <c r="D173" s="1" t="s">
        <v>1200</v>
      </c>
      <c r="E173" s="1" t="s">
        <v>63</v>
      </c>
      <c r="F173" s="1" t="s">
        <v>149</v>
      </c>
      <c r="G173" s="1" t="s">
        <v>1201</v>
      </c>
      <c r="H173" s="1" t="s">
        <v>242</v>
      </c>
      <c r="I173" s="1" t="s">
        <v>243</v>
      </c>
      <c r="J173" s="1" t="s">
        <v>1189</v>
      </c>
      <c r="K173" s="1" t="s">
        <v>1202</v>
      </c>
      <c r="L173" s="1" t="s">
        <v>69</v>
      </c>
      <c r="M173" s="1" t="s">
        <v>69</v>
      </c>
      <c r="N173" s="1" t="s">
        <v>69</v>
      </c>
      <c r="O173" s="1" t="s">
        <v>69</v>
      </c>
      <c r="P173" s="1" t="s">
        <v>106</v>
      </c>
      <c r="Q173" s="1" t="s">
        <v>71</v>
      </c>
      <c r="R173" s="1" t="s">
        <v>1045</v>
      </c>
      <c r="S173" s="1">
        <v>29</v>
      </c>
      <c r="T173" s="1" t="s">
        <v>92</v>
      </c>
      <c r="U173" s="1" t="s">
        <v>93</v>
      </c>
      <c r="V173" s="1" t="s">
        <v>74</v>
      </c>
      <c r="W173" s="1" t="s">
        <v>74</v>
      </c>
      <c r="X173" s="1">
        <v>6</v>
      </c>
      <c r="Y173" s="1">
        <v>6</v>
      </c>
      <c r="Z173" s="1" t="s">
        <v>83</v>
      </c>
      <c r="AA173" s="1">
        <v>6</v>
      </c>
      <c r="AB173" s="1">
        <v>6</v>
      </c>
      <c r="AC173" s="1" t="s">
        <v>83</v>
      </c>
      <c r="AD173" s="1">
        <v>6</v>
      </c>
      <c r="AE173" s="1">
        <v>6</v>
      </c>
      <c r="AF173" s="1" t="s">
        <v>83</v>
      </c>
      <c r="AG173" s="1">
        <v>6</v>
      </c>
      <c r="AH173" s="1">
        <v>6</v>
      </c>
      <c r="AI173" s="1" t="s">
        <v>83</v>
      </c>
      <c r="AJ173" s="1">
        <v>6</v>
      </c>
      <c r="AK173" s="1">
        <v>6</v>
      </c>
      <c r="AL173" s="1" t="s">
        <v>83</v>
      </c>
      <c r="AM173" s="1">
        <v>6</v>
      </c>
      <c r="AN173" s="1">
        <v>6</v>
      </c>
      <c r="AO173" s="1" t="s">
        <v>83</v>
      </c>
      <c r="AP173" s="1">
        <v>6</v>
      </c>
      <c r="AQ173" s="1">
        <v>6</v>
      </c>
      <c r="AR173" s="1" t="s">
        <v>83</v>
      </c>
      <c r="AS173" s="1">
        <v>6</v>
      </c>
      <c r="AT173" s="1">
        <v>6</v>
      </c>
      <c r="AU173" s="1" t="s">
        <v>83</v>
      </c>
      <c r="AV173" s="1">
        <v>6</v>
      </c>
      <c r="AW173" s="1">
        <v>6</v>
      </c>
      <c r="AX173" s="1" t="s">
        <v>83</v>
      </c>
      <c r="AY173" s="1">
        <v>0</v>
      </c>
      <c r="AZ173" s="1">
        <v>3</v>
      </c>
      <c r="BA173" s="1">
        <v>0</v>
      </c>
      <c r="BB173" s="1" t="s">
        <v>83</v>
      </c>
      <c r="BC173" s="1">
        <v>0</v>
      </c>
      <c r="BD173" s="1" t="s">
        <v>248</v>
      </c>
      <c r="BE173" s="1" t="s">
        <v>248</v>
      </c>
      <c r="BF173" s="1" t="s">
        <v>248</v>
      </c>
      <c r="BG173" s="1" t="s">
        <v>1203</v>
      </c>
    </row>
    <row r="174" spans="1:59" x14ac:dyDescent="0.35">
      <c r="A174" s="1">
        <v>173</v>
      </c>
      <c r="B174" s="1">
        <v>45840.93644675926</v>
      </c>
      <c r="C174" s="1" t="s">
        <v>1204</v>
      </c>
      <c r="D174" s="1" t="s">
        <v>1205</v>
      </c>
      <c r="E174" s="1" t="s">
        <v>63</v>
      </c>
      <c r="F174" s="1" t="s">
        <v>63</v>
      </c>
      <c r="G174" s="1" t="s">
        <v>1206</v>
      </c>
      <c r="H174" s="1" t="s">
        <v>242</v>
      </c>
      <c r="I174" s="1" t="s">
        <v>243</v>
      </c>
      <c r="J174" s="1" t="s">
        <v>1189</v>
      </c>
      <c r="K174" s="1" t="s">
        <v>1207</v>
      </c>
      <c r="L174" s="1" t="s">
        <v>69</v>
      </c>
      <c r="M174" s="1" t="s">
        <v>69</v>
      </c>
      <c r="N174" s="1" t="s">
        <v>69</v>
      </c>
      <c r="O174" s="1" t="s">
        <v>69</v>
      </c>
      <c r="P174" s="1" t="s">
        <v>106</v>
      </c>
      <c r="Q174" s="1" t="s">
        <v>107</v>
      </c>
      <c r="R174" s="1" t="s">
        <v>1208</v>
      </c>
      <c r="S174" s="1">
        <v>55</v>
      </c>
      <c r="T174" s="1" t="s">
        <v>383</v>
      </c>
      <c r="U174" s="1" t="s">
        <v>73</v>
      </c>
      <c r="V174" s="1" t="s">
        <v>1209</v>
      </c>
      <c r="W174" s="1" t="s">
        <v>232</v>
      </c>
      <c r="X174" s="1">
        <v>6</v>
      </c>
      <c r="Y174" s="1">
        <v>6</v>
      </c>
      <c r="Z174" s="1" t="s">
        <v>83</v>
      </c>
      <c r="AA174" s="1">
        <v>6</v>
      </c>
      <c r="AB174" s="1">
        <v>6</v>
      </c>
      <c r="AC174" s="1" t="s">
        <v>83</v>
      </c>
      <c r="AD174" s="1">
        <v>6</v>
      </c>
      <c r="AE174" s="1">
        <v>6</v>
      </c>
      <c r="AF174" s="1" t="s">
        <v>83</v>
      </c>
      <c r="AG174" s="1">
        <v>6</v>
      </c>
      <c r="AH174" s="1">
        <v>6</v>
      </c>
      <c r="AI174" s="1" t="s">
        <v>83</v>
      </c>
      <c r="AJ174" s="1">
        <v>6</v>
      </c>
      <c r="AK174" s="1">
        <v>6</v>
      </c>
      <c r="AL174" s="1" t="s">
        <v>83</v>
      </c>
      <c r="AM174" s="1">
        <v>6</v>
      </c>
      <c r="AN174" s="1">
        <v>6</v>
      </c>
      <c r="AO174" s="1" t="s">
        <v>83</v>
      </c>
      <c r="AP174" s="1">
        <v>6</v>
      </c>
      <c r="AQ174" s="1">
        <v>6</v>
      </c>
      <c r="AR174" s="1" t="s">
        <v>83</v>
      </c>
      <c r="AS174" s="1">
        <v>6</v>
      </c>
      <c r="AT174" s="1">
        <v>6</v>
      </c>
      <c r="AU174" s="1" t="s">
        <v>83</v>
      </c>
      <c r="AV174" s="1">
        <v>6</v>
      </c>
      <c r="AW174" s="1">
        <v>6</v>
      </c>
      <c r="AX174" s="1" t="s">
        <v>83</v>
      </c>
      <c r="AY174" s="1">
        <v>0</v>
      </c>
      <c r="AZ174" s="1">
        <v>0</v>
      </c>
      <c r="BA174" s="1">
        <v>1</v>
      </c>
      <c r="BB174" s="1" t="s">
        <v>83</v>
      </c>
      <c r="BC174" s="1">
        <v>0</v>
      </c>
      <c r="BD174" s="1" t="s">
        <v>248</v>
      </c>
      <c r="BE174" s="1" t="s">
        <v>248</v>
      </c>
      <c r="BF174" s="1" t="s">
        <v>248</v>
      </c>
      <c r="BG174" s="1" t="s">
        <v>96</v>
      </c>
    </row>
    <row r="175" spans="1:59" x14ac:dyDescent="0.35">
      <c r="A175" s="1">
        <v>174</v>
      </c>
      <c r="B175" s="1">
        <v>45841.107870370368</v>
      </c>
      <c r="C175" s="1" t="s">
        <v>1210</v>
      </c>
      <c r="D175" s="1" t="s">
        <v>1211</v>
      </c>
      <c r="E175" s="1" t="s">
        <v>63</v>
      </c>
      <c r="F175" s="1" t="s">
        <v>179</v>
      </c>
      <c r="G175" s="1" t="s">
        <v>1212</v>
      </c>
      <c r="H175" s="1" t="s">
        <v>517</v>
      </c>
      <c r="I175" s="1" t="s">
        <v>518</v>
      </c>
      <c r="J175" s="1" t="s">
        <v>1213</v>
      </c>
      <c r="K175" s="1" t="s">
        <v>474</v>
      </c>
      <c r="L175" s="1" t="s">
        <v>69</v>
      </c>
      <c r="M175" s="1" t="s">
        <v>69</v>
      </c>
      <c r="N175" s="1" t="s">
        <v>69</v>
      </c>
      <c r="O175" s="1" t="s">
        <v>69</v>
      </c>
      <c r="P175" s="1" t="s">
        <v>70</v>
      </c>
      <c r="Q175" s="1" t="s">
        <v>107</v>
      </c>
      <c r="R175" s="1" t="s">
        <v>404</v>
      </c>
      <c r="S175" s="1">
        <v>42</v>
      </c>
      <c r="T175" s="1" t="s">
        <v>197</v>
      </c>
      <c r="U175" s="1" t="s">
        <v>73</v>
      </c>
      <c r="V175" s="1" t="s">
        <v>232</v>
      </c>
      <c r="W175" s="1" t="s">
        <v>232</v>
      </c>
      <c r="X175" s="1">
        <v>6</v>
      </c>
      <c r="Y175" s="1">
        <v>6</v>
      </c>
      <c r="Z175" s="1" t="s">
        <v>83</v>
      </c>
      <c r="AA175" s="1">
        <v>6</v>
      </c>
      <c r="AB175" s="1">
        <v>6</v>
      </c>
      <c r="AC175" s="1" t="s">
        <v>83</v>
      </c>
      <c r="AD175" s="1">
        <v>6</v>
      </c>
      <c r="AE175" s="1">
        <v>6</v>
      </c>
      <c r="AF175" s="1" t="s">
        <v>83</v>
      </c>
      <c r="AG175" s="1">
        <v>0</v>
      </c>
      <c r="AH175" s="1">
        <v>0</v>
      </c>
      <c r="AI175" s="1" t="s">
        <v>83</v>
      </c>
      <c r="AJ175" s="1">
        <v>6</v>
      </c>
      <c r="AK175" s="1">
        <v>6</v>
      </c>
      <c r="AL175" s="1" t="s">
        <v>83</v>
      </c>
      <c r="AM175" s="1">
        <v>6</v>
      </c>
      <c r="AN175" s="1">
        <v>6</v>
      </c>
      <c r="AO175" s="1" t="s">
        <v>83</v>
      </c>
      <c r="AP175" s="1">
        <v>6</v>
      </c>
      <c r="AQ175" s="1">
        <v>6</v>
      </c>
      <c r="AR175" s="1" t="s">
        <v>83</v>
      </c>
      <c r="AS175" s="1">
        <v>6</v>
      </c>
      <c r="AT175" s="1">
        <v>6</v>
      </c>
      <c r="AU175" s="1" t="s">
        <v>83</v>
      </c>
      <c r="AV175" s="1">
        <v>6</v>
      </c>
      <c r="AW175" s="1">
        <v>6</v>
      </c>
      <c r="AX175" s="1" t="s">
        <v>83</v>
      </c>
      <c r="AY175" s="1">
        <v>2</v>
      </c>
      <c r="AZ175" s="1">
        <v>2</v>
      </c>
      <c r="BA175" s="1">
        <v>2</v>
      </c>
      <c r="BB175" s="1" t="s">
        <v>83</v>
      </c>
      <c r="BC175" s="1">
        <v>0</v>
      </c>
      <c r="BD175" s="1" t="s">
        <v>248</v>
      </c>
      <c r="BE175" s="1" t="s">
        <v>248</v>
      </c>
      <c r="BF175" s="1" t="s">
        <v>248</v>
      </c>
      <c r="BG175" s="1" t="s">
        <v>83</v>
      </c>
    </row>
    <row r="176" spans="1:59" x14ac:dyDescent="0.35">
      <c r="A176" s="1">
        <v>175</v>
      </c>
      <c r="B176" s="1">
        <v>45841.112824074073</v>
      </c>
      <c r="C176" s="1" t="s">
        <v>1214</v>
      </c>
      <c r="D176" s="1" t="s">
        <v>1215</v>
      </c>
      <c r="E176" s="1" t="s">
        <v>63</v>
      </c>
      <c r="F176" s="1" t="s">
        <v>179</v>
      </c>
      <c r="G176" s="1" t="s">
        <v>1216</v>
      </c>
      <c r="H176" s="1" t="s">
        <v>517</v>
      </c>
      <c r="I176" s="1" t="s">
        <v>518</v>
      </c>
      <c r="J176" s="1" t="s">
        <v>1213</v>
      </c>
      <c r="K176" s="1" t="s">
        <v>1217</v>
      </c>
      <c r="L176" s="1" t="s">
        <v>69</v>
      </c>
      <c r="M176" s="1" t="s">
        <v>69</v>
      </c>
      <c r="N176" s="1" t="s">
        <v>69</v>
      </c>
      <c r="O176" s="1" t="s">
        <v>69</v>
      </c>
      <c r="P176" s="1" t="s">
        <v>106</v>
      </c>
      <c r="Q176" s="1" t="s">
        <v>71</v>
      </c>
      <c r="R176" s="1" t="s">
        <v>441</v>
      </c>
      <c r="S176" s="1">
        <v>23</v>
      </c>
      <c r="T176" s="1" t="s">
        <v>72</v>
      </c>
      <c r="U176" s="1" t="s">
        <v>73</v>
      </c>
      <c r="V176" s="1" t="s">
        <v>1218</v>
      </c>
      <c r="W176" s="1" t="s">
        <v>133</v>
      </c>
      <c r="X176" s="1">
        <v>5</v>
      </c>
      <c r="Y176" s="1">
        <v>6</v>
      </c>
      <c r="Z176" s="1" t="s">
        <v>83</v>
      </c>
      <c r="AA176" s="1">
        <v>5</v>
      </c>
      <c r="AB176" s="1">
        <v>5</v>
      </c>
      <c r="AC176" s="1" t="s">
        <v>83</v>
      </c>
      <c r="AD176" s="1">
        <v>6</v>
      </c>
      <c r="AE176" s="1">
        <v>6</v>
      </c>
      <c r="AF176" s="1" t="s">
        <v>83</v>
      </c>
      <c r="AG176" s="1">
        <v>5</v>
      </c>
      <c r="AH176" s="1">
        <v>5</v>
      </c>
      <c r="AI176" s="1" t="s">
        <v>83</v>
      </c>
      <c r="AJ176" s="1">
        <v>5</v>
      </c>
      <c r="AK176" s="1">
        <v>5</v>
      </c>
      <c r="AL176" s="1" t="s">
        <v>83</v>
      </c>
      <c r="AM176" s="1">
        <v>6</v>
      </c>
      <c r="AN176" s="1">
        <v>6</v>
      </c>
      <c r="AO176" s="1" t="s">
        <v>83</v>
      </c>
      <c r="AP176" s="1">
        <v>6</v>
      </c>
      <c r="AQ176" s="1">
        <v>6</v>
      </c>
      <c r="AR176" s="1" t="s">
        <v>83</v>
      </c>
      <c r="AS176" s="1">
        <v>6</v>
      </c>
      <c r="AT176" s="1">
        <v>6</v>
      </c>
      <c r="AU176" s="1" t="s">
        <v>83</v>
      </c>
      <c r="AV176" s="1">
        <v>5</v>
      </c>
      <c r="AW176" s="1">
        <v>6</v>
      </c>
      <c r="AX176" s="1" t="s">
        <v>83</v>
      </c>
      <c r="AY176" s="1">
        <v>0</v>
      </c>
      <c r="AZ176" s="1">
        <v>2</v>
      </c>
      <c r="BA176" s="1">
        <v>0</v>
      </c>
      <c r="BB176" s="1" t="s">
        <v>83</v>
      </c>
      <c r="BC176" s="1">
        <v>0</v>
      </c>
      <c r="BD176" s="1" t="s">
        <v>248</v>
      </c>
      <c r="BE176" s="1" t="s">
        <v>248</v>
      </c>
      <c r="BF176" s="1" t="s">
        <v>248</v>
      </c>
      <c r="BG176" s="1" t="s">
        <v>83</v>
      </c>
    </row>
    <row r="177" spans="1:59" x14ac:dyDescent="0.35">
      <c r="A177" s="1">
        <v>176</v>
      </c>
      <c r="B177" s="1">
        <v>45841.117199074077</v>
      </c>
      <c r="C177" s="1" t="s">
        <v>1219</v>
      </c>
      <c r="D177" s="1" t="s">
        <v>1220</v>
      </c>
      <c r="E177" s="1" t="s">
        <v>63</v>
      </c>
      <c r="F177" s="1" t="s">
        <v>136</v>
      </c>
      <c r="G177" s="1" t="s">
        <v>1221</v>
      </c>
      <c r="H177" s="1" t="s">
        <v>517</v>
      </c>
      <c r="I177" s="1" t="s">
        <v>518</v>
      </c>
      <c r="J177" s="1" t="s">
        <v>1213</v>
      </c>
      <c r="K177" s="1" t="s">
        <v>1222</v>
      </c>
      <c r="L177" s="1" t="s">
        <v>69</v>
      </c>
      <c r="M177" s="1" t="s">
        <v>69</v>
      </c>
      <c r="N177" s="1" t="s">
        <v>69</v>
      </c>
      <c r="O177" s="1" t="s">
        <v>69</v>
      </c>
      <c r="P177" s="1" t="s">
        <v>70</v>
      </c>
      <c r="Q177" s="1" t="s">
        <v>107</v>
      </c>
      <c r="R177" s="1" t="s">
        <v>807</v>
      </c>
      <c r="S177" s="1">
        <v>36</v>
      </c>
      <c r="T177" s="1" t="s">
        <v>153</v>
      </c>
      <c r="U177" s="1" t="s">
        <v>254</v>
      </c>
      <c r="V177" s="1" t="s">
        <v>74</v>
      </c>
      <c r="W177" s="1" t="s">
        <v>74</v>
      </c>
      <c r="X177" s="1">
        <v>6</v>
      </c>
      <c r="Y177" s="1">
        <v>6</v>
      </c>
      <c r="Z177" s="1" t="s">
        <v>83</v>
      </c>
      <c r="AA177" s="1">
        <v>6</v>
      </c>
      <c r="AB177" s="1">
        <v>6</v>
      </c>
      <c r="AC177" s="1" t="s">
        <v>83</v>
      </c>
      <c r="AD177" s="1">
        <v>6</v>
      </c>
      <c r="AE177" s="1">
        <v>6</v>
      </c>
      <c r="AF177" s="1" t="s">
        <v>83</v>
      </c>
      <c r="AG177" s="1">
        <v>0</v>
      </c>
      <c r="AH177" s="1">
        <v>0</v>
      </c>
      <c r="AI177" s="1" t="s">
        <v>83</v>
      </c>
      <c r="AJ177" s="1">
        <v>6</v>
      </c>
      <c r="AK177" s="1">
        <v>6</v>
      </c>
      <c r="AL177" s="1" t="s">
        <v>83</v>
      </c>
      <c r="AM177" s="1">
        <v>6</v>
      </c>
      <c r="AN177" s="1">
        <v>6</v>
      </c>
      <c r="AO177" s="1" t="s">
        <v>83</v>
      </c>
      <c r="AP177" s="1">
        <v>6</v>
      </c>
      <c r="AQ177" s="1">
        <v>6</v>
      </c>
      <c r="AR177" s="1" t="s">
        <v>83</v>
      </c>
      <c r="AS177" s="1">
        <v>6</v>
      </c>
      <c r="AT177" s="1">
        <v>6</v>
      </c>
      <c r="AU177" s="1" t="s">
        <v>83</v>
      </c>
      <c r="AV177" s="1">
        <v>6</v>
      </c>
      <c r="AW177" s="1">
        <v>6</v>
      </c>
      <c r="AX177" s="1" t="s">
        <v>83</v>
      </c>
      <c r="AY177" s="1">
        <v>0</v>
      </c>
      <c r="AZ177" s="1">
        <v>0</v>
      </c>
      <c r="BA177" s="1">
        <v>0</v>
      </c>
      <c r="BB177" s="1" t="s">
        <v>1223</v>
      </c>
      <c r="BC177" s="1">
        <v>1</v>
      </c>
      <c r="BD177" s="1" t="s">
        <v>248</v>
      </c>
      <c r="BE177" s="1" t="s">
        <v>248</v>
      </c>
      <c r="BF177" s="1" t="s">
        <v>248</v>
      </c>
      <c r="BG177" s="1" t="s">
        <v>83</v>
      </c>
    </row>
    <row r="178" spans="1:59" x14ac:dyDescent="0.35">
      <c r="A178" s="1">
        <v>177</v>
      </c>
      <c r="B178" s="1">
        <v>45841.12228009259</v>
      </c>
      <c r="C178" s="1" t="s">
        <v>1224</v>
      </c>
      <c r="D178" s="1" t="s">
        <v>1225</v>
      </c>
      <c r="E178" s="1" t="s">
        <v>63</v>
      </c>
      <c r="F178" s="1" t="s">
        <v>179</v>
      </c>
      <c r="G178" s="1" t="s">
        <v>1226</v>
      </c>
      <c r="H178" s="1" t="s">
        <v>517</v>
      </c>
      <c r="I178" s="1" t="s">
        <v>518</v>
      </c>
      <c r="J178" s="1" t="s">
        <v>1213</v>
      </c>
      <c r="K178" s="1" t="s">
        <v>1227</v>
      </c>
      <c r="L178" s="1" t="s">
        <v>69</v>
      </c>
      <c r="M178" s="1" t="s">
        <v>69</v>
      </c>
      <c r="N178" s="1" t="s">
        <v>69</v>
      </c>
      <c r="O178" s="1" t="s">
        <v>69</v>
      </c>
      <c r="P178" s="1" t="s">
        <v>70</v>
      </c>
      <c r="Q178" s="1" t="s">
        <v>71</v>
      </c>
      <c r="R178" s="1" t="s">
        <v>551</v>
      </c>
      <c r="S178" s="1">
        <v>34</v>
      </c>
      <c r="T178" s="1" t="s">
        <v>109</v>
      </c>
      <c r="U178" s="1" t="s">
        <v>93</v>
      </c>
      <c r="V178" s="1" t="s">
        <v>74</v>
      </c>
      <c r="W178" s="1" t="s">
        <v>74</v>
      </c>
      <c r="X178" s="1">
        <v>6</v>
      </c>
      <c r="Y178" s="1">
        <v>6</v>
      </c>
      <c r="Z178" s="1" t="s">
        <v>83</v>
      </c>
      <c r="AA178" s="1">
        <v>6</v>
      </c>
      <c r="AB178" s="1">
        <v>6</v>
      </c>
      <c r="AC178" s="1" t="s">
        <v>83</v>
      </c>
      <c r="AD178" s="1">
        <v>6</v>
      </c>
      <c r="AE178" s="1">
        <v>6</v>
      </c>
      <c r="AF178" s="1" t="s">
        <v>83</v>
      </c>
      <c r="AG178" s="1">
        <v>6</v>
      </c>
      <c r="AH178" s="1">
        <v>6</v>
      </c>
      <c r="AI178" s="1" t="s">
        <v>83</v>
      </c>
      <c r="AJ178" s="1">
        <v>6</v>
      </c>
      <c r="AK178" s="1">
        <v>6</v>
      </c>
      <c r="AL178" s="1" t="s">
        <v>83</v>
      </c>
      <c r="AM178" s="1">
        <v>6</v>
      </c>
      <c r="AN178" s="1">
        <v>6</v>
      </c>
      <c r="AO178" s="1" t="s">
        <v>83</v>
      </c>
      <c r="AP178" s="1">
        <v>6</v>
      </c>
      <c r="AQ178" s="1">
        <v>6</v>
      </c>
      <c r="AR178" s="1" t="s">
        <v>83</v>
      </c>
      <c r="AS178" s="1">
        <v>6</v>
      </c>
      <c r="AT178" s="1">
        <v>6</v>
      </c>
      <c r="AU178" s="1" t="s">
        <v>83</v>
      </c>
      <c r="AV178" s="1">
        <v>6</v>
      </c>
      <c r="AW178" s="1">
        <v>6</v>
      </c>
      <c r="AX178" s="1" t="s">
        <v>83</v>
      </c>
      <c r="AY178" s="1">
        <v>1</v>
      </c>
      <c r="AZ178" s="1">
        <v>1</v>
      </c>
      <c r="BA178" s="1">
        <v>0</v>
      </c>
      <c r="BB178" s="1" t="s">
        <v>83</v>
      </c>
      <c r="BC178" s="1">
        <v>0</v>
      </c>
      <c r="BD178" s="1" t="s">
        <v>554</v>
      </c>
      <c r="BE178" s="1" t="s">
        <v>503</v>
      </c>
      <c r="BF178" s="1" t="s">
        <v>1228</v>
      </c>
      <c r="BG178" s="1" t="s">
        <v>83</v>
      </c>
    </row>
    <row r="179" spans="1:59" x14ac:dyDescent="0.35">
      <c r="A179" s="1">
        <v>178</v>
      </c>
      <c r="B179" s="1">
        <v>45841.126539351855</v>
      </c>
      <c r="C179" s="1" t="s">
        <v>1229</v>
      </c>
      <c r="D179" s="1" t="s">
        <v>1230</v>
      </c>
      <c r="E179" s="1" t="s">
        <v>63</v>
      </c>
      <c r="F179" s="1" t="s">
        <v>312</v>
      </c>
      <c r="G179" s="1" t="s">
        <v>1231</v>
      </c>
      <c r="H179" s="1" t="s">
        <v>517</v>
      </c>
      <c r="I179" s="1" t="s">
        <v>518</v>
      </c>
      <c r="J179" s="1" t="s">
        <v>1213</v>
      </c>
      <c r="K179" s="1" t="s">
        <v>537</v>
      </c>
      <c r="L179" s="1" t="s">
        <v>69</v>
      </c>
      <c r="M179" s="1" t="s">
        <v>69</v>
      </c>
      <c r="N179" s="1" t="s">
        <v>69</v>
      </c>
      <c r="O179" s="1" t="s">
        <v>69</v>
      </c>
      <c r="P179" s="1" t="s">
        <v>106</v>
      </c>
      <c r="Q179" s="1" t="s">
        <v>107</v>
      </c>
      <c r="R179" s="1" t="s">
        <v>826</v>
      </c>
      <c r="S179" s="1">
        <v>44</v>
      </c>
      <c r="T179" s="1" t="s">
        <v>197</v>
      </c>
      <c r="U179" s="1" t="s">
        <v>73</v>
      </c>
      <c r="V179" s="1" t="s">
        <v>74</v>
      </c>
      <c r="W179" s="1" t="s">
        <v>74</v>
      </c>
      <c r="X179" s="1">
        <v>6</v>
      </c>
      <c r="Y179" s="1">
        <v>6</v>
      </c>
      <c r="Z179" s="1" t="s">
        <v>83</v>
      </c>
      <c r="AA179" s="1">
        <v>6</v>
      </c>
      <c r="AB179" s="1">
        <v>6</v>
      </c>
      <c r="AC179" s="1" t="s">
        <v>83</v>
      </c>
      <c r="AD179" s="1">
        <v>6</v>
      </c>
      <c r="AE179" s="1">
        <v>6</v>
      </c>
      <c r="AF179" s="1" t="s">
        <v>83</v>
      </c>
      <c r="AG179" s="1">
        <v>0</v>
      </c>
      <c r="AH179" s="1">
        <v>0</v>
      </c>
      <c r="AI179" s="1" t="s">
        <v>83</v>
      </c>
      <c r="AJ179" s="1">
        <v>6</v>
      </c>
      <c r="AK179" s="1">
        <v>6</v>
      </c>
      <c r="AL179" s="1" t="s">
        <v>83</v>
      </c>
      <c r="AM179" s="1">
        <v>6</v>
      </c>
      <c r="AN179" s="1">
        <v>6</v>
      </c>
      <c r="AO179" s="1" t="s">
        <v>83</v>
      </c>
      <c r="AP179" s="1">
        <v>6</v>
      </c>
      <c r="AQ179" s="1">
        <v>6</v>
      </c>
      <c r="AR179" s="1" t="s">
        <v>83</v>
      </c>
      <c r="AS179" s="1">
        <v>6</v>
      </c>
      <c r="AT179" s="1">
        <v>6</v>
      </c>
      <c r="AU179" s="1" t="s">
        <v>83</v>
      </c>
      <c r="AV179" s="1">
        <v>6</v>
      </c>
      <c r="AW179" s="1">
        <v>6</v>
      </c>
      <c r="AX179" s="1" t="s">
        <v>83</v>
      </c>
      <c r="AY179" s="1">
        <v>0</v>
      </c>
      <c r="AZ179" s="1">
        <v>0</v>
      </c>
      <c r="BA179" s="1">
        <v>0</v>
      </c>
      <c r="BB179" s="1" t="s">
        <v>1232</v>
      </c>
      <c r="BC179" s="1">
        <v>2</v>
      </c>
      <c r="BD179" s="1" t="s">
        <v>248</v>
      </c>
      <c r="BE179" s="1" t="s">
        <v>248</v>
      </c>
      <c r="BF179" s="1" t="s">
        <v>248</v>
      </c>
      <c r="BG179" s="1" t="s">
        <v>83</v>
      </c>
    </row>
    <row r="180" spans="1:59" x14ac:dyDescent="0.35">
      <c r="A180" s="1">
        <v>179</v>
      </c>
      <c r="B180" s="1">
        <v>45841.130914351852</v>
      </c>
      <c r="C180" s="1" t="s">
        <v>1233</v>
      </c>
      <c r="D180" s="1" t="s">
        <v>1234</v>
      </c>
      <c r="E180" s="1" t="s">
        <v>63</v>
      </c>
      <c r="F180" s="1" t="s">
        <v>136</v>
      </c>
      <c r="G180" s="1" t="s">
        <v>1235</v>
      </c>
      <c r="H180" s="1" t="s">
        <v>517</v>
      </c>
      <c r="I180" s="1" t="s">
        <v>518</v>
      </c>
      <c r="J180" s="1" t="s">
        <v>1213</v>
      </c>
      <c r="K180" s="1" t="s">
        <v>1236</v>
      </c>
      <c r="L180" s="1" t="s">
        <v>69</v>
      </c>
      <c r="M180" s="1" t="s">
        <v>69</v>
      </c>
      <c r="N180" s="1" t="s">
        <v>69</v>
      </c>
      <c r="O180" s="1" t="s">
        <v>69</v>
      </c>
      <c r="P180" s="1" t="s">
        <v>106</v>
      </c>
      <c r="Q180" s="1" t="s">
        <v>71</v>
      </c>
      <c r="R180" s="1" t="s">
        <v>130</v>
      </c>
      <c r="S180" s="1">
        <v>18</v>
      </c>
      <c r="T180" s="1" t="s">
        <v>131</v>
      </c>
      <c r="U180" s="1" t="s">
        <v>73</v>
      </c>
      <c r="V180" s="1" t="s">
        <v>133</v>
      </c>
      <c r="W180" s="1" t="s">
        <v>133</v>
      </c>
      <c r="X180" s="1">
        <v>6</v>
      </c>
      <c r="Y180" s="1">
        <v>6</v>
      </c>
      <c r="Z180" s="1" t="s">
        <v>83</v>
      </c>
      <c r="AA180" s="1">
        <v>6</v>
      </c>
      <c r="AB180" s="1">
        <v>6</v>
      </c>
      <c r="AC180" s="1" t="s">
        <v>83</v>
      </c>
      <c r="AD180" s="1">
        <v>5</v>
      </c>
      <c r="AE180" s="1">
        <v>6</v>
      </c>
      <c r="AF180" s="1" t="s">
        <v>83</v>
      </c>
      <c r="AG180" s="1">
        <v>6</v>
      </c>
      <c r="AH180" s="1">
        <v>5</v>
      </c>
      <c r="AI180" s="1" t="s">
        <v>83</v>
      </c>
      <c r="AJ180" s="1">
        <v>6</v>
      </c>
      <c r="AK180" s="1">
        <v>6</v>
      </c>
      <c r="AL180" s="1" t="s">
        <v>83</v>
      </c>
      <c r="AM180" s="1">
        <v>6</v>
      </c>
      <c r="AN180" s="1">
        <v>6</v>
      </c>
      <c r="AO180" s="1" t="s">
        <v>83</v>
      </c>
      <c r="AP180" s="1">
        <v>5</v>
      </c>
      <c r="AQ180" s="1">
        <v>5</v>
      </c>
      <c r="AR180" s="1" t="s">
        <v>83</v>
      </c>
      <c r="AS180" s="1">
        <v>6</v>
      </c>
      <c r="AT180" s="1">
        <v>6</v>
      </c>
      <c r="AU180" s="1" t="s">
        <v>83</v>
      </c>
      <c r="AV180" s="1">
        <v>6</v>
      </c>
      <c r="AW180" s="1">
        <v>6</v>
      </c>
      <c r="AX180" s="1" t="s">
        <v>83</v>
      </c>
      <c r="AY180" s="1">
        <v>0</v>
      </c>
      <c r="AZ180" s="1">
        <v>0</v>
      </c>
      <c r="BA180" s="1">
        <v>0</v>
      </c>
      <c r="BB180" s="1" t="s">
        <v>144</v>
      </c>
      <c r="BC180" s="1">
        <v>2</v>
      </c>
      <c r="BD180" s="1" t="s">
        <v>1237</v>
      </c>
      <c r="BE180" s="1" t="s">
        <v>1238</v>
      </c>
      <c r="BF180" s="1" t="s">
        <v>248</v>
      </c>
      <c r="BG180" s="1" t="s">
        <v>83</v>
      </c>
    </row>
    <row r="181" spans="1:59" x14ac:dyDescent="0.35">
      <c r="A181" s="1">
        <v>180</v>
      </c>
      <c r="B181" s="1">
        <v>45841.13517361111</v>
      </c>
      <c r="C181" s="1" t="s">
        <v>1239</v>
      </c>
      <c r="D181" s="1" t="s">
        <v>1240</v>
      </c>
      <c r="E181" s="1" t="s">
        <v>63</v>
      </c>
      <c r="F181" s="1" t="s">
        <v>179</v>
      </c>
      <c r="G181" s="1" t="s">
        <v>1241</v>
      </c>
      <c r="H181" s="1" t="s">
        <v>517</v>
      </c>
      <c r="I181" s="1" t="s">
        <v>518</v>
      </c>
      <c r="J181" s="1" t="s">
        <v>1213</v>
      </c>
      <c r="K181" s="1" t="s">
        <v>900</v>
      </c>
      <c r="L181" s="1" t="s">
        <v>69</v>
      </c>
      <c r="M181" s="1" t="s">
        <v>69</v>
      </c>
      <c r="N181" s="1" t="s">
        <v>69</v>
      </c>
      <c r="O181" s="1" t="s">
        <v>69</v>
      </c>
      <c r="P181" s="1" t="s">
        <v>70</v>
      </c>
      <c r="Q181" s="1" t="s">
        <v>107</v>
      </c>
      <c r="R181" s="1" t="s">
        <v>1123</v>
      </c>
      <c r="S181" s="1">
        <v>48</v>
      </c>
      <c r="T181" s="1" t="s">
        <v>225</v>
      </c>
      <c r="U181" s="1" t="s">
        <v>273</v>
      </c>
      <c r="V181" s="1" t="s">
        <v>110</v>
      </c>
      <c r="W181" s="1" t="s">
        <v>110</v>
      </c>
      <c r="X181" s="1">
        <v>6</v>
      </c>
      <c r="Y181" s="1">
        <v>6</v>
      </c>
      <c r="Z181" s="1" t="s">
        <v>83</v>
      </c>
      <c r="AA181" s="1">
        <v>6</v>
      </c>
      <c r="AB181" s="1">
        <v>6</v>
      </c>
      <c r="AC181" s="1" t="s">
        <v>83</v>
      </c>
      <c r="AD181" s="1">
        <v>6</v>
      </c>
      <c r="AE181" s="1">
        <v>6</v>
      </c>
      <c r="AF181" s="1" t="s">
        <v>83</v>
      </c>
      <c r="AG181" s="1">
        <v>0</v>
      </c>
      <c r="AH181" s="1">
        <v>0</v>
      </c>
      <c r="AI181" s="1" t="s">
        <v>83</v>
      </c>
      <c r="AJ181" s="1">
        <v>6</v>
      </c>
      <c r="AK181" s="1">
        <v>6</v>
      </c>
      <c r="AL181" s="1" t="s">
        <v>83</v>
      </c>
      <c r="AM181" s="1">
        <v>6</v>
      </c>
      <c r="AN181" s="1">
        <v>6</v>
      </c>
      <c r="AO181" s="1" t="s">
        <v>83</v>
      </c>
      <c r="AP181" s="1">
        <v>6</v>
      </c>
      <c r="AQ181" s="1">
        <v>6</v>
      </c>
      <c r="AR181" s="1" t="s">
        <v>83</v>
      </c>
      <c r="AS181" s="1">
        <v>5</v>
      </c>
      <c r="AT181" s="1">
        <v>5</v>
      </c>
      <c r="AU181" s="1" t="s">
        <v>83</v>
      </c>
      <c r="AV181" s="1">
        <v>6</v>
      </c>
      <c r="AW181" s="1">
        <v>6</v>
      </c>
      <c r="AX181" s="1" t="s">
        <v>83</v>
      </c>
      <c r="AY181" s="1">
        <v>0</v>
      </c>
      <c r="AZ181" s="1">
        <v>0</v>
      </c>
      <c r="BA181" s="1">
        <v>0</v>
      </c>
      <c r="BB181" s="1" t="s">
        <v>1242</v>
      </c>
      <c r="BC181" s="1">
        <v>2</v>
      </c>
      <c r="BD181" s="1" t="s">
        <v>248</v>
      </c>
      <c r="BE181" s="1" t="s">
        <v>1243</v>
      </c>
      <c r="BF181" s="1" t="s">
        <v>248</v>
      </c>
      <c r="BG181" s="1" t="s">
        <v>83</v>
      </c>
    </row>
    <row r="182" spans="1:59" x14ac:dyDescent="0.35">
      <c r="A182" s="1">
        <v>181</v>
      </c>
      <c r="B182" s="1">
        <v>45841.140335648146</v>
      </c>
      <c r="C182" s="1" t="s">
        <v>1244</v>
      </c>
      <c r="D182" s="1" t="s">
        <v>1245</v>
      </c>
      <c r="E182" s="1" t="s">
        <v>63</v>
      </c>
      <c r="F182" s="1" t="s">
        <v>1246</v>
      </c>
      <c r="G182" s="1" t="s">
        <v>1247</v>
      </c>
      <c r="H182" s="1" t="s">
        <v>517</v>
      </c>
      <c r="I182" s="1" t="s">
        <v>518</v>
      </c>
      <c r="J182" s="1" t="s">
        <v>1213</v>
      </c>
      <c r="K182" s="1" t="s">
        <v>1248</v>
      </c>
      <c r="L182" s="1" t="s">
        <v>69</v>
      </c>
      <c r="M182" s="1" t="s">
        <v>69</v>
      </c>
      <c r="N182" s="1" t="s">
        <v>69</v>
      </c>
      <c r="O182" s="1" t="s">
        <v>69</v>
      </c>
      <c r="P182" s="1" t="s">
        <v>106</v>
      </c>
      <c r="Q182" s="1" t="s">
        <v>271</v>
      </c>
      <c r="R182" s="1" t="s">
        <v>130</v>
      </c>
      <c r="S182" s="1">
        <v>18</v>
      </c>
      <c r="T182" s="1" t="s">
        <v>131</v>
      </c>
      <c r="U182" s="1" t="s">
        <v>73</v>
      </c>
      <c r="V182" s="1" t="s">
        <v>94</v>
      </c>
      <c r="W182" s="1" t="s">
        <v>95</v>
      </c>
      <c r="X182" s="1">
        <v>4</v>
      </c>
      <c r="Y182" s="1">
        <v>5</v>
      </c>
      <c r="Z182" s="1" t="s">
        <v>83</v>
      </c>
      <c r="AA182" s="1">
        <v>5</v>
      </c>
      <c r="AB182" s="1">
        <v>6</v>
      </c>
      <c r="AC182" s="1" t="s">
        <v>83</v>
      </c>
      <c r="AD182" s="1">
        <v>3</v>
      </c>
      <c r="AE182" s="1">
        <v>6</v>
      </c>
      <c r="AF182" s="1" t="s">
        <v>2487</v>
      </c>
      <c r="AG182" s="1">
        <v>4</v>
      </c>
      <c r="AH182" s="1">
        <v>4</v>
      </c>
      <c r="AI182" s="1" t="s">
        <v>83</v>
      </c>
      <c r="AJ182" s="1">
        <v>5</v>
      </c>
      <c r="AK182" s="1">
        <v>6</v>
      </c>
      <c r="AL182" s="1" t="s">
        <v>83</v>
      </c>
      <c r="AM182" s="1">
        <v>5</v>
      </c>
      <c r="AN182" s="1">
        <v>5</v>
      </c>
      <c r="AO182" s="1" t="s">
        <v>83</v>
      </c>
      <c r="AP182" s="1">
        <v>5</v>
      </c>
      <c r="AQ182" s="1">
        <v>5</v>
      </c>
      <c r="AR182" s="1" t="s">
        <v>83</v>
      </c>
      <c r="AS182" s="1">
        <v>6</v>
      </c>
      <c r="AT182" s="1">
        <v>6</v>
      </c>
      <c r="AU182" s="1" t="s">
        <v>83</v>
      </c>
      <c r="AV182" s="1">
        <v>6</v>
      </c>
      <c r="AW182" s="1">
        <v>6</v>
      </c>
      <c r="AX182" s="1" t="s">
        <v>83</v>
      </c>
      <c r="AY182" s="1">
        <v>1</v>
      </c>
      <c r="AZ182" s="1">
        <v>0</v>
      </c>
      <c r="BA182" s="1">
        <v>0</v>
      </c>
      <c r="BB182" s="1" t="s">
        <v>83</v>
      </c>
      <c r="BC182" s="1">
        <v>0</v>
      </c>
      <c r="BD182" s="1" t="s">
        <v>248</v>
      </c>
      <c r="BE182" s="1" t="s">
        <v>1249</v>
      </c>
      <c r="BF182" s="1" t="s">
        <v>248</v>
      </c>
      <c r="BG182" s="1" t="s">
        <v>83</v>
      </c>
    </row>
    <row r="183" spans="1:59" x14ac:dyDescent="0.35">
      <c r="A183" s="1">
        <v>182</v>
      </c>
      <c r="B183" s="1">
        <v>45841.144062500003</v>
      </c>
      <c r="C183" s="1" t="s">
        <v>1250</v>
      </c>
      <c r="D183" s="1" t="s">
        <v>1251</v>
      </c>
      <c r="E183" s="1" t="s">
        <v>63</v>
      </c>
      <c r="F183" s="1" t="s">
        <v>63</v>
      </c>
      <c r="G183" s="1" t="s">
        <v>1252</v>
      </c>
      <c r="H183" s="1" t="s">
        <v>517</v>
      </c>
      <c r="I183" s="1" t="s">
        <v>518</v>
      </c>
      <c r="J183" s="1" t="s">
        <v>1213</v>
      </c>
      <c r="K183" s="1" t="s">
        <v>399</v>
      </c>
      <c r="L183" s="1" t="s">
        <v>69</v>
      </c>
      <c r="M183" s="1" t="s">
        <v>69</v>
      </c>
      <c r="N183" s="1" t="s">
        <v>69</v>
      </c>
      <c r="O183" s="1" t="s">
        <v>69</v>
      </c>
      <c r="P183" s="1" t="s">
        <v>70</v>
      </c>
      <c r="Q183" s="1" t="s">
        <v>271</v>
      </c>
      <c r="R183" s="1" t="s">
        <v>130</v>
      </c>
      <c r="S183" s="1">
        <v>18</v>
      </c>
      <c r="T183" s="1" t="s">
        <v>131</v>
      </c>
      <c r="U183" s="1" t="s">
        <v>73</v>
      </c>
      <c r="V183" s="1" t="s">
        <v>1218</v>
      </c>
      <c r="W183" s="1" t="s">
        <v>133</v>
      </c>
      <c r="X183" s="1">
        <v>5</v>
      </c>
      <c r="Y183" s="1">
        <v>5</v>
      </c>
      <c r="Z183" s="1" t="s">
        <v>83</v>
      </c>
      <c r="AA183" s="1">
        <v>5</v>
      </c>
      <c r="AB183" s="1">
        <v>5</v>
      </c>
      <c r="AC183" s="1" t="s">
        <v>83</v>
      </c>
      <c r="AD183" s="1">
        <v>4</v>
      </c>
      <c r="AE183" s="1">
        <v>5</v>
      </c>
      <c r="AF183" s="1" t="s">
        <v>83</v>
      </c>
      <c r="AG183" s="1">
        <v>4</v>
      </c>
      <c r="AH183" s="1">
        <v>4</v>
      </c>
      <c r="AI183" s="1" t="s">
        <v>83</v>
      </c>
      <c r="AJ183" s="1">
        <v>5</v>
      </c>
      <c r="AK183" s="1">
        <v>5</v>
      </c>
      <c r="AL183" s="1" t="s">
        <v>83</v>
      </c>
      <c r="AM183" s="1">
        <v>4</v>
      </c>
      <c r="AN183" s="1">
        <v>5</v>
      </c>
      <c r="AO183" s="1" t="s">
        <v>83</v>
      </c>
      <c r="AP183" s="1">
        <v>4</v>
      </c>
      <c r="AQ183" s="1">
        <v>6</v>
      </c>
      <c r="AR183" s="1" t="s">
        <v>83</v>
      </c>
      <c r="AS183" s="1">
        <v>5</v>
      </c>
      <c r="AT183" s="1">
        <v>6</v>
      </c>
      <c r="AU183" s="1" t="s">
        <v>83</v>
      </c>
      <c r="AV183" s="1">
        <v>5</v>
      </c>
      <c r="AW183" s="1">
        <v>6</v>
      </c>
      <c r="AX183" s="1" t="s">
        <v>83</v>
      </c>
      <c r="AY183" s="1">
        <v>0</v>
      </c>
      <c r="AZ183" s="1">
        <v>0</v>
      </c>
      <c r="BA183" s="1">
        <v>0</v>
      </c>
      <c r="BB183" s="1" t="s">
        <v>631</v>
      </c>
      <c r="BC183" s="1">
        <v>1</v>
      </c>
      <c r="BD183" s="1" t="s">
        <v>1253</v>
      </c>
      <c r="BE183" s="1" t="s">
        <v>462</v>
      </c>
      <c r="BF183" s="1" t="s">
        <v>462</v>
      </c>
      <c r="BG183" s="1" t="s">
        <v>83</v>
      </c>
    </row>
    <row r="184" spans="1:59" x14ac:dyDescent="0.35">
      <c r="A184" s="1">
        <v>183</v>
      </c>
      <c r="B184" s="1">
        <v>45841.147581018522</v>
      </c>
      <c r="C184" s="1" t="s">
        <v>1254</v>
      </c>
      <c r="D184" s="1" t="s">
        <v>1255</v>
      </c>
      <c r="E184" s="1" t="s">
        <v>63</v>
      </c>
      <c r="F184" s="1" t="s">
        <v>63</v>
      </c>
      <c r="G184" s="1" t="s">
        <v>1256</v>
      </c>
      <c r="H184" s="1" t="s">
        <v>517</v>
      </c>
      <c r="I184" s="1" t="s">
        <v>518</v>
      </c>
      <c r="J184" s="1" t="s">
        <v>1213</v>
      </c>
      <c r="K184" s="1" t="s">
        <v>418</v>
      </c>
      <c r="L184" s="1" t="s">
        <v>69</v>
      </c>
      <c r="M184" s="1" t="s">
        <v>69</v>
      </c>
      <c r="N184" s="1" t="s">
        <v>69</v>
      </c>
      <c r="O184" s="1" t="s">
        <v>69</v>
      </c>
      <c r="P184" s="1" t="s">
        <v>106</v>
      </c>
      <c r="Q184" s="1" t="s">
        <v>107</v>
      </c>
      <c r="R184" s="1" t="s">
        <v>272</v>
      </c>
      <c r="S184" s="1">
        <v>43</v>
      </c>
      <c r="T184" s="1" t="s">
        <v>197</v>
      </c>
      <c r="U184" s="1" t="s">
        <v>73</v>
      </c>
      <c r="V184" s="1" t="s">
        <v>74</v>
      </c>
      <c r="W184" s="1" t="s">
        <v>74</v>
      </c>
      <c r="X184" s="1">
        <v>5</v>
      </c>
      <c r="Y184" s="1">
        <v>6</v>
      </c>
      <c r="Z184" s="1" t="s">
        <v>83</v>
      </c>
      <c r="AA184" s="1">
        <v>6</v>
      </c>
      <c r="AB184" s="1">
        <v>6</v>
      </c>
      <c r="AC184" s="1" t="s">
        <v>83</v>
      </c>
      <c r="AD184" s="1">
        <v>6</v>
      </c>
      <c r="AE184" s="1">
        <v>6</v>
      </c>
      <c r="AF184" s="1" t="s">
        <v>83</v>
      </c>
      <c r="AG184" s="1">
        <v>0</v>
      </c>
      <c r="AH184" s="1">
        <v>0</v>
      </c>
      <c r="AI184" s="1" t="s">
        <v>83</v>
      </c>
      <c r="AJ184" s="1">
        <v>5</v>
      </c>
      <c r="AK184" s="1">
        <v>5</v>
      </c>
      <c r="AL184" s="1" t="s">
        <v>83</v>
      </c>
      <c r="AM184" s="1">
        <v>6</v>
      </c>
      <c r="AN184" s="1">
        <v>6</v>
      </c>
      <c r="AO184" s="1" t="s">
        <v>83</v>
      </c>
      <c r="AP184" s="1">
        <v>6</v>
      </c>
      <c r="AQ184" s="1">
        <v>5</v>
      </c>
      <c r="AR184" s="1" t="s">
        <v>83</v>
      </c>
      <c r="AS184" s="1">
        <v>6</v>
      </c>
      <c r="AT184" s="1">
        <v>6</v>
      </c>
      <c r="AU184" s="1" t="s">
        <v>83</v>
      </c>
      <c r="AV184" s="1">
        <v>6</v>
      </c>
      <c r="AW184" s="1">
        <v>6</v>
      </c>
      <c r="AX184" s="1" t="s">
        <v>83</v>
      </c>
      <c r="AY184" s="1">
        <v>0</v>
      </c>
      <c r="AZ184" s="1">
        <v>0</v>
      </c>
      <c r="BA184" s="1">
        <v>0</v>
      </c>
      <c r="BB184" s="1" t="s">
        <v>1223</v>
      </c>
      <c r="BC184" s="1">
        <v>1</v>
      </c>
      <c r="BD184" s="1" t="s">
        <v>1257</v>
      </c>
      <c r="BE184" s="1" t="s">
        <v>857</v>
      </c>
      <c r="BF184" s="1" t="s">
        <v>555</v>
      </c>
      <c r="BG184" s="1" t="s">
        <v>83</v>
      </c>
    </row>
    <row r="185" spans="1:59" x14ac:dyDescent="0.35">
      <c r="A185" s="1">
        <v>184</v>
      </c>
      <c r="B185" s="1">
        <v>45841.241932870369</v>
      </c>
      <c r="C185" s="1" t="s">
        <v>1258</v>
      </c>
      <c r="D185" s="1" t="s">
        <v>1259</v>
      </c>
      <c r="E185" s="1" t="s">
        <v>63</v>
      </c>
      <c r="F185" s="1" t="s">
        <v>397</v>
      </c>
      <c r="G185" s="1" t="s">
        <v>1260</v>
      </c>
      <c r="H185" s="1" t="s">
        <v>459</v>
      </c>
      <c r="I185" s="1" t="s">
        <v>439</v>
      </c>
      <c r="J185" s="1" t="s">
        <v>971</v>
      </c>
      <c r="K185" s="1" t="s">
        <v>1261</v>
      </c>
      <c r="L185" s="1" t="s">
        <v>69</v>
      </c>
      <c r="M185" s="1" t="s">
        <v>69</v>
      </c>
      <c r="N185" s="1" t="s">
        <v>69</v>
      </c>
      <c r="O185" s="1" t="s">
        <v>69</v>
      </c>
      <c r="P185" s="1" t="s">
        <v>106</v>
      </c>
      <c r="Q185" s="1" t="s">
        <v>292</v>
      </c>
      <c r="R185" s="1" t="s">
        <v>130</v>
      </c>
      <c r="S185" s="1">
        <v>18</v>
      </c>
      <c r="T185" s="1" t="s">
        <v>131</v>
      </c>
      <c r="U185" s="1" t="s">
        <v>273</v>
      </c>
      <c r="V185" s="1" t="s">
        <v>1262</v>
      </c>
      <c r="W185" s="1" t="s">
        <v>133</v>
      </c>
      <c r="X185" s="1">
        <v>6</v>
      </c>
      <c r="Y185" s="1">
        <v>6</v>
      </c>
      <c r="Z185" s="1" t="s">
        <v>83</v>
      </c>
      <c r="AA185" s="1">
        <v>5</v>
      </c>
      <c r="AB185" s="1">
        <v>5</v>
      </c>
      <c r="AC185" s="1" t="s">
        <v>83</v>
      </c>
      <c r="AD185" s="1">
        <v>6</v>
      </c>
      <c r="AE185" s="1">
        <v>6</v>
      </c>
      <c r="AF185" s="1" t="s">
        <v>83</v>
      </c>
      <c r="AG185" s="1">
        <v>6</v>
      </c>
      <c r="AH185" s="1">
        <v>6</v>
      </c>
      <c r="AI185" s="1" t="s">
        <v>83</v>
      </c>
      <c r="AJ185" s="1">
        <v>6</v>
      </c>
      <c r="AK185" s="1">
        <v>6</v>
      </c>
      <c r="AL185" s="1" t="s">
        <v>83</v>
      </c>
      <c r="AM185" s="1">
        <v>6</v>
      </c>
      <c r="AN185" s="1">
        <v>6</v>
      </c>
      <c r="AO185" s="1" t="s">
        <v>83</v>
      </c>
      <c r="AP185" s="1">
        <v>6</v>
      </c>
      <c r="AQ185" s="1">
        <v>6</v>
      </c>
      <c r="AR185" s="1" t="s">
        <v>83</v>
      </c>
      <c r="AS185" s="1">
        <v>6</v>
      </c>
      <c r="AT185" s="1">
        <v>6</v>
      </c>
      <c r="AU185" s="1" t="s">
        <v>83</v>
      </c>
      <c r="AV185" s="1">
        <v>6</v>
      </c>
      <c r="AW185" s="1">
        <v>6</v>
      </c>
      <c r="AX185" s="1" t="s">
        <v>83</v>
      </c>
      <c r="AY185" s="1">
        <v>1</v>
      </c>
      <c r="AZ185" s="1">
        <v>0</v>
      </c>
      <c r="BA185" s="1">
        <v>0</v>
      </c>
      <c r="BB185" s="1" t="s">
        <v>83</v>
      </c>
      <c r="BC185" s="1">
        <v>0</v>
      </c>
      <c r="BD185" s="1" t="s">
        <v>442</v>
      </c>
      <c r="BE185" s="1" t="s">
        <v>442</v>
      </c>
      <c r="BF185" s="1" t="s">
        <v>442</v>
      </c>
      <c r="BG185" s="1" t="s">
        <v>83</v>
      </c>
    </row>
    <row r="186" spans="1:59" x14ac:dyDescent="0.35">
      <c r="A186" s="1">
        <v>185</v>
      </c>
      <c r="B186" s="1">
        <v>45841.245937500003</v>
      </c>
      <c r="C186" s="1" t="s">
        <v>1263</v>
      </c>
      <c r="D186" s="1" t="s">
        <v>1264</v>
      </c>
      <c r="E186" s="1" t="s">
        <v>63</v>
      </c>
      <c r="F186" s="1" t="s">
        <v>179</v>
      </c>
      <c r="G186" s="1" t="s">
        <v>1265</v>
      </c>
      <c r="H186" s="1" t="s">
        <v>459</v>
      </c>
      <c r="I186" s="1" t="s">
        <v>439</v>
      </c>
      <c r="J186" s="1" t="s">
        <v>971</v>
      </c>
      <c r="K186" s="1" t="s">
        <v>1266</v>
      </c>
      <c r="L186" s="1" t="s">
        <v>69</v>
      </c>
      <c r="M186" s="1" t="s">
        <v>69</v>
      </c>
      <c r="N186" s="1" t="s">
        <v>69</v>
      </c>
      <c r="O186" s="1" t="s">
        <v>69</v>
      </c>
      <c r="P186" s="1" t="s">
        <v>106</v>
      </c>
      <c r="Q186" s="1" t="s">
        <v>292</v>
      </c>
      <c r="R186" s="1" t="s">
        <v>130</v>
      </c>
      <c r="S186" s="1">
        <v>18</v>
      </c>
      <c r="T186" s="1" t="s">
        <v>131</v>
      </c>
      <c r="U186" s="1" t="s">
        <v>73</v>
      </c>
      <c r="V186" s="1" t="s">
        <v>94</v>
      </c>
      <c r="W186" s="1" t="s">
        <v>95</v>
      </c>
      <c r="X186" s="1">
        <v>5</v>
      </c>
      <c r="Y186" s="1">
        <v>5</v>
      </c>
      <c r="Z186" s="1" t="s">
        <v>83</v>
      </c>
      <c r="AA186" s="1">
        <v>5</v>
      </c>
      <c r="AB186" s="1">
        <v>5</v>
      </c>
      <c r="AC186" s="1" t="s">
        <v>83</v>
      </c>
      <c r="AD186" s="1">
        <v>4</v>
      </c>
      <c r="AE186" s="1">
        <v>4</v>
      </c>
      <c r="AF186" s="1" t="s">
        <v>83</v>
      </c>
      <c r="AG186" s="1">
        <v>5</v>
      </c>
      <c r="AH186" s="1">
        <v>5</v>
      </c>
      <c r="AI186" s="1" t="s">
        <v>83</v>
      </c>
      <c r="AJ186" s="1">
        <v>5</v>
      </c>
      <c r="AK186" s="1">
        <v>5</v>
      </c>
      <c r="AL186" s="1" t="s">
        <v>83</v>
      </c>
      <c r="AM186" s="1">
        <v>6</v>
      </c>
      <c r="AN186" s="1">
        <v>6</v>
      </c>
      <c r="AO186" s="1" t="s">
        <v>83</v>
      </c>
      <c r="AP186" s="1">
        <v>5</v>
      </c>
      <c r="AQ186" s="1">
        <v>5</v>
      </c>
      <c r="AR186" s="1" t="s">
        <v>83</v>
      </c>
      <c r="AS186" s="1">
        <v>5</v>
      </c>
      <c r="AT186" s="1">
        <v>5</v>
      </c>
      <c r="AU186" s="1" t="s">
        <v>83</v>
      </c>
      <c r="AV186" s="1">
        <v>6</v>
      </c>
      <c r="AW186" s="1">
        <v>6</v>
      </c>
      <c r="AX186" s="1" t="s">
        <v>83</v>
      </c>
      <c r="AY186" s="1">
        <v>0</v>
      </c>
      <c r="AZ186" s="1">
        <v>2</v>
      </c>
      <c r="BA186" s="1">
        <v>0</v>
      </c>
      <c r="BB186" s="1" t="s">
        <v>83</v>
      </c>
      <c r="BC186" s="1">
        <v>0</v>
      </c>
      <c r="BD186" s="1" t="s">
        <v>503</v>
      </c>
      <c r="BE186" s="1" t="s">
        <v>503</v>
      </c>
      <c r="BF186" s="1" t="s">
        <v>503</v>
      </c>
      <c r="BG186" s="1" t="s">
        <v>83</v>
      </c>
    </row>
    <row r="187" spans="1:59" x14ac:dyDescent="0.35">
      <c r="A187" s="1">
        <v>186</v>
      </c>
      <c r="B187" s="1">
        <v>45841.250243055554</v>
      </c>
      <c r="C187" s="1" t="s">
        <v>1267</v>
      </c>
      <c r="D187" s="1" t="s">
        <v>1268</v>
      </c>
      <c r="E187" s="1" t="s">
        <v>63</v>
      </c>
      <c r="F187" s="1" t="s">
        <v>240</v>
      </c>
      <c r="G187" s="1" t="s">
        <v>1269</v>
      </c>
      <c r="H187" s="1" t="s">
        <v>459</v>
      </c>
      <c r="I187" s="1" t="s">
        <v>439</v>
      </c>
      <c r="J187" s="1" t="s">
        <v>971</v>
      </c>
      <c r="K187" s="1" t="s">
        <v>1270</v>
      </c>
      <c r="L187" s="1" t="s">
        <v>69</v>
      </c>
      <c r="M187" s="1" t="s">
        <v>69</v>
      </c>
      <c r="N187" s="1" t="s">
        <v>69</v>
      </c>
      <c r="O187" s="1" t="s">
        <v>69</v>
      </c>
      <c r="P187" s="1" t="s">
        <v>106</v>
      </c>
      <c r="Q187" s="1" t="s">
        <v>292</v>
      </c>
      <c r="R187" s="1" t="s">
        <v>108</v>
      </c>
      <c r="S187" s="1">
        <v>32</v>
      </c>
      <c r="T187" s="1" t="s">
        <v>109</v>
      </c>
      <c r="U187" s="1" t="s">
        <v>73</v>
      </c>
      <c r="V187" s="1" t="s">
        <v>74</v>
      </c>
      <c r="W187" s="1" t="s">
        <v>74</v>
      </c>
      <c r="X187" s="1">
        <v>4</v>
      </c>
      <c r="Y187" s="1">
        <v>5</v>
      </c>
      <c r="Z187" s="1" t="s">
        <v>83</v>
      </c>
      <c r="AA187" s="1">
        <v>3</v>
      </c>
      <c r="AB187" s="1">
        <v>3</v>
      </c>
      <c r="AC187" s="1" t="s">
        <v>2488</v>
      </c>
      <c r="AD187" s="1">
        <v>3</v>
      </c>
      <c r="AE187" s="1">
        <v>3</v>
      </c>
      <c r="AF187" s="1" t="s">
        <v>2489</v>
      </c>
      <c r="AG187" s="1">
        <v>3</v>
      </c>
      <c r="AH187" s="1">
        <v>3</v>
      </c>
      <c r="AI187" s="1" t="s">
        <v>2490</v>
      </c>
      <c r="AJ187" s="1">
        <v>4</v>
      </c>
      <c r="AK187" s="1">
        <v>4</v>
      </c>
      <c r="AL187" s="1" t="s">
        <v>83</v>
      </c>
      <c r="AM187" s="1">
        <v>3</v>
      </c>
      <c r="AN187" s="1">
        <v>3</v>
      </c>
      <c r="AO187" s="1" t="s">
        <v>2491</v>
      </c>
      <c r="AP187" s="1">
        <v>5</v>
      </c>
      <c r="AQ187" s="1">
        <v>5</v>
      </c>
      <c r="AR187" s="1" t="s">
        <v>83</v>
      </c>
      <c r="AS187" s="1">
        <v>5</v>
      </c>
      <c r="AT187" s="1">
        <v>5</v>
      </c>
      <c r="AU187" s="1" t="s">
        <v>83</v>
      </c>
      <c r="AV187" s="1">
        <v>5</v>
      </c>
      <c r="AW187" s="1">
        <v>5</v>
      </c>
      <c r="AX187" s="1" t="s">
        <v>83</v>
      </c>
      <c r="AY187" s="1">
        <v>2</v>
      </c>
      <c r="AZ187" s="1">
        <v>0</v>
      </c>
      <c r="BA187" s="1">
        <v>0</v>
      </c>
      <c r="BB187" s="1" t="s">
        <v>83</v>
      </c>
      <c r="BC187" s="1">
        <v>0</v>
      </c>
      <c r="BD187" s="1" t="s">
        <v>1271</v>
      </c>
      <c r="BE187" s="1" t="s">
        <v>1272</v>
      </c>
      <c r="BF187" s="1" t="s">
        <v>442</v>
      </c>
      <c r="BG187" s="1" t="s">
        <v>83</v>
      </c>
    </row>
    <row r="188" spans="1:59" x14ac:dyDescent="0.35">
      <c r="A188" s="1">
        <v>187</v>
      </c>
      <c r="B188" s="1">
        <v>45841.256284722222</v>
      </c>
      <c r="C188" s="1" t="s">
        <v>1273</v>
      </c>
      <c r="D188" s="1" t="s">
        <v>1274</v>
      </c>
      <c r="E188" s="1" t="s">
        <v>63</v>
      </c>
      <c r="F188" s="1" t="s">
        <v>1275</v>
      </c>
      <c r="G188" s="1" t="s">
        <v>1276</v>
      </c>
      <c r="H188" s="1" t="s">
        <v>459</v>
      </c>
      <c r="I188" s="1" t="s">
        <v>439</v>
      </c>
      <c r="J188" s="1" t="s">
        <v>971</v>
      </c>
      <c r="K188" s="1" t="s">
        <v>1277</v>
      </c>
      <c r="L188" s="1" t="s">
        <v>69</v>
      </c>
      <c r="M188" s="1" t="s">
        <v>69</v>
      </c>
      <c r="N188" s="1" t="s">
        <v>69</v>
      </c>
      <c r="O188" s="1" t="s">
        <v>69</v>
      </c>
      <c r="P188" s="1" t="s">
        <v>70</v>
      </c>
      <c r="Q188" s="1" t="s">
        <v>271</v>
      </c>
      <c r="R188" s="1" t="s">
        <v>91</v>
      </c>
      <c r="S188" s="1">
        <v>27</v>
      </c>
      <c r="T188" s="1" t="s">
        <v>92</v>
      </c>
      <c r="U188" s="1" t="s">
        <v>254</v>
      </c>
      <c r="V188" s="1" t="s">
        <v>74</v>
      </c>
      <c r="W188" s="1" t="s">
        <v>74</v>
      </c>
      <c r="X188" s="1">
        <v>5</v>
      </c>
      <c r="Y188" s="1">
        <v>5</v>
      </c>
      <c r="Z188" s="1" t="s">
        <v>83</v>
      </c>
      <c r="AA188" s="1">
        <v>5</v>
      </c>
      <c r="AB188" s="1">
        <v>5</v>
      </c>
      <c r="AC188" s="1" t="s">
        <v>83</v>
      </c>
      <c r="AD188" s="1">
        <v>4</v>
      </c>
      <c r="AE188" s="1">
        <v>4</v>
      </c>
      <c r="AF188" s="1" t="s">
        <v>83</v>
      </c>
      <c r="AG188" s="1">
        <v>5</v>
      </c>
      <c r="AH188" s="1">
        <v>5</v>
      </c>
      <c r="AI188" s="1" t="s">
        <v>83</v>
      </c>
      <c r="AJ188" s="1">
        <v>5</v>
      </c>
      <c r="AK188" s="1">
        <v>5</v>
      </c>
      <c r="AL188" s="1" t="s">
        <v>83</v>
      </c>
      <c r="AM188" s="1">
        <v>5</v>
      </c>
      <c r="AN188" s="1">
        <v>5</v>
      </c>
      <c r="AO188" s="1" t="s">
        <v>83</v>
      </c>
      <c r="AP188" s="1">
        <v>5</v>
      </c>
      <c r="AQ188" s="1">
        <v>5</v>
      </c>
      <c r="AR188" s="1" t="s">
        <v>83</v>
      </c>
      <c r="AS188" s="1">
        <v>5</v>
      </c>
      <c r="AT188" s="1">
        <v>5</v>
      </c>
      <c r="AU188" s="1" t="s">
        <v>83</v>
      </c>
      <c r="AV188" s="1">
        <v>4</v>
      </c>
      <c r="AW188" s="1">
        <v>4</v>
      </c>
      <c r="AX188" s="1" t="s">
        <v>83</v>
      </c>
      <c r="AY188" s="1">
        <v>0</v>
      </c>
      <c r="AZ188" s="1">
        <v>0</v>
      </c>
      <c r="BA188" s="1">
        <v>0</v>
      </c>
      <c r="BB188" s="1" t="s">
        <v>1278</v>
      </c>
      <c r="BC188" s="1">
        <v>2</v>
      </c>
      <c r="BD188" s="1" t="s">
        <v>442</v>
      </c>
      <c r="BE188" s="1" t="s">
        <v>442</v>
      </c>
      <c r="BF188" s="1" t="s">
        <v>1279</v>
      </c>
      <c r="BG188" s="1" t="s">
        <v>83</v>
      </c>
    </row>
    <row r="189" spans="1:59" x14ac:dyDescent="0.35">
      <c r="A189" s="1">
        <v>188</v>
      </c>
      <c r="B189" s="1">
        <v>45841.260057870371</v>
      </c>
      <c r="C189" s="1" t="s">
        <v>1280</v>
      </c>
      <c r="D189" s="1" t="s">
        <v>1281</v>
      </c>
      <c r="E189" s="1" t="s">
        <v>63</v>
      </c>
      <c r="F189" s="1" t="s">
        <v>397</v>
      </c>
      <c r="G189" s="1" t="s">
        <v>1282</v>
      </c>
      <c r="H189" s="1" t="s">
        <v>459</v>
      </c>
      <c r="I189" s="1" t="s">
        <v>439</v>
      </c>
      <c r="J189" s="1" t="s">
        <v>971</v>
      </c>
      <c r="K189" s="1" t="s">
        <v>1283</v>
      </c>
      <c r="L189" s="1" t="s">
        <v>69</v>
      </c>
      <c r="M189" s="1" t="s">
        <v>69</v>
      </c>
      <c r="N189" s="1" t="s">
        <v>69</v>
      </c>
      <c r="O189" s="1" t="s">
        <v>69</v>
      </c>
      <c r="P189" s="1" t="s">
        <v>106</v>
      </c>
      <c r="Q189" s="1" t="s">
        <v>271</v>
      </c>
      <c r="R189" s="1" t="s">
        <v>868</v>
      </c>
      <c r="S189" s="1">
        <v>33</v>
      </c>
      <c r="T189" s="1" t="s">
        <v>109</v>
      </c>
      <c r="U189" s="1" t="s">
        <v>73</v>
      </c>
      <c r="V189" s="1" t="s">
        <v>74</v>
      </c>
      <c r="W189" s="1" t="s">
        <v>74</v>
      </c>
      <c r="X189" s="1">
        <v>6</v>
      </c>
      <c r="Y189" s="1">
        <v>6</v>
      </c>
      <c r="Z189" s="1" t="s">
        <v>83</v>
      </c>
      <c r="AA189" s="1">
        <v>6</v>
      </c>
      <c r="AB189" s="1">
        <v>6</v>
      </c>
      <c r="AC189" s="1" t="s">
        <v>83</v>
      </c>
      <c r="AD189" s="1">
        <v>5</v>
      </c>
      <c r="AE189" s="1">
        <v>5</v>
      </c>
      <c r="AF189" s="1" t="s">
        <v>83</v>
      </c>
      <c r="AG189" s="1">
        <v>6</v>
      </c>
      <c r="AH189" s="1">
        <v>6</v>
      </c>
      <c r="AI189" s="1" t="s">
        <v>83</v>
      </c>
      <c r="AJ189" s="1">
        <v>6</v>
      </c>
      <c r="AK189" s="1">
        <v>6</v>
      </c>
      <c r="AL189" s="1" t="s">
        <v>83</v>
      </c>
      <c r="AM189" s="1">
        <v>6</v>
      </c>
      <c r="AN189" s="1">
        <v>6</v>
      </c>
      <c r="AO189" s="1" t="s">
        <v>83</v>
      </c>
      <c r="AP189" s="1">
        <v>6</v>
      </c>
      <c r="AQ189" s="1">
        <v>6</v>
      </c>
      <c r="AR189" s="1" t="s">
        <v>83</v>
      </c>
      <c r="AS189" s="1">
        <v>5</v>
      </c>
      <c r="AT189" s="1">
        <v>5</v>
      </c>
      <c r="AU189" s="1" t="s">
        <v>83</v>
      </c>
      <c r="AV189" s="1">
        <v>6</v>
      </c>
      <c r="AW189" s="1">
        <v>6</v>
      </c>
      <c r="AX189" s="1" t="s">
        <v>83</v>
      </c>
      <c r="AY189" s="1">
        <v>2</v>
      </c>
      <c r="AZ189" s="1">
        <v>0</v>
      </c>
      <c r="BA189" s="1">
        <v>0</v>
      </c>
      <c r="BB189" s="1" t="s">
        <v>83</v>
      </c>
      <c r="BC189" s="1">
        <v>0</v>
      </c>
      <c r="BD189" s="1" t="s">
        <v>442</v>
      </c>
      <c r="BE189" s="1" t="s">
        <v>442</v>
      </c>
      <c r="BF189" s="1" t="s">
        <v>442</v>
      </c>
      <c r="BG189" s="1" t="s">
        <v>83</v>
      </c>
    </row>
    <row r="190" spans="1:59" x14ac:dyDescent="0.35">
      <c r="A190" s="1">
        <v>189</v>
      </c>
      <c r="B190" s="1">
        <v>45841.264062499999</v>
      </c>
      <c r="C190" s="1" t="s">
        <v>1284</v>
      </c>
      <c r="D190" s="1" t="s">
        <v>1285</v>
      </c>
      <c r="E190" s="1" t="s">
        <v>63</v>
      </c>
      <c r="F190" s="1" t="s">
        <v>63</v>
      </c>
      <c r="G190" s="1" t="s">
        <v>1286</v>
      </c>
      <c r="H190" s="1" t="s">
        <v>459</v>
      </c>
      <c r="I190" s="1" t="s">
        <v>439</v>
      </c>
      <c r="J190" s="1" t="s">
        <v>971</v>
      </c>
      <c r="K190" s="1" t="s">
        <v>1287</v>
      </c>
      <c r="L190" s="1" t="s">
        <v>69</v>
      </c>
      <c r="M190" s="1" t="s">
        <v>69</v>
      </c>
      <c r="N190" s="1" t="s">
        <v>69</v>
      </c>
      <c r="O190" s="1" t="s">
        <v>69</v>
      </c>
      <c r="P190" s="1" t="s">
        <v>70</v>
      </c>
      <c r="Q190" s="1" t="s">
        <v>271</v>
      </c>
      <c r="R190" s="1" t="s">
        <v>130</v>
      </c>
      <c r="S190" s="1">
        <v>18</v>
      </c>
      <c r="T190" s="1" t="s">
        <v>131</v>
      </c>
      <c r="U190" s="1" t="s">
        <v>73</v>
      </c>
      <c r="V190" s="1" t="s">
        <v>94</v>
      </c>
      <c r="W190" s="1" t="s">
        <v>95</v>
      </c>
      <c r="X190" s="1">
        <v>5</v>
      </c>
      <c r="Y190" s="1">
        <v>5</v>
      </c>
      <c r="Z190" s="1" t="s">
        <v>83</v>
      </c>
      <c r="AA190" s="1">
        <v>6</v>
      </c>
      <c r="AB190" s="1">
        <v>6</v>
      </c>
      <c r="AC190" s="1" t="s">
        <v>83</v>
      </c>
      <c r="AD190" s="1">
        <v>5</v>
      </c>
      <c r="AE190" s="1">
        <v>5</v>
      </c>
      <c r="AF190" s="1" t="s">
        <v>83</v>
      </c>
      <c r="AG190" s="1">
        <v>6</v>
      </c>
      <c r="AH190" s="1">
        <v>6</v>
      </c>
      <c r="AI190" s="1" t="s">
        <v>83</v>
      </c>
      <c r="AJ190" s="1">
        <v>6</v>
      </c>
      <c r="AK190" s="1">
        <v>6</v>
      </c>
      <c r="AL190" s="1" t="s">
        <v>83</v>
      </c>
      <c r="AM190" s="1">
        <v>6</v>
      </c>
      <c r="AN190" s="1">
        <v>6</v>
      </c>
      <c r="AO190" s="1" t="s">
        <v>83</v>
      </c>
      <c r="AP190" s="1">
        <v>6</v>
      </c>
      <c r="AQ190" s="1">
        <v>6</v>
      </c>
      <c r="AR190" s="1" t="s">
        <v>83</v>
      </c>
      <c r="AS190" s="1">
        <v>6</v>
      </c>
      <c r="AT190" s="1">
        <v>6</v>
      </c>
      <c r="AU190" s="1" t="s">
        <v>83</v>
      </c>
      <c r="AV190" s="1">
        <v>6</v>
      </c>
      <c r="AW190" s="1">
        <v>6</v>
      </c>
      <c r="AX190" s="1" t="s">
        <v>83</v>
      </c>
      <c r="AY190" s="1">
        <v>0</v>
      </c>
      <c r="AZ190" s="1">
        <v>0</v>
      </c>
      <c r="BA190" s="1">
        <v>2</v>
      </c>
      <c r="BB190" s="1" t="s">
        <v>83</v>
      </c>
      <c r="BC190" s="1">
        <v>0</v>
      </c>
      <c r="BD190" s="1" t="s">
        <v>442</v>
      </c>
      <c r="BE190" s="1" t="s">
        <v>442</v>
      </c>
      <c r="BF190" s="1" t="s">
        <v>442</v>
      </c>
      <c r="BG190" s="1" t="s">
        <v>83</v>
      </c>
    </row>
    <row r="191" spans="1:59" x14ac:dyDescent="0.35">
      <c r="A191" s="1">
        <v>190</v>
      </c>
      <c r="B191" s="1">
        <v>45841.267500000002</v>
      </c>
      <c r="C191" s="1" t="s">
        <v>1288</v>
      </c>
      <c r="D191" s="1" t="s">
        <v>1289</v>
      </c>
      <c r="E191" s="1" t="s">
        <v>63</v>
      </c>
      <c r="F191" s="1" t="s">
        <v>149</v>
      </c>
      <c r="G191" s="1" t="s">
        <v>1290</v>
      </c>
      <c r="H191" s="1" t="s">
        <v>459</v>
      </c>
      <c r="I191" s="1" t="s">
        <v>439</v>
      </c>
      <c r="J191" s="1" t="s">
        <v>971</v>
      </c>
      <c r="K191" s="1" t="s">
        <v>1248</v>
      </c>
      <c r="L191" s="1" t="s">
        <v>69</v>
      </c>
      <c r="M191" s="1" t="s">
        <v>69</v>
      </c>
      <c r="N191" s="1" t="s">
        <v>69</v>
      </c>
      <c r="O191" s="1" t="s">
        <v>69</v>
      </c>
      <c r="P191" s="1" t="s">
        <v>106</v>
      </c>
      <c r="Q191" s="1" t="s">
        <v>271</v>
      </c>
      <c r="R191" s="1" t="s">
        <v>546</v>
      </c>
      <c r="S191" s="1">
        <v>31</v>
      </c>
      <c r="T191" s="1" t="s">
        <v>109</v>
      </c>
      <c r="U191" s="1" t="s">
        <v>73</v>
      </c>
      <c r="V191" s="1" t="s">
        <v>110</v>
      </c>
      <c r="W191" s="1" t="s">
        <v>110</v>
      </c>
      <c r="X191" s="1">
        <v>6</v>
      </c>
      <c r="Y191" s="1">
        <v>5</v>
      </c>
      <c r="Z191" s="1" t="s">
        <v>83</v>
      </c>
      <c r="AA191" s="1">
        <v>5</v>
      </c>
      <c r="AB191" s="1">
        <v>5</v>
      </c>
      <c r="AC191" s="1" t="s">
        <v>83</v>
      </c>
      <c r="AD191" s="1">
        <v>6</v>
      </c>
      <c r="AE191" s="1">
        <v>6</v>
      </c>
      <c r="AF191" s="1" t="s">
        <v>83</v>
      </c>
      <c r="AG191" s="1">
        <v>5</v>
      </c>
      <c r="AH191" s="1">
        <v>5</v>
      </c>
      <c r="AI191" s="1" t="s">
        <v>83</v>
      </c>
      <c r="AJ191" s="1">
        <v>5</v>
      </c>
      <c r="AK191" s="1">
        <v>5</v>
      </c>
      <c r="AL191" s="1" t="s">
        <v>83</v>
      </c>
      <c r="AM191" s="1">
        <v>6</v>
      </c>
      <c r="AN191" s="1">
        <v>6</v>
      </c>
      <c r="AO191" s="1" t="s">
        <v>83</v>
      </c>
      <c r="AP191" s="1">
        <v>6</v>
      </c>
      <c r="AQ191" s="1">
        <v>6</v>
      </c>
      <c r="AR191" s="1" t="s">
        <v>83</v>
      </c>
      <c r="AS191" s="1">
        <v>5</v>
      </c>
      <c r="AT191" s="1">
        <v>5</v>
      </c>
      <c r="AU191" s="1" t="s">
        <v>83</v>
      </c>
      <c r="AV191" s="1">
        <v>6</v>
      </c>
      <c r="AW191" s="1">
        <v>6</v>
      </c>
      <c r="AX191" s="1" t="s">
        <v>83</v>
      </c>
      <c r="AY191" s="1">
        <v>1</v>
      </c>
      <c r="AZ191" s="1">
        <v>0</v>
      </c>
      <c r="BA191" s="1">
        <v>0</v>
      </c>
      <c r="BB191" s="1" t="s">
        <v>83</v>
      </c>
      <c r="BC191" s="1">
        <v>0</v>
      </c>
      <c r="BD191" s="1" t="s">
        <v>442</v>
      </c>
      <c r="BE191" s="1" t="s">
        <v>442</v>
      </c>
      <c r="BF191" s="1" t="s">
        <v>442</v>
      </c>
      <c r="BG191" s="1" t="s">
        <v>83</v>
      </c>
    </row>
    <row r="192" spans="1:59" x14ac:dyDescent="0.35">
      <c r="A192" s="1">
        <v>191</v>
      </c>
      <c r="B192" s="1">
        <v>45841.271805555552</v>
      </c>
      <c r="C192" s="1" t="s">
        <v>1291</v>
      </c>
      <c r="D192" s="1" t="s">
        <v>1292</v>
      </c>
      <c r="E192" s="1" t="s">
        <v>63</v>
      </c>
      <c r="F192" s="1" t="s">
        <v>86</v>
      </c>
      <c r="G192" s="1" t="s">
        <v>1293</v>
      </c>
      <c r="H192" s="1" t="s">
        <v>459</v>
      </c>
      <c r="I192" s="1" t="s">
        <v>439</v>
      </c>
      <c r="J192" s="1" t="s">
        <v>971</v>
      </c>
      <c r="K192" s="1" t="s">
        <v>1294</v>
      </c>
      <c r="L192" s="1" t="s">
        <v>69</v>
      </c>
      <c r="M192" s="1" t="s">
        <v>69</v>
      </c>
      <c r="N192" s="1" t="s">
        <v>69</v>
      </c>
      <c r="O192" s="1" t="s">
        <v>69</v>
      </c>
      <c r="P192" s="1" t="s">
        <v>70</v>
      </c>
      <c r="Q192" s="1" t="s">
        <v>292</v>
      </c>
      <c r="R192" s="1" t="s">
        <v>130</v>
      </c>
      <c r="S192" s="1">
        <v>18</v>
      </c>
      <c r="T192" s="1" t="s">
        <v>131</v>
      </c>
      <c r="U192" s="1" t="s">
        <v>73</v>
      </c>
      <c r="V192" s="1" t="s">
        <v>94</v>
      </c>
      <c r="W192" s="1" t="s">
        <v>95</v>
      </c>
      <c r="X192" s="1">
        <v>6</v>
      </c>
      <c r="Y192" s="1">
        <v>5</v>
      </c>
      <c r="Z192" s="1" t="s">
        <v>83</v>
      </c>
      <c r="AA192" s="1">
        <v>5</v>
      </c>
      <c r="AB192" s="1">
        <v>5</v>
      </c>
      <c r="AC192" s="1" t="s">
        <v>83</v>
      </c>
      <c r="AD192" s="1">
        <v>5</v>
      </c>
      <c r="AE192" s="1">
        <v>5</v>
      </c>
      <c r="AF192" s="1" t="s">
        <v>83</v>
      </c>
      <c r="AG192" s="1">
        <v>4</v>
      </c>
      <c r="AH192" s="1">
        <v>4</v>
      </c>
      <c r="AI192" s="1" t="s">
        <v>83</v>
      </c>
      <c r="AJ192" s="1">
        <v>5</v>
      </c>
      <c r="AK192" s="1">
        <v>5</v>
      </c>
      <c r="AL192" s="1" t="s">
        <v>83</v>
      </c>
      <c r="AM192" s="1">
        <v>5</v>
      </c>
      <c r="AN192" s="1">
        <v>5</v>
      </c>
      <c r="AO192" s="1" t="s">
        <v>83</v>
      </c>
      <c r="AP192" s="1">
        <v>6</v>
      </c>
      <c r="AQ192" s="1">
        <v>6</v>
      </c>
      <c r="AR192" s="1" t="s">
        <v>83</v>
      </c>
      <c r="AS192" s="1">
        <v>5</v>
      </c>
      <c r="AT192" s="1">
        <v>5</v>
      </c>
      <c r="AU192" s="1" t="s">
        <v>83</v>
      </c>
      <c r="AV192" s="1">
        <v>6</v>
      </c>
      <c r="AW192" s="1">
        <v>6</v>
      </c>
      <c r="AX192" s="1" t="s">
        <v>83</v>
      </c>
      <c r="AY192" s="1">
        <v>0</v>
      </c>
      <c r="AZ192" s="1">
        <v>0</v>
      </c>
      <c r="BA192" s="1">
        <v>0</v>
      </c>
      <c r="BB192" s="1" t="s">
        <v>532</v>
      </c>
      <c r="BC192" s="1">
        <v>2</v>
      </c>
      <c r="BD192" s="1" t="s">
        <v>442</v>
      </c>
      <c r="BE192" s="1" t="s">
        <v>1295</v>
      </c>
      <c r="BF192" s="1" t="s">
        <v>503</v>
      </c>
      <c r="BG192" s="1" t="s">
        <v>83</v>
      </c>
    </row>
    <row r="193" spans="1:59" x14ac:dyDescent="0.35">
      <c r="A193" s="1">
        <v>192</v>
      </c>
      <c r="B193" s="1">
        <v>45841.276261574072</v>
      </c>
      <c r="C193" s="1" t="s">
        <v>1296</v>
      </c>
      <c r="D193" s="1" t="s">
        <v>1297</v>
      </c>
      <c r="E193" s="1" t="s">
        <v>63</v>
      </c>
      <c r="F193" s="1" t="s">
        <v>466</v>
      </c>
      <c r="G193" s="1" t="s">
        <v>1298</v>
      </c>
      <c r="H193" s="1" t="s">
        <v>459</v>
      </c>
      <c r="I193" s="1" t="s">
        <v>439</v>
      </c>
      <c r="J193" s="1" t="s">
        <v>971</v>
      </c>
      <c r="K193" s="1" t="s">
        <v>1299</v>
      </c>
      <c r="L193" s="1" t="s">
        <v>69</v>
      </c>
      <c r="M193" s="1" t="s">
        <v>69</v>
      </c>
      <c r="N193" s="1" t="s">
        <v>69</v>
      </c>
      <c r="O193" s="1" t="s">
        <v>69</v>
      </c>
      <c r="P193" s="1" t="s">
        <v>106</v>
      </c>
      <c r="Q193" s="1" t="s">
        <v>271</v>
      </c>
      <c r="R193" s="1" t="s">
        <v>130</v>
      </c>
      <c r="S193" s="1">
        <v>18</v>
      </c>
      <c r="T193" s="1" t="s">
        <v>131</v>
      </c>
      <c r="U193" s="1" t="s">
        <v>73</v>
      </c>
      <c r="V193" s="1" t="s">
        <v>94</v>
      </c>
      <c r="W193" s="1" t="s">
        <v>95</v>
      </c>
      <c r="X193" s="1">
        <v>5</v>
      </c>
      <c r="Y193" s="1">
        <v>5</v>
      </c>
      <c r="Z193" s="1" t="s">
        <v>83</v>
      </c>
      <c r="AA193" s="1">
        <v>5</v>
      </c>
      <c r="AB193" s="1">
        <v>5</v>
      </c>
      <c r="AC193" s="1" t="s">
        <v>83</v>
      </c>
      <c r="AD193" s="1">
        <v>5</v>
      </c>
      <c r="AE193" s="1">
        <v>5</v>
      </c>
      <c r="AF193" s="1" t="s">
        <v>83</v>
      </c>
      <c r="AG193" s="1">
        <v>5</v>
      </c>
      <c r="AH193" s="1">
        <v>5</v>
      </c>
      <c r="AI193" s="1" t="s">
        <v>83</v>
      </c>
      <c r="AJ193" s="1">
        <v>5</v>
      </c>
      <c r="AK193" s="1">
        <v>5</v>
      </c>
      <c r="AL193" s="1" t="s">
        <v>83</v>
      </c>
      <c r="AM193" s="1">
        <v>5</v>
      </c>
      <c r="AN193" s="1">
        <v>5</v>
      </c>
      <c r="AO193" s="1" t="s">
        <v>83</v>
      </c>
      <c r="AP193" s="1">
        <v>6</v>
      </c>
      <c r="AQ193" s="1">
        <v>6</v>
      </c>
      <c r="AR193" s="1" t="s">
        <v>83</v>
      </c>
      <c r="AS193" s="1">
        <v>5</v>
      </c>
      <c r="AT193" s="1">
        <v>5</v>
      </c>
      <c r="AU193" s="1" t="s">
        <v>83</v>
      </c>
      <c r="AV193" s="1">
        <v>6</v>
      </c>
      <c r="AW193" s="1">
        <v>6</v>
      </c>
      <c r="AX193" s="1" t="s">
        <v>83</v>
      </c>
      <c r="AY193" s="1">
        <v>0</v>
      </c>
      <c r="AZ193" s="1">
        <v>2</v>
      </c>
      <c r="BA193" s="1">
        <v>0</v>
      </c>
      <c r="BB193" s="1" t="s">
        <v>83</v>
      </c>
      <c r="BC193" s="1">
        <v>0</v>
      </c>
      <c r="BD193" s="1" t="s">
        <v>442</v>
      </c>
      <c r="BE193" s="1" t="s">
        <v>1300</v>
      </c>
      <c r="BF193" s="1" t="s">
        <v>442</v>
      </c>
      <c r="BG193" s="1" t="s">
        <v>83</v>
      </c>
    </row>
    <row r="194" spans="1:59" x14ac:dyDescent="0.35">
      <c r="A194" s="1">
        <v>193</v>
      </c>
      <c r="B194" s="1">
        <v>45841.281423611108</v>
      </c>
      <c r="C194" s="1" t="s">
        <v>1301</v>
      </c>
      <c r="D194" s="1" t="s">
        <v>1302</v>
      </c>
      <c r="E194" s="1" t="s">
        <v>63</v>
      </c>
      <c r="F194" s="1" t="s">
        <v>149</v>
      </c>
      <c r="G194" s="1" t="s">
        <v>1303</v>
      </c>
      <c r="H194" s="1" t="s">
        <v>459</v>
      </c>
      <c r="I194" s="1" t="s">
        <v>439</v>
      </c>
      <c r="J194" s="1" t="s">
        <v>971</v>
      </c>
      <c r="K194" s="1" t="s">
        <v>1304</v>
      </c>
      <c r="L194" s="1" t="s">
        <v>69</v>
      </c>
      <c r="M194" s="1" t="s">
        <v>69</v>
      </c>
      <c r="N194" s="1" t="s">
        <v>69</v>
      </c>
      <c r="O194" s="1" t="s">
        <v>69</v>
      </c>
      <c r="P194" s="1" t="s">
        <v>106</v>
      </c>
      <c r="Q194" s="1" t="s">
        <v>292</v>
      </c>
      <c r="R194" s="1" t="s">
        <v>431</v>
      </c>
      <c r="S194" s="1">
        <v>19</v>
      </c>
      <c r="T194" s="1" t="s">
        <v>131</v>
      </c>
      <c r="U194" s="1" t="s">
        <v>73</v>
      </c>
      <c r="V194" s="1" t="s">
        <v>94</v>
      </c>
      <c r="W194" s="1" t="s">
        <v>95</v>
      </c>
      <c r="X194" s="1">
        <v>5</v>
      </c>
      <c r="Y194" s="1">
        <v>5</v>
      </c>
      <c r="Z194" s="1" t="s">
        <v>83</v>
      </c>
      <c r="AA194" s="1">
        <v>6</v>
      </c>
      <c r="AB194" s="1">
        <v>6</v>
      </c>
      <c r="AC194" s="1" t="s">
        <v>83</v>
      </c>
      <c r="AD194" s="1">
        <v>6</v>
      </c>
      <c r="AE194" s="1">
        <v>6</v>
      </c>
      <c r="AF194" s="1" t="s">
        <v>83</v>
      </c>
      <c r="AG194" s="1">
        <v>5</v>
      </c>
      <c r="AH194" s="1">
        <v>5</v>
      </c>
      <c r="AI194" s="1" t="s">
        <v>83</v>
      </c>
      <c r="AJ194" s="1">
        <v>6</v>
      </c>
      <c r="AK194" s="1">
        <v>6</v>
      </c>
      <c r="AL194" s="1" t="s">
        <v>83</v>
      </c>
      <c r="AM194" s="1">
        <v>5</v>
      </c>
      <c r="AN194" s="1">
        <v>5</v>
      </c>
      <c r="AO194" s="1" t="s">
        <v>83</v>
      </c>
      <c r="AP194" s="1">
        <v>6</v>
      </c>
      <c r="AQ194" s="1">
        <v>6</v>
      </c>
      <c r="AR194" s="1" t="s">
        <v>83</v>
      </c>
      <c r="AS194" s="1">
        <v>5</v>
      </c>
      <c r="AT194" s="1">
        <v>5</v>
      </c>
      <c r="AU194" s="1" t="s">
        <v>83</v>
      </c>
      <c r="AV194" s="1">
        <v>5</v>
      </c>
      <c r="AW194" s="1">
        <v>5</v>
      </c>
      <c r="AX194" s="1" t="s">
        <v>83</v>
      </c>
      <c r="AY194" s="1">
        <v>1</v>
      </c>
      <c r="AZ194" s="1">
        <v>0</v>
      </c>
      <c r="BA194" s="1">
        <v>0</v>
      </c>
      <c r="BB194" s="1" t="s">
        <v>83</v>
      </c>
      <c r="BC194" s="1">
        <v>0</v>
      </c>
      <c r="BD194" s="1" t="s">
        <v>503</v>
      </c>
      <c r="BE194" s="1" t="s">
        <v>1305</v>
      </c>
      <c r="BF194" s="1" t="s">
        <v>555</v>
      </c>
      <c r="BG194" s="1" t="s">
        <v>83</v>
      </c>
    </row>
    <row r="195" spans="1:59" x14ac:dyDescent="0.35">
      <c r="A195" s="1">
        <v>194</v>
      </c>
      <c r="B195" s="1">
        <v>45841.284363425926</v>
      </c>
      <c r="C195" s="1" t="s">
        <v>1306</v>
      </c>
      <c r="D195" s="1" t="s">
        <v>1307</v>
      </c>
      <c r="E195" s="1" t="s">
        <v>63</v>
      </c>
      <c r="F195" s="1" t="s">
        <v>63</v>
      </c>
      <c r="G195" s="1" t="s">
        <v>1308</v>
      </c>
      <c r="H195" s="1" t="s">
        <v>459</v>
      </c>
      <c r="I195" s="1" t="s">
        <v>439</v>
      </c>
      <c r="J195" s="1" t="s">
        <v>971</v>
      </c>
      <c r="K195" s="1" t="s">
        <v>1309</v>
      </c>
      <c r="L195" s="1" t="s">
        <v>69</v>
      </c>
      <c r="M195" s="1" t="s">
        <v>69</v>
      </c>
      <c r="N195" s="1" t="s">
        <v>69</v>
      </c>
      <c r="O195" s="1" t="s">
        <v>69</v>
      </c>
      <c r="P195" s="1" t="s">
        <v>106</v>
      </c>
      <c r="Q195" s="1" t="s">
        <v>271</v>
      </c>
      <c r="R195" s="1" t="s">
        <v>1006</v>
      </c>
      <c r="S195" s="1">
        <v>26</v>
      </c>
      <c r="T195" s="1" t="s">
        <v>92</v>
      </c>
      <c r="U195" s="1" t="s">
        <v>73</v>
      </c>
      <c r="V195" s="1" t="s">
        <v>74</v>
      </c>
      <c r="W195" s="1" t="s">
        <v>74</v>
      </c>
      <c r="X195" s="1">
        <v>5</v>
      </c>
      <c r="Y195" s="1">
        <v>5</v>
      </c>
      <c r="Z195" s="1" t="s">
        <v>83</v>
      </c>
      <c r="AA195" s="1">
        <v>5</v>
      </c>
      <c r="AB195" s="1">
        <v>5</v>
      </c>
      <c r="AC195" s="1" t="s">
        <v>83</v>
      </c>
      <c r="AD195" s="1">
        <v>6</v>
      </c>
      <c r="AE195" s="1">
        <v>6</v>
      </c>
      <c r="AF195" s="1" t="s">
        <v>83</v>
      </c>
      <c r="AG195" s="1">
        <v>5</v>
      </c>
      <c r="AH195" s="1">
        <v>5</v>
      </c>
      <c r="AI195" s="1" t="s">
        <v>83</v>
      </c>
      <c r="AJ195" s="1">
        <v>5</v>
      </c>
      <c r="AK195" s="1">
        <v>5</v>
      </c>
      <c r="AL195" s="1" t="s">
        <v>83</v>
      </c>
      <c r="AM195" s="1">
        <v>6</v>
      </c>
      <c r="AN195" s="1">
        <v>6</v>
      </c>
      <c r="AO195" s="1" t="s">
        <v>83</v>
      </c>
      <c r="AP195" s="1">
        <v>6</v>
      </c>
      <c r="AQ195" s="1">
        <v>6</v>
      </c>
      <c r="AR195" s="1" t="s">
        <v>83</v>
      </c>
      <c r="AS195" s="1">
        <v>5</v>
      </c>
      <c r="AT195" s="1">
        <v>5</v>
      </c>
      <c r="AU195" s="1" t="s">
        <v>83</v>
      </c>
      <c r="AV195" s="1">
        <v>6</v>
      </c>
      <c r="AW195" s="1">
        <v>6</v>
      </c>
      <c r="AX195" s="1" t="s">
        <v>83</v>
      </c>
      <c r="AY195" s="1">
        <v>2</v>
      </c>
      <c r="AZ195" s="1">
        <v>0</v>
      </c>
      <c r="BA195" s="1">
        <v>0</v>
      </c>
      <c r="BB195" s="1" t="s">
        <v>83</v>
      </c>
      <c r="BC195" s="1">
        <v>0</v>
      </c>
      <c r="BD195" s="1" t="s">
        <v>442</v>
      </c>
      <c r="BE195" s="1" t="s">
        <v>442</v>
      </c>
      <c r="BF195" s="1" t="s">
        <v>442</v>
      </c>
      <c r="BG195" s="1" t="s">
        <v>83</v>
      </c>
    </row>
    <row r="196" spans="1:59" x14ac:dyDescent="0.35">
      <c r="A196" s="1">
        <v>195</v>
      </c>
      <c r="B196" s="1">
        <v>45841.286979166667</v>
      </c>
      <c r="C196" s="1" t="s">
        <v>1310</v>
      </c>
      <c r="D196" s="1" t="s">
        <v>1311</v>
      </c>
      <c r="E196" s="1" t="s">
        <v>63</v>
      </c>
      <c r="F196" s="1" t="s">
        <v>1312</v>
      </c>
      <c r="G196" s="1" t="s">
        <v>1313</v>
      </c>
      <c r="H196" s="1" t="s">
        <v>459</v>
      </c>
      <c r="I196" s="1" t="s">
        <v>439</v>
      </c>
      <c r="J196" s="1" t="s">
        <v>971</v>
      </c>
      <c r="K196" s="1" t="s">
        <v>1314</v>
      </c>
      <c r="L196" s="1" t="s">
        <v>69</v>
      </c>
      <c r="M196" s="1" t="s">
        <v>69</v>
      </c>
      <c r="N196" s="1" t="s">
        <v>69</v>
      </c>
      <c r="O196" s="1" t="s">
        <v>69</v>
      </c>
      <c r="P196" s="1" t="s">
        <v>106</v>
      </c>
      <c r="Q196" s="1" t="s">
        <v>292</v>
      </c>
      <c r="R196" s="1" t="s">
        <v>441</v>
      </c>
      <c r="S196" s="1">
        <v>23</v>
      </c>
      <c r="T196" s="1" t="s">
        <v>72</v>
      </c>
      <c r="U196" s="1" t="s">
        <v>93</v>
      </c>
      <c r="V196" s="1" t="s">
        <v>74</v>
      </c>
      <c r="W196" s="1" t="s">
        <v>74</v>
      </c>
      <c r="X196" s="1">
        <v>6</v>
      </c>
      <c r="Y196" s="1">
        <v>6</v>
      </c>
      <c r="Z196" s="1" t="s">
        <v>83</v>
      </c>
      <c r="AA196" s="1">
        <v>6</v>
      </c>
      <c r="AB196" s="1">
        <v>6</v>
      </c>
      <c r="AC196" s="1" t="s">
        <v>83</v>
      </c>
      <c r="AD196" s="1">
        <v>6</v>
      </c>
      <c r="AE196" s="1">
        <v>6</v>
      </c>
      <c r="AF196" s="1" t="s">
        <v>83</v>
      </c>
      <c r="AG196" s="1">
        <v>6</v>
      </c>
      <c r="AH196" s="1">
        <v>6</v>
      </c>
      <c r="AI196" s="1" t="s">
        <v>83</v>
      </c>
      <c r="AJ196" s="1">
        <v>6</v>
      </c>
      <c r="AK196" s="1">
        <v>6</v>
      </c>
      <c r="AL196" s="1" t="s">
        <v>83</v>
      </c>
      <c r="AM196" s="1">
        <v>6</v>
      </c>
      <c r="AN196" s="1">
        <v>6</v>
      </c>
      <c r="AO196" s="1" t="s">
        <v>83</v>
      </c>
      <c r="AP196" s="1">
        <v>6</v>
      </c>
      <c r="AQ196" s="1">
        <v>6</v>
      </c>
      <c r="AR196" s="1" t="s">
        <v>83</v>
      </c>
      <c r="AS196" s="1">
        <v>6</v>
      </c>
      <c r="AT196" s="1">
        <v>6</v>
      </c>
      <c r="AU196" s="1" t="s">
        <v>83</v>
      </c>
      <c r="AV196" s="1">
        <v>6</v>
      </c>
      <c r="AW196" s="1">
        <v>6</v>
      </c>
      <c r="AX196" s="1" t="s">
        <v>83</v>
      </c>
      <c r="AY196" s="1">
        <v>0</v>
      </c>
      <c r="AZ196" s="1">
        <v>0</v>
      </c>
      <c r="BA196" s="1">
        <v>1</v>
      </c>
      <c r="BB196" s="1" t="s">
        <v>83</v>
      </c>
      <c r="BC196" s="1">
        <v>0</v>
      </c>
      <c r="BD196" s="1" t="s">
        <v>442</v>
      </c>
      <c r="BE196" s="1" t="s">
        <v>442</v>
      </c>
      <c r="BF196" s="1" t="s">
        <v>442</v>
      </c>
      <c r="BG196" s="1" t="s">
        <v>83</v>
      </c>
    </row>
    <row r="197" spans="1:59" x14ac:dyDescent="0.35">
      <c r="A197" s="1">
        <v>196</v>
      </c>
      <c r="B197" s="1">
        <v>45841.472858796296</v>
      </c>
      <c r="C197" s="1" t="s">
        <v>1315</v>
      </c>
      <c r="D197" s="1" t="s">
        <v>1316</v>
      </c>
      <c r="E197" s="1" t="s">
        <v>63</v>
      </c>
      <c r="F197" s="1" t="s">
        <v>765</v>
      </c>
      <c r="G197" s="1" t="s">
        <v>1317</v>
      </c>
      <c r="H197" s="1" t="s">
        <v>65</v>
      </c>
      <c r="I197" s="1" t="s">
        <v>66</v>
      </c>
      <c r="J197" s="1" t="s">
        <v>1189</v>
      </c>
      <c r="K197" s="1" t="s">
        <v>1318</v>
      </c>
      <c r="L197" s="1" t="s">
        <v>69</v>
      </c>
      <c r="M197" s="1" t="s">
        <v>69</v>
      </c>
      <c r="N197" s="1" t="s">
        <v>69</v>
      </c>
      <c r="O197" s="1" t="s">
        <v>69</v>
      </c>
      <c r="P197" s="1" t="s">
        <v>70</v>
      </c>
      <c r="Q197" s="1" t="s">
        <v>107</v>
      </c>
      <c r="R197" s="1" t="s">
        <v>431</v>
      </c>
      <c r="S197" s="1">
        <v>19</v>
      </c>
      <c r="T197" s="1" t="s">
        <v>131</v>
      </c>
      <c r="U197" s="1" t="s">
        <v>73</v>
      </c>
      <c r="V197" s="1" t="s">
        <v>94</v>
      </c>
      <c r="W197" s="1" t="s">
        <v>95</v>
      </c>
      <c r="X197" s="1">
        <v>6</v>
      </c>
      <c r="Y197" s="1">
        <v>6</v>
      </c>
      <c r="Z197" s="1" t="s">
        <v>83</v>
      </c>
      <c r="AA197" s="1">
        <v>6</v>
      </c>
      <c r="AB197" s="1">
        <v>6</v>
      </c>
      <c r="AC197" s="1" t="s">
        <v>83</v>
      </c>
      <c r="AD197" s="1">
        <v>6</v>
      </c>
      <c r="AE197" s="1">
        <v>6</v>
      </c>
      <c r="AF197" s="1" t="s">
        <v>83</v>
      </c>
      <c r="AG197" s="1">
        <v>0</v>
      </c>
      <c r="AH197" s="1">
        <v>0</v>
      </c>
      <c r="AI197" s="1" t="s">
        <v>83</v>
      </c>
      <c r="AJ197" s="1">
        <v>6</v>
      </c>
      <c r="AK197" s="1">
        <v>6</v>
      </c>
      <c r="AL197" s="1" t="s">
        <v>83</v>
      </c>
      <c r="AM197" s="1">
        <v>6</v>
      </c>
      <c r="AN197" s="1">
        <v>6</v>
      </c>
      <c r="AO197" s="1" t="s">
        <v>83</v>
      </c>
      <c r="AP197" s="1">
        <v>6</v>
      </c>
      <c r="AQ197" s="1">
        <v>6</v>
      </c>
      <c r="AR197" s="1" t="s">
        <v>83</v>
      </c>
      <c r="AS197" s="1">
        <v>6</v>
      </c>
      <c r="AT197" s="1">
        <v>6</v>
      </c>
      <c r="AU197" s="1" t="s">
        <v>83</v>
      </c>
      <c r="AV197" s="1">
        <v>6</v>
      </c>
      <c r="AW197" s="1">
        <v>6</v>
      </c>
      <c r="AX197" s="1" t="s">
        <v>83</v>
      </c>
      <c r="AY197" s="1">
        <v>1</v>
      </c>
      <c r="AZ197" s="1">
        <v>0</v>
      </c>
      <c r="BA197" s="1">
        <v>0</v>
      </c>
      <c r="BB197" s="1" t="s">
        <v>83</v>
      </c>
      <c r="BC197" s="1">
        <v>0</v>
      </c>
      <c r="BD197" s="1" t="s">
        <v>1319</v>
      </c>
      <c r="BE197" s="1" t="s">
        <v>1320</v>
      </c>
      <c r="BF197" s="1" t="s">
        <v>503</v>
      </c>
      <c r="BG197" s="1" t="s">
        <v>83</v>
      </c>
    </row>
    <row r="198" spans="1:59" x14ac:dyDescent="0.35">
      <c r="A198" s="1">
        <v>197</v>
      </c>
      <c r="B198" s="1">
        <v>45841.481469907405</v>
      </c>
      <c r="C198" s="1" t="s">
        <v>1321</v>
      </c>
      <c r="D198" s="1" t="s">
        <v>1322</v>
      </c>
      <c r="E198" s="1" t="s">
        <v>63</v>
      </c>
      <c r="F198" s="1" t="s">
        <v>63</v>
      </c>
      <c r="G198" s="1" t="s">
        <v>1323</v>
      </c>
      <c r="H198" s="1" t="s">
        <v>65</v>
      </c>
      <c r="I198" s="1" t="s">
        <v>66</v>
      </c>
      <c r="J198" s="1" t="s">
        <v>1189</v>
      </c>
      <c r="K198" s="1" t="s">
        <v>1324</v>
      </c>
      <c r="L198" s="1" t="s">
        <v>69</v>
      </c>
      <c r="M198" s="1" t="s">
        <v>69</v>
      </c>
      <c r="N198" s="1" t="s">
        <v>69</v>
      </c>
      <c r="O198" s="1" t="s">
        <v>69</v>
      </c>
      <c r="P198" s="1" t="s">
        <v>70</v>
      </c>
      <c r="Q198" s="1" t="s">
        <v>107</v>
      </c>
      <c r="R198" s="1" t="s">
        <v>1325</v>
      </c>
      <c r="S198" s="1">
        <v>50</v>
      </c>
      <c r="T198" s="1" t="s">
        <v>225</v>
      </c>
      <c r="U198" s="1" t="s">
        <v>73</v>
      </c>
      <c r="V198" s="1" t="s">
        <v>74</v>
      </c>
      <c r="W198" s="1" t="s">
        <v>74</v>
      </c>
      <c r="X198" s="1">
        <v>5</v>
      </c>
      <c r="Y198" s="1">
        <v>5</v>
      </c>
      <c r="Z198" s="1" t="s">
        <v>83</v>
      </c>
      <c r="AA198" s="1">
        <v>5</v>
      </c>
      <c r="AB198" s="1">
        <v>5</v>
      </c>
      <c r="AC198" s="1" t="s">
        <v>83</v>
      </c>
      <c r="AD198" s="1">
        <v>5</v>
      </c>
      <c r="AE198" s="1">
        <v>5</v>
      </c>
      <c r="AF198" s="1" t="s">
        <v>83</v>
      </c>
      <c r="AG198" s="1">
        <v>0</v>
      </c>
      <c r="AH198" s="1">
        <v>0</v>
      </c>
      <c r="AI198" s="1" t="s">
        <v>83</v>
      </c>
      <c r="AJ198" s="1">
        <v>6</v>
      </c>
      <c r="AK198" s="1">
        <v>6</v>
      </c>
      <c r="AL198" s="1" t="s">
        <v>83</v>
      </c>
      <c r="AM198" s="1">
        <v>5</v>
      </c>
      <c r="AN198" s="1">
        <v>5</v>
      </c>
      <c r="AO198" s="1" t="s">
        <v>83</v>
      </c>
      <c r="AP198" s="1">
        <v>5</v>
      </c>
      <c r="AQ198" s="1">
        <v>5</v>
      </c>
      <c r="AR198" s="1" t="s">
        <v>83</v>
      </c>
      <c r="AS198" s="1">
        <v>5</v>
      </c>
      <c r="AT198" s="1">
        <v>5</v>
      </c>
      <c r="AU198" s="1" t="s">
        <v>83</v>
      </c>
      <c r="AV198" s="1">
        <v>6</v>
      </c>
      <c r="AW198" s="1">
        <v>6</v>
      </c>
      <c r="AX198" s="1" t="s">
        <v>83</v>
      </c>
      <c r="AY198" s="1">
        <v>0</v>
      </c>
      <c r="AZ198" s="1">
        <v>0</v>
      </c>
      <c r="BA198" s="1">
        <v>0</v>
      </c>
      <c r="BB198" s="1" t="s">
        <v>144</v>
      </c>
      <c r="BC198" s="1">
        <v>1</v>
      </c>
      <c r="BD198" s="1" t="s">
        <v>1326</v>
      </c>
      <c r="BE198" s="1" t="s">
        <v>442</v>
      </c>
      <c r="BF198" s="1" t="s">
        <v>503</v>
      </c>
      <c r="BG198" s="1" t="s">
        <v>83</v>
      </c>
    </row>
    <row r="199" spans="1:59" x14ac:dyDescent="0.35">
      <c r="A199" s="1">
        <v>198</v>
      </c>
      <c r="B199" s="1">
        <v>45841.484664351854</v>
      </c>
      <c r="C199" s="1" t="s">
        <v>1327</v>
      </c>
      <c r="D199" s="1" t="s">
        <v>1328</v>
      </c>
      <c r="E199" s="1" t="s">
        <v>63</v>
      </c>
      <c r="F199" s="1" t="s">
        <v>338</v>
      </c>
      <c r="G199" s="1" t="s">
        <v>1329</v>
      </c>
      <c r="H199" s="1" t="s">
        <v>65</v>
      </c>
      <c r="I199" s="1" t="s">
        <v>66</v>
      </c>
      <c r="J199" s="1" t="s">
        <v>1189</v>
      </c>
      <c r="K199" s="1" t="s">
        <v>1330</v>
      </c>
      <c r="L199" s="1" t="s">
        <v>69</v>
      </c>
      <c r="M199" s="1" t="s">
        <v>69</v>
      </c>
      <c r="N199" s="1" t="s">
        <v>69</v>
      </c>
      <c r="O199" s="1" t="s">
        <v>69</v>
      </c>
      <c r="P199" s="1" t="s">
        <v>106</v>
      </c>
      <c r="Q199" s="1" t="s">
        <v>107</v>
      </c>
      <c r="R199" s="1" t="s">
        <v>253</v>
      </c>
      <c r="S199" s="1">
        <v>60</v>
      </c>
      <c r="T199" s="1" t="s">
        <v>182</v>
      </c>
      <c r="U199" s="1" t="s">
        <v>93</v>
      </c>
      <c r="V199" s="1" t="s">
        <v>1331</v>
      </c>
      <c r="W199" s="1" t="s">
        <v>246</v>
      </c>
      <c r="X199" s="1">
        <v>6</v>
      </c>
      <c r="Y199" s="1">
        <v>6</v>
      </c>
      <c r="Z199" s="1" t="s">
        <v>83</v>
      </c>
      <c r="AA199" s="1">
        <v>6</v>
      </c>
      <c r="AB199" s="1">
        <v>6</v>
      </c>
      <c r="AC199" s="1" t="s">
        <v>83</v>
      </c>
      <c r="AD199" s="1">
        <v>6</v>
      </c>
      <c r="AE199" s="1">
        <v>6</v>
      </c>
      <c r="AF199" s="1" t="s">
        <v>83</v>
      </c>
      <c r="AG199" s="1">
        <v>0</v>
      </c>
      <c r="AH199" s="1">
        <v>0</v>
      </c>
      <c r="AI199" s="1" t="s">
        <v>83</v>
      </c>
      <c r="AJ199" s="1">
        <v>6</v>
      </c>
      <c r="AK199" s="1">
        <v>6</v>
      </c>
      <c r="AL199" s="1" t="s">
        <v>83</v>
      </c>
      <c r="AM199" s="1">
        <v>6</v>
      </c>
      <c r="AN199" s="1">
        <v>6</v>
      </c>
      <c r="AO199" s="1" t="s">
        <v>83</v>
      </c>
      <c r="AP199" s="1">
        <v>6</v>
      </c>
      <c r="AQ199" s="1">
        <v>6</v>
      </c>
      <c r="AR199" s="1" t="s">
        <v>83</v>
      </c>
      <c r="AS199" s="1">
        <v>6</v>
      </c>
      <c r="AT199" s="1">
        <v>6</v>
      </c>
      <c r="AU199" s="1" t="s">
        <v>83</v>
      </c>
      <c r="AV199" s="1">
        <v>6</v>
      </c>
      <c r="AW199" s="1">
        <v>6</v>
      </c>
      <c r="AX199" s="1" t="s">
        <v>83</v>
      </c>
      <c r="AY199" s="1">
        <v>0</v>
      </c>
      <c r="AZ199" s="1">
        <v>1</v>
      </c>
      <c r="BA199" s="1">
        <v>0</v>
      </c>
      <c r="BB199" s="1" t="s">
        <v>83</v>
      </c>
      <c r="BC199" s="1">
        <v>0</v>
      </c>
      <c r="BD199" s="1" t="s">
        <v>442</v>
      </c>
      <c r="BE199" s="1" t="s">
        <v>1332</v>
      </c>
      <c r="BF199" s="1" t="s">
        <v>248</v>
      </c>
      <c r="BG199" s="1" t="s">
        <v>83</v>
      </c>
    </row>
    <row r="200" spans="1:59" x14ac:dyDescent="0.35">
      <c r="A200" s="1">
        <v>199</v>
      </c>
      <c r="B200" s="1">
        <v>45841.490879629629</v>
      </c>
      <c r="C200" s="1" t="s">
        <v>1333</v>
      </c>
      <c r="D200" s="1" t="s">
        <v>1334</v>
      </c>
      <c r="E200" s="1" t="s">
        <v>63</v>
      </c>
      <c r="F200" s="1" t="s">
        <v>63</v>
      </c>
      <c r="G200" s="1" t="s">
        <v>1335</v>
      </c>
      <c r="H200" s="1" t="s">
        <v>65</v>
      </c>
      <c r="I200" s="1" t="s">
        <v>66</v>
      </c>
      <c r="J200" s="1" t="s">
        <v>1189</v>
      </c>
      <c r="K200" s="1" t="s">
        <v>1336</v>
      </c>
      <c r="L200" s="1" t="s">
        <v>69</v>
      </c>
      <c r="M200" s="1" t="s">
        <v>69</v>
      </c>
      <c r="N200" s="1" t="s">
        <v>69</v>
      </c>
      <c r="O200" s="1" t="s">
        <v>69</v>
      </c>
      <c r="P200" s="1" t="s">
        <v>70</v>
      </c>
      <c r="Q200" s="1" t="s">
        <v>107</v>
      </c>
      <c r="R200" s="1" t="s">
        <v>431</v>
      </c>
      <c r="S200" s="1">
        <v>19</v>
      </c>
      <c r="T200" s="1" t="s">
        <v>131</v>
      </c>
      <c r="U200" s="1" t="s">
        <v>73</v>
      </c>
      <c r="V200" s="1" t="s">
        <v>1337</v>
      </c>
      <c r="W200" s="1" t="s">
        <v>110</v>
      </c>
      <c r="X200" s="1">
        <v>5</v>
      </c>
      <c r="Y200" s="1">
        <v>5</v>
      </c>
      <c r="Z200" s="1" t="s">
        <v>83</v>
      </c>
      <c r="AA200" s="1">
        <v>6</v>
      </c>
      <c r="AB200" s="1">
        <v>6</v>
      </c>
      <c r="AC200" s="1" t="s">
        <v>83</v>
      </c>
      <c r="AD200" s="1">
        <v>6</v>
      </c>
      <c r="AE200" s="1">
        <v>6</v>
      </c>
      <c r="AF200" s="1" t="s">
        <v>83</v>
      </c>
      <c r="AG200" s="1">
        <v>0</v>
      </c>
      <c r="AH200" s="1">
        <v>0</v>
      </c>
      <c r="AI200" s="1" t="s">
        <v>83</v>
      </c>
      <c r="AJ200" s="1">
        <v>6</v>
      </c>
      <c r="AK200" s="1">
        <v>6</v>
      </c>
      <c r="AL200" s="1" t="s">
        <v>83</v>
      </c>
      <c r="AM200" s="1">
        <v>5</v>
      </c>
      <c r="AN200" s="1">
        <v>5</v>
      </c>
      <c r="AO200" s="1" t="s">
        <v>83</v>
      </c>
      <c r="AP200" s="1">
        <v>5</v>
      </c>
      <c r="AQ200" s="1">
        <v>5</v>
      </c>
      <c r="AR200" s="1" t="s">
        <v>83</v>
      </c>
      <c r="AS200" s="1">
        <v>5</v>
      </c>
      <c r="AT200" s="1">
        <v>5</v>
      </c>
      <c r="AU200" s="1" t="s">
        <v>83</v>
      </c>
      <c r="AV200" s="1">
        <v>5</v>
      </c>
      <c r="AW200" s="1">
        <v>5</v>
      </c>
      <c r="AX200" s="1" t="s">
        <v>83</v>
      </c>
      <c r="AY200" s="1">
        <v>0</v>
      </c>
      <c r="AZ200" s="1">
        <v>1</v>
      </c>
      <c r="BA200" s="1">
        <v>0</v>
      </c>
      <c r="BB200" s="1" t="s">
        <v>83</v>
      </c>
      <c r="BC200" s="1">
        <v>0</v>
      </c>
      <c r="BD200" s="1" t="s">
        <v>442</v>
      </c>
      <c r="BE200" s="1" t="s">
        <v>442</v>
      </c>
      <c r="BF200" s="1" t="s">
        <v>442</v>
      </c>
      <c r="BG200" s="1" t="s">
        <v>83</v>
      </c>
    </row>
    <row r="201" spans="1:59" x14ac:dyDescent="0.35">
      <c r="A201" s="1">
        <v>200</v>
      </c>
      <c r="B201" s="1">
        <v>45841.50986111111</v>
      </c>
      <c r="C201" s="1" t="s">
        <v>1338</v>
      </c>
      <c r="D201" s="1" t="s">
        <v>1339</v>
      </c>
      <c r="E201" s="1" t="s">
        <v>63</v>
      </c>
      <c r="F201" s="1" t="s">
        <v>86</v>
      </c>
      <c r="G201" s="1" t="s">
        <v>1340</v>
      </c>
      <c r="H201" s="1" t="s">
        <v>657</v>
      </c>
      <c r="I201" s="1" t="s">
        <v>83</v>
      </c>
      <c r="J201" s="1" t="s">
        <v>66</v>
      </c>
      <c r="K201" s="1" t="s">
        <v>1341</v>
      </c>
      <c r="L201" s="1" t="s">
        <v>69</v>
      </c>
      <c r="M201" s="1" t="s">
        <v>69</v>
      </c>
      <c r="N201" s="1" t="s">
        <v>69</v>
      </c>
      <c r="O201" s="1" t="s">
        <v>69</v>
      </c>
      <c r="P201" s="1" t="s">
        <v>70</v>
      </c>
      <c r="Q201" s="1" t="s">
        <v>292</v>
      </c>
      <c r="R201" s="1" t="s">
        <v>1342</v>
      </c>
      <c r="S201" s="1">
        <v>30</v>
      </c>
      <c r="T201" s="1" t="s">
        <v>92</v>
      </c>
      <c r="U201" s="1" t="s">
        <v>1343</v>
      </c>
      <c r="V201" s="1" t="s">
        <v>142</v>
      </c>
      <c r="W201" s="1" t="s">
        <v>143</v>
      </c>
      <c r="X201" s="1">
        <v>5</v>
      </c>
      <c r="Y201" s="1">
        <v>5</v>
      </c>
      <c r="Z201" s="1" t="s">
        <v>83</v>
      </c>
      <c r="AA201" s="1">
        <v>5</v>
      </c>
      <c r="AB201" s="1">
        <v>5</v>
      </c>
      <c r="AC201" s="1" t="s">
        <v>83</v>
      </c>
      <c r="AD201" s="1">
        <v>5</v>
      </c>
      <c r="AE201" s="1">
        <v>5</v>
      </c>
      <c r="AF201" s="1" t="s">
        <v>83</v>
      </c>
      <c r="AG201" s="1">
        <v>5</v>
      </c>
      <c r="AH201" s="1">
        <v>5</v>
      </c>
      <c r="AI201" s="1" t="s">
        <v>83</v>
      </c>
      <c r="AJ201" s="1">
        <v>5</v>
      </c>
      <c r="AK201" s="1">
        <v>5</v>
      </c>
      <c r="AL201" s="1" t="s">
        <v>83</v>
      </c>
      <c r="AM201" s="1">
        <v>5</v>
      </c>
      <c r="AN201" s="1">
        <v>5</v>
      </c>
      <c r="AO201" s="1" t="s">
        <v>83</v>
      </c>
      <c r="AP201" s="1">
        <v>6</v>
      </c>
      <c r="AQ201" s="1">
        <v>6</v>
      </c>
      <c r="AR201" s="1" t="s">
        <v>83</v>
      </c>
      <c r="AS201" s="1">
        <v>3</v>
      </c>
      <c r="AT201" s="1">
        <v>4</v>
      </c>
      <c r="AU201" s="1" t="s">
        <v>2492</v>
      </c>
      <c r="AV201" s="1">
        <v>6</v>
      </c>
      <c r="AW201" s="1">
        <v>6</v>
      </c>
      <c r="AX201" s="1" t="s">
        <v>83</v>
      </c>
      <c r="AY201" s="1">
        <v>1</v>
      </c>
      <c r="AZ201" s="1">
        <v>0</v>
      </c>
      <c r="BA201" s="1">
        <v>0</v>
      </c>
      <c r="BB201" s="1" t="s">
        <v>83</v>
      </c>
      <c r="BC201" s="1">
        <v>0</v>
      </c>
      <c r="BD201" s="1" t="s">
        <v>1344</v>
      </c>
      <c r="BE201" s="1" t="s">
        <v>1345</v>
      </c>
      <c r="BF201" s="1" t="s">
        <v>624</v>
      </c>
      <c r="BG201" s="1" t="s">
        <v>83</v>
      </c>
    </row>
    <row r="202" spans="1:59" x14ac:dyDescent="0.35">
      <c r="A202" s="1">
        <v>201</v>
      </c>
      <c r="B202" s="1">
        <v>45841.514652777776</v>
      </c>
      <c r="C202" s="1" t="s">
        <v>1346</v>
      </c>
      <c r="D202" s="1" t="s">
        <v>1347</v>
      </c>
      <c r="E202" s="1" t="s">
        <v>63</v>
      </c>
      <c r="F202" s="1" t="s">
        <v>757</v>
      </c>
      <c r="G202" s="1" t="s">
        <v>1348</v>
      </c>
      <c r="H202" s="1" t="s">
        <v>657</v>
      </c>
      <c r="I202" s="1" t="s">
        <v>66</v>
      </c>
      <c r="J202" s="1" t="s">
        <v>1189</v>
      </c>
      <c r="K202" s="1" t="s">
        <v>1349</v>
      </c>
      <c r="L202" s="1" t="s">
        <v>69</v>
      </c>
      <c r="M202" s="1" t="s">
        <v>69</v>
      </c>
      <c r="N202" s="1" t="s">
        <v>69</v>
      </c>
      <c r="O202" s="1" t="s">
        <v>69</v>
      </c>
      <c r="P202" s="1" t="s">
        <v>106</v>
      </c>
      <c r="Q202" s="1" t="s">
        <v>271</v>
      </c>
      <c r="R202" s="1" t="s">
        <v>868</v>
      </c>
      <c r="S202" s="1">
        <v>33</v>
      </c>
      <c r="T202" s="1" t="s">
        <v>109</v>
      </c>
      <c r="U202" s="1" t="s">
        <v>73</v>
      </c>
      <c r="V202" s="1" t="s">
        <v>74</v>
      </c>
      <c r="W202" s="1" t="s">
        <v>74</v>
      </c>
      <c r="X202" s="1">
        <v>6</v>
      </c>
      <c r="Y202" s="1">
        <v>6</v>
      </c>
      <c r="Z202" s="1" t="s">
        <v>83</v>
      </c>
      <c r="AA202" s="1">
        <v>5</v>
      </c>
      <c r="AB202" s="1">
        <v>5</v>
      </c>
      <c r="AC202" s="1" t="s">
        <v>83</v>
      </c>
      <c r="AD202" s="1">
        <v>6</v>
      </c>
      <c r="AE202" s="1">
        <v>6</v>
      </c>
      <c r="AF202" s="1" t="s">
        <v>83</v>
      </c>
      <c r="AG202" s="1">
        <v>5</v>
      </c>
      <c r="AH202" s="1">
        <v>5</v>
      </c>
      <c r="AI202" s="1" t="s">
        <v>83</v>
      </c>
      <c r="AJ202" s="1">
        <v>6</v>
      </c>
      <c r="AK202" s="1">
        <v>6</v>
      </c>
      <c r="AL202" s="1" t="s">
        <v>83</v>
      </c>
      <c r="AM202" s="1">
        <v>6</v>
      </c>
      <c r="AN202" s="1">
        <v>6</v>
      </c>
      <c r="AO202" s="1" t="s">
        <v>83</v>
      </c>
      <c r="AP202" s="1">
        <v>6</v>
      </c>
      <c r="AQ202" s="1">
        <v>6</v>
      </c>
      <c r="AR202" s="1" t="s">
        <v>83</v>
      </c>
      <c r="AS202" s="1">
        <v>6</v>
      </c>
      <c r="AT202" s="1">
        <v>6</v>
      </c>
      <c r="AU202" s="1" t="s">
        <v>83</v>
      </c>
      <c r="AV202" s="1">
        <v>6</v>
      </c>
      <c r="AW202" s="1">
        <v>6</v>
      </c>
      <c r="AX202" s="1" t="s">
        <v>83</v>
      </c>
      <c r="AY202" s="1">
        <v>0</v>
      </c>
      <c r="AZ202" s="1">
        <v>0</v>
      </c>
      <c r="BA202" s="1">
        <v>0</v>
      </c>
      <c r="BB202" s="1" t="s">
        <v>1350</v>
      </c>
      <c r="BC202" s="1">
        <v>1</v>
      </c>
      <c r="BD202" s="1" t="s">
        <v>1351</v>
      </c>
      <c r="BE202" s="1" t="s">
        <v>1352</v>
      </c>
      <c r="BF202" s="1" t="s">
        <v>442</v>
      </c>
      <c r="BG202" s="1" t="s">
        <v>83</v>
      </c>
    </row>
    <row r="203" spans="1:59" x14ac:dyDescent="0.35">
      <c r="A203" s="1">
        <v>202</v>
      </c>
      <c r="B203" s="1">
        <v>45841.524988425925</v>
      </c>
      <c r="C203" s="1" t="s">
        <v>1353</v>
      </c>
      <c r="D203" s="1" t="s">
        <v>1354</v>
      </c>
      <c r="E203" s="1" t="s">
        <v>63</v>
      </c>
      <c r="F203" s="1" t="s">
        <v>397</v>
      </c>
      <c r="G203" s="1" t="s">
        <v>1355</v>
      </c>
      <c r="H203" s="1" t="s">
        <v>657</v>
      </c>
      <c r="I203" s="1" t="s">
        <v>66</v>
      </c>
      <c r="J203" s="1" t="s">
        <v>971</v>
      </c>
      <c r="K203" s="1" t="s">
        <v>1356</v>
      </c>
      <c r="L203" s="1" t="s">
        <v>69</v>
      </c>
      <c r="M203" s="1" t="s">
        <v>69</v>
      </c>
      <c r="N203" s="1" t="s">
        <v>69</v>
      </c>
      <c r="O203" s="1" t="s">
        <v>69</v>
      </c>
      <c r="P203" s="1" t="s">
        <v>106</v>
      </c>
      <c r="Q203" s="1" t="s">
        <v>292</v>
      </c>
      <c r="R203" s="1" t="s">
        <v>431</v>
      </c>
      <c r="S203" s="1">
        <v>19</v>
      </c>
      <c r="T203" s="1" t="s">
        <v>131</v>
      </c>
      <c r="U203" s="1" t="s">
        <v>73</v>
      </c>
      <c r="V203" s="1" t="s">
        <v>94</v>
      </c>
      <c r="W203" s="1" t="s">
        <v>95</v>
      </c>
      <c r="X203" s="1">
        <v>5</v>
      </c>
      <c r="Y203" s="1">
        <v>5</v>
      </c>
      <c r="Z203" s="1" t="s">
        <v>83</v>
      </c>
      <c r="AA203" s="1">
        <v>6</v>
      </c>
      <c r="AB203" s="1">
        <v>6</v>
      </c>
      <c r="AC203" s="1" t="s">
        <v>83</v>
      </c>
      <c r="AD203" s="1">
        <v>5</v>
      </c>
      <c r="AE203" s="1">
        <v>5</v>
      </c>
      <c r="AF203" s="1" t="s">
        <v>83</v>
      </c>
      <c r="AG203" s="1">
        <v>6</v>
      </c>
      <c r="AH203" s="1">
        <v>6</v>
      </c>
      <c r="AI203" s="1" t="s">
        <v>83</v>
      </c>
      <c r="AJ203" s="1">
        <v>6</v>
      </c>
      <c r="AK203" s="1">
        <v>6</v>
      </c>
      <c r="AL203" s="1" t="s">
        <v>83</v>
      </c>
      <c r="AM203" s="1">
        <v>5</v>
      </c>
      <c r="AN203" s="1">
        <v>6</v>
      </c>
      <c r="AO203" s="1" t="s">
        <v>83</v>
      </c>
      <c r="AP203" s="1">
        <v>6</v>
      </c>
      <c r="AQ203" s="1">
        <v>6</v>
      </c>
      <c r="AR203" s="1" t="s">
        <v>83</v>
      </c>
      <c r="AS203" s="1">
        <v>4</v>
      </c>
      <c r="AT203" s="1">
        <v>4</v>
      </c>
      <c r="AU203" s="1" t="s">
        <v>2493</v>
      </c>
      <c r="AV203" s="1">
        <v>6</v>
      </c>
      <c r="AW203" s="1">
        <v>6</v>
      </c>
      <c r="AX203" s="1" t="s">
        <v>83</v>
      </c>
      <c r="AY203" s="1">
        <v>0</v>
      </c>
      <c r="AZ203" s="1">
        <v>0</v>
      </c>
      <c r="BA203" s="1">
        <v>0</v>
      </c>
      <c r="BB203" s="1" t="s">
        <v>532</v>
      </c>
      <c r="BC203" s="1">
        <v>1</v>
      </c>
      <c r="BD203" s="1" t="s">
        <v>1357</v>
      </c>
      <c r="BE203" s="1" t="s">
        <v>442</v>
      </c>
      <c r="BF203" s="1" t="s">
        <v>1358</v>
      </c>
      <c r="BG203" s="1" t="s">
        <v>83</v>
      </c>
    </row>
    <row r="204" spans="1:59" x14ac:dyDescent="0.35">
      <c r="A204" s="1">
        <v>203</v>
      </c>
      <c r="B204" s="1">
        <v>45841.530636574076</v>
      </c>
      <c r="C204" s="1" t="s">
        <v>1359</v>
      </c>
      <c r="D204" s="1" t="s">
        <v>1360</v>
      </c>
      <c r="E204" s="1" t="s">
        <v>63</v>
      </c>
      <c r="F204" s="1" t="s">
        <v>125</v>
      </c>
      <c r="G204" s="1" t="s">
        <v>1361</v>
      </c>
      <c r="H204" s="1" t="s">
        <v>657</v>
      </c>
      <c r="I204" s="1" t="s">
        <v>66</v>
      </c>
      <c r="J204" s="1" t="s">
        <v>989</v>
      </c>
      <c r="K204" s="1" t="s">
        <v>1362</v>
      </c>
      <c r="L204" s="1" t="s">
        <v>69</v>
      </c>
      <c r="M204" s="1" t="s">
        <v>69</v>
      </c>
      <c r="N204" s="1" t="s">
        <v>69</v>
      </c>
      <c r="O204" s="1" t="s">
        <v>69</v>
      </c>
      <c r="P204" s="1" t="s">
        <v>106</v>
      </c>
      <c r="Q204" s="1" t="s">
        <v>271</v>
      </c>
      <c r="R204" s="1" t="s">
        <v>2494</v>
      </c>
      <c r="S204" s="1">
        <v>26</v>
      </c>
      <c r="T204" s="1" t="s">
        <v>92</v>
      </c>
      <c r="U204" s="1" t="s">
        <v>73</v>
      </c>
      <c r="V204" s="1" t="s">
        <v>74</v>
      </c>
      <c r="W204" s="1" t="s">
        <v>74</v>
      </c>
      <c r="X204" s="1">
        <v>6</v>
      </c>
      <c r="Y204" s="1">
        <v>6</v>
      </c>
      <c r="Z204" s="1" t="s">
        <v>83</v>
      </c>
      <c r="AA204" s="1">
        <v>6</v>
      </c>
      <c r="AB204" s="1">
        <v>6</v>
      </c>
      <c r="AC204" s="1" t="s">
        <v>83</v>
      </c>
      <c r="AD204" s="1">
        <v>5</v>
      </c>
      <c r="AE204" s="1">
        <v>5</v>
      </c>
      <c r="AF204" s="1" t="s">
        <v>83</v>
      </c>
      <c r="AG204" s="1">
        <v>6</v>
      </c>
      <c r="AH204" s="1">
        <v>6</v>
      </c>
      <c r="AI204" s="1" t="s">
        <v>83</v>
      </c>
      <c r="AJ204" s="1">
        <v>6</v>
      </c>
      <c r="AK204" s="1">
        <v>6</v>
      </c>
      <c r="AL204" s="1" t="s">
        <v>83</v>
      </c>
      <c r="AM204" s="1">
        <v>6</v>
      </c>
      <c r="AN204" s="1">
        <v>6</v>
      </c>
      <c r="AO204" s="1" t="s">
        <v>83</v>
      </c>
      <c r="AP204" s="1">
        <v>6</v>
      </c>
      <c r="AQ204" s="1">
        <v>6</v>
      </c>
      <c r="AR204" s="1" t="s">
        <v>83</v>
      </c>
      <c r="AS204" s="1">
        <v>5</v>
      </c>
      <c r="AT204" s="1">
        <v>5</v>
      </c>
      <c r="AU204" s="1" t="s">
        <v>83</v>
      </c>
      <c r="AV204" s="1">
        <v>6</v>
      </c>
      <c r="AW204" s="1">
        <v>6</v>
      </c>
      <c r="AX204" s="1" t="s">
        <v>83</v>
      </c>
      <c r="AY204" s="1">
        <v>0</v>
      </c>
      <c r="AZ204" s="1">
        <v>0</v>
      </c>
      <c r="BA204" s="1">
        <v>0</v>
      </c>
      <c r="BB204" s="1" t="s">
        <v>1363</v>
      </c>
      <c r="BC204" s="1">
        <v>2</v>
      </c>
      <c r="BD204" s="1" t="s">
        <v>682</v>
      </c>
      <c r="BE204" s="1" t="s">
        <v>682</v>
      </c>
      <c r="BF204" s="1" t="s">
        <v>682</v>
      </c>
      <c r="BG204" s="1" t="s">
        <v>83</v>
      </c>
    </row>
    <row r="205" spans="1:59" x14ac:dyDescent="0.35">
      <c r="A205" s="1">
        <v>204</v>
      </c>
      <c r="B205" s="1">
        <v>45841.534259259257</v>
      </c>
      <c r="C205" s="1" t="s">
        <v>1364</v>
      </c>
      <c r="D205" s="1" t="s">
        <v>1365</v>
      </c>
      <c r="E205" s="1" t="s">
        <v>63</v>
      </c>
      <c r="F205" s="1" t="s">
        <v>179</v>
      </c>
      <c r="G205" s="1" t="s">
        <v>1366</v>
      </c>
      <c r="H205" s="1" t="s">
        <v>657</v>
      </c>
      <c r="I205" s="1" t="s">
        <v>66</v>
      </c>
      <c r="J205" s="1" t="s">
        <v>971</v>
      </c>
      <c r="K205" s="1" t="s">
        <v>1367</v>
      </c>
      <c r="L205" s="1" t="s">
        <v>69</v>
      </c>
      <c r="M205" s="1" t="s">
        <v>69</v>
      </c>
      <c r="N205" s="1" t="s">
        <v>69</v>
      </c>
      <c r="O205" s="1" t="s">
        <v>69</v>
      </c>
      <c r="P205" s="1" t="s">
        <v>106</v>
      </c>
      <c r="Q205" s="1" t="s">
        <v>292</v>
      </c>
      <c r="R205" s="1" t="s">
        <v>2466</v>
      </c>
      <c r="S205" s="1">
        <v>19</v>
      </c>
      <c r="T205" s="1" t="s">
        <v>131</v>
      </c>
      <c r="U205" s="1" t="s">
        <v>73</v>
      </c>
      <c r="V205" s="1" t="s">
        <v>94</v>
      </c>
      <c r="W205" s="1" t="s">
        <v>95</v>
      </c>
      <c r="X205" s="1">
        <v>6</v>
      </c>
      <c r="Y205" s="1">
        <v>6</v>
      </c>
      <c r="Z205" s="1" t="s">
        <v>83</v>
      </c>
      <c r="AA205" s="1">
        <v>6</v>
      </c>
      <c r="AB205" s="1">
        <v>6</v>
      </c>
      <c r="AC205" s="1" t="s">
        <v>83</v>
      </c>
      <c r="AD205" s="1">
        <v>5</v>
      </c>
      <c r="AE205" s="1">
        <v>5</v>
      </c>
      <c r="AF205" s="1" t="s">
        <v>83</v>
      </c>
      <c r="AG205" s="1">
        <v>6</v>
      </c>
      <c r="AH205" s="1">
        <v>6</v>
      </c>
      <c r="AI205" s="1" t="s">
        <v>83</v>
      </c>
      <c r="AJ205" s="1">
        <v>6</v>
      </c>
      <c r="AK205" s="1">
        <v>6</v>
      </c>
      <c r="AL205" s="1" t="s">
        <v>83</v>
      </c>
      <c r="AM205" s="1">
        <v>6</v>
      </c>
      <c r="AN205" s="1">
        <v>6</v>
      </c>
      <c r="AO205" s="1" t="s">
        <v>83</v>
      </c>
      <c r="AP205" s="1">
        <v>6</v>
      </c>
      <c r="AQ205" s="1">
        <v>6</v>
      </c>
      <c r="AR205" s="1" t="s">
        <v>83</v>
      </c>
      <c r="AS205" s="1">
        <v>6</v>
      </c>
      <c r="AT205" s="1">
        <v>6</v>
      </c>
      <c r="AU205" s="1" t="s">
        <v>83</v>
      </c>
      <c r="AV205" s="1">
        <v>5</v>
      </c>
      <c r="AW205" s="1">
        <v>5</v>
      </c>
      <c r="AX205" s="1" t="s">
        <v>83</v>
      </c>
      <c r="AY205" s="1">
        <v>0</v>
      </c>
      <c r="AZ205" s="1">
        <v>0</v>
      </c>
      <c r="BA205" s="1">
        <v>0</v>
      </c>
      <c r="BB205" s="1" t="s">
        <v>76</v>
      </c>
      <c r="BC205" s="1">
        <v>2</v>
      </c>
      <c r="BD205" s="1" t="s">
        <v>682</v>
      </c>
      <c r="BE205" s="1" t="s">
        <v>1368</v>
      </c>
      <c r="BF205" s="1" t="s">
        <v>248</v>
      </c>
      <c r="BG205" s="1" t="s">
        <v>83</v>
      </c>
    </row>
    <row r="206" spans="1:59" x14ac:dyDescent="0.35">
      <c r="A206" s="1">
        <v>205</v>
      </c>
      <c r="B206" s="1">
        <v>45841.540439814817</v>
      </c>
      <c r="C206" s="1" t="s">
        <v>1369</v>
      </c>
      <c r="D206" s="1" t="s">
        <v>1370</v>
      </c>
      <c r="E206" s="1" t="s">
        <v>1371</v>
      </c>
      <c r="F206" s="1" t="s">
        <v>1372</v>
      </c>
      <c r="G206" s="1" t="s">
        <v>1373</v>
      </c>
      <c r="H206" s="1" t="s">
        <v>657</v>
      </c>
      <c r="I206" s="1" t="s">
        <v>66</v>
      </c>
      <c r="J206" s="1" t="s">
        <v>971</v>
      </c>
      <c r="K206" s="1" t="s">
        <v>1374</v>
      </c>
      <c r="L206" s="1" t="s">
        <v>69</v>
      </c>
      <c r="M206" s="1" t="s">
        <v>69</v>
      </c>
      <c r="N206" s="1" t="s">
        <v>69</v>
      </c>
      <c r="O206" s="1" t="s">
        <v>69</v>
      </c>
      <c r="P206" s="1" t="s">
        <v>70</v>
      </c>
      <c r="Q206" s="1" t="s">
        <v>292</v>
      </c>
      <c r="R206" s="1" t="s">
        <v>2495</v>
      </c>
      <c r="S206" s="1">
        <v>18</v>
      </c>
      <c r="T206" s="1" t="s">
        <v>131</v>
      </c>
      <c r="U206" s="1" t="s">
        <v>73</v>
      </c>
      <c r="V206" s="1" t="s">
        <v>94</v>
      </c>
      <c r="W206" s="1" t="s">
        <v>95</v>
      </c>
      <c r="X206" s="1">
        <v>5</v>
      </c>
      <c r="Y206" s="1">
        <v>6</v>
      </c>
      <c r="Z206" s="1" t="s">
        <v>83</v>
      </c>
      <c r="AA206" s="1">
        <v>6</v>
      </c>
      <c r="AB206" s="1">
        <v>4</v>
      </c>
      <c r="AC206" s="1" t="s">
        <v>83</v>
      </c>
      <c r="AD206" s="1">
        <v>6</v>
      </c>
      <c r="AE206" s="1">
        <v>4</v>
      </c>
      <c r="AF206" s="1" t="s">
        <v>83</v>
      </c>
      <c r="AG206" s="1">
        <v>4</v>
      </c>
      <c r="AH206" s="1">
        <v>5</v>
      </c>
      <c r="AI206" s="1" t="s">
        <v>83</v>
      </c>
      <c r="AJ206" s="1">
        <v>6</v>
      </c>
      <c r="AK206" s="1">
        <v>6</v>
      </c>
      <c r="AL206" s="1" t="s">
        <v>83</v>
      </c>
      <c r="AM206" s="1">
        <v>6</v>
      </c>
      <c r="AN206" s="1">
        <v>6</v>
      </c>
      <c r="AO206" s="1" t="s">
        <v>83</v>
      </c>
      <c r="AP206" s="1">
        <v>6</v>
      </c>
      <c r="AQ206" s="1">
        <v>6</v>
      </c>
      <c r="AR206" s="1" t="s">
        <v>83</v>
      </c>
      <c r="AS206" s="1">
        <v>6</v>
      </c>
      <c r="AT206" s="1">
        <v>6</v>
      </c>
      <c r="AU206" s="1" t="s">
        <v>83</v>
      </c>
      <c r="AV206" s="1">
        <v>5</v>
      </c>
      <c r="AW206" s="1">
        <v>5</v>
      </c>
      <c r="AX206" s="1" t="s">
        <v>83</v>
      </c>
      <c r="AY206" s="1">
        <v>0</v>
      </c>
      <c r="AZ206" s="1">
        <v>0</v>
      </c>
      <c r="BA206" s="1">
        <v>0</v>
      </c>
      <c r="BB206" s="1" t="s">
        <v>76</v>
      </c>
      <c r="BC206" s="1">
        <v>2</v>
      </c>
      <c r="BD206" s="1" t="s">
        <v>624</v>
      </c>
      <c r="BE206" s="1" t="s">
        <v>624</v>
      </c>
      <c r="BF206" s="1" t="s">
        <v>624</v>
      </c>
      <c r="BG206" s="1" t="s">
        <v>83</v>
      </c>
    </row>
    <row r="207" spans="1:59" x14ac:dyDescent="0.35">
      <c r="A207" s="1">
        <v>206</v>
      </c>
      <c r="B207" s="1">
        <v>45841.547013888892</v>
      </c>
      <c r="C207" s="1" t="s">
        <v>1375</v>
      </c>
      <c r="D207" s="1" t="s">
        <v>1376</v>
      </c>
      <c r="E207" s="1" t="s">
        <v>63</v>
      </c>
      <c r="F207" s="1" t="s">
        <v>125</v>
      </c>
      <c r="G207" s="1" t="s">
        <v>1377</v>
      </c>
      <c r="H207" s="1" t="s">
        <v>657</v>
      </c>
      <c r="I207" s="1" t="s">
        <v>66</v>
      </c>
      <c r="J207" s="1" t="s">
        <v>971</v>
      </c>
      <c r="K207" s="1" t="s">
        <v>1378</v>
      </c>
      <c r="L207" s="1" t="s">
        <v>69</v>
      </c>
      <c r="M207" s="1" t="s">
        <v>69</v>
      </c>
      <c r="N207" s="1" t="s">
        <v>69</v>
      </c>
      <c r="O207" s="1" t="s">
        <v>69</v>
      </c>
      <c r="P207" s="1" t="s">
        <v>106</v>
      </c>
      <c r="Q207" s="1" t="s">
        <v>292</v>
      </c>
      <c r="R207" s="1" t="s">
        <v>2445</v>
      </c>
      <c r="S207" s="1">
        <v>22</v>
      </c>
      <c r="T207" s="1" t="s">
        <v>72</v>
      </c>
      <c r="U207" s="1" t="s">
        <v>73</v>
      </c>
      <c r="V207" s="1" t="s">
        <v>74</v>
      </c>
      <c r="W207" s="1" t="s">
        <v>74</v>
      </c>
      <c r="X207" s="1">
        <v>5</v>
      </c>
      <c r="Y207" s="1">
        <v>6</v>
      </c>
      <c r="Z207" s="1" t="s">
        <v>83</v>
      </c>
      <c r="AA207" s="1">
        <v>6</v>
      </c>
      <c r="AB207" s="1">
        <v>6</v>
      </c>
      <c r="AC207" s="1" t="s">
        <v>83</v>
      </c>
      <c r="AD207" s="1">
        <v>5</v>
      </c>
      <c r="AE207" s="1">
        <v>5</v>
      </c>
      <c r="AF207" s="1" t="s">
        <v>83</v>
      </c>
      <c r="AG207" s="1">
        <v>5</v>
      </c>
      <c r="AH207" s="1">
        <v>5</v>
      </c>
      <c r="AI207" s="1" t="s">
        <v>83</v>
      </c>
      <c r="AJ207" s="1">
        <v>6</v>
      </c>
      <c r="AK207" s="1">
        <v>6</v>
      </c>
      <c r="AL207" s="1" t="s">
        <v>83</v>
      </c>
      <c r="AM207" s="1">
        <v>6</v>
      </c>
      <c r="AN207" s="1">
        <v>6</v>
      </c>
      <c r="AO207" s="1" t="s">
        <v>83</v>
      </c>
      <c r="AP207" s="1">
        <v>6</v>
      </c>
      <c r="AQ207" s="1">
        <v>6</v>
      </c>
      <c r="AR207" s="1" t="s">
        <v>83</v>
      </c>
      <c r="AS207" s="1">
        <v>6</v>
      </c>
      <c r="AT207" s="1">
        <v>6</v>
      </c>
      <c r="AU207" s="1" t="s">
        <v>83</v>
      </c>
      <c r="AV207" s="1">
        <v>6</v>
      </c>
      <c r="AW207" s="1">
        <v>6</v>
      </c>
      <c r="AX207" s="1" t="s">
        <v>83</v>
      </c>
      <c r="AY207" s="1">
        <v>1</v>
      </c>
      <c r="AZ207" s="1">
        <v>2</v>
      </c>
      <c r="BA207" s="1">
        <v>0</v>
      </c>
      <c r="BB207" s="1" t="s">
        <v>83</v>
      </c>
      <c r="BC207" s="1">
        <v>0</v>
      </c>
      <c r="BD207" s="1" t="s">
        <v>624</v>
      </c>
      <c r="BE207" s="1" t="s">
        <v>1379</v>
      </c>
      <c r="BF207" s="1" t="s">
        <v>248</v>
      </c>
      <c r="BG207" s="1" t="s">
        <v>83</v>
      </c>
    </row>
    <row r="208" spans="1:59" x14ac:dyDescent="0.35">
      <c r="A208" s="1">
        <v>207</v>
      </c>
      <c r="B208" s="1">
        <v>45841.555706018517</v>
      </c>
      <c r="C208" s="1" t="s">
        <v>1380</v>
      </c>
      <c r="D208" s="1" t="s">
        <v>1381</v>
      </c>
      <c r="E208" s="1" t="s">
        <v>466</v>
      </c>
      <c r="F208" s="1" t="s">
        <v>63</v>
      </c>
      <c r="G208" s="1" t="s">
        <v>1382</v>
      </c>
      <c r="H208" s="1" t="s">
        <v>657</v>
      </c>
      <c r="I208" s="1" t="s">
        <v>66</v>
      </c>
      <c r="J208" s="1" t="s">
        <v>971</v>
      </c>
      <c r="K208" s="1" t="s">
        <v>1383</v>
      </c>
      <c r="L208" s="1" t="s">
        <v>69</v>
      </c>
      <c r="M208" s="1" t="s">
        <v>69</v>
      </c>
      <c r="N208" s="1" t="s">
        <v>69</v>
      </c>
      <c r="O208" s="1" t="s">
        <v>69</v>
      </c>
      <c r="P208" s="1" t="s">
        <v>70</v>
      </c>
      <c r="Q208" s="1" t="s">
        <v>271</v>
      </c>
      <c r="R208" s="1" t="s">
        <v>2496</v>
      </c>
      <c r="S208" s="1">
        <v>23</v>
      </c>
      <c r="T208" s="1" t="s">
        <v>72</v>
      </c>
      <c r="U208" s="1" t="s">
        <v>93</v>
      </c>
      <c r="V208" s="1" t="s">
        <v>133</v>
      </c>
      <c r="W208" s="1" t="s">
        <v>133</v>
      </c>
      <c r="X208" s="1">
        <v>5</v>
      </c>
      <c r="Y208" s="1">
        <v>5</v>
      </c>
      <c r="Z208" s="1" t="s">
        <v>83</v>
      </c>
      <c r="AA208" s="1">
        <v>5</v>
      </c>
      <c r="AB208" s="1">
        <v>6</v>
      </c>
      <c r="AC208" s="1" t="s">
        <v>83</v>
      </c>
      <c r="AD208" s="1">
        <v>5</v>
      </c>
      <c r="AE208" s="1">
        <v>5</v>
      </c>
      <c r="AF208" s="1" t="s">
        <v>83</v>
      </c>
      <c r="AG208" s="1">
        <v>5</v>
      </c>
      <c r="AH208" s="1">
        <v>5</v>
      </c>
      <c r="AI208" s="1" t="s">
        <v>83</v>
      </c>
      <c r="AJ208" s="1">
        <v>5</v>
      </c>
      <c r="AK208" s="1">
        <v>5</v>
      </c>
      <c r="AL208" s="1" t="s">
        <v>83</v>
      </c>
      <c r="AM208" s="1">
        <v>6</v>
      </c>
      <c r="AN208" s="1">
        <v>5</v>
      </c>
      <c r="AO208" s="1" t="s">
        <v>83</v>
      </c>
      <c r="AP208" s="1">
        <v>6</v>
      </c>
      <c r="AQ208" s="1">
        <v>6</v>
      </c>
      <c r="AR208" s="1" t="s">
        <v>83</v>
      </c>
      <c r="AS208" s="1">
        <v>5</v>
      </c>
      <c r="AT208" s="1">
        <v>5</v>
      </c>
      <c r="AU208" s="1" t="s">
        <v>83</v>
      </c>
      <c r="AV208" s="1">
        <v>6</v>
      </c>
      <c r="AW208" s="1">
        <v>6</v>
      </c>
      <c r="AX208" s="1" t="s">
        <v>83</v>
      </c>
      <c r="AY208" s="1">
        <v>2</v>
      </c>
      <c r="AZ208" s="1">
        <v>0</v>
      </c>
      <c r="BA208" s="1">
        <v>0</v>
      </c>
      <c r="BB208" s="1" t="s">
        <v>83</v>
      </c>
      <c r="BC208" s="1">
        <v>0</v>
      </c>
      <c r="BD208" s="1" t="s">
        <v>248</v>
      </c>
      <c r="BE208" s="1" t="s">
        <v>1384</v>
      </c>
      <c r="BF208" s="1" t="s">
        <v>248</v>
      </c>
      <c r="BG208" s="1" t="s">
        <v>83</v>
      </c>
    </row>
    <row r="209" spans="1:59" x14ac:dyDescent="0.35">
      <c r="A209" s="1">
        <v>208</v>
      </c>
      <c r="B209" s="1">
        <v>45841.556296296294</v>
      </c>
      <c r="C209" s="1" t="s">
        <v>1385</v>
      </c>
      <c r="D209" s="1" t="s">
        <v>1386</v>
      </c>
      <c r="E209" s="1" t="s">
        <v>63</v>
      </c>
      <c r="F209" s="1" t="s">
        <v>86</v>
      </c>
      <c r="G209" s="1" t="s">
        <v>1387</v>
      </c>
      <c r="H209" s="1" t="s">
        <v>981</v>
      </c>
      <c r="I209" s="1" t="s">
        <v>982</v>
      </c>
      <c r="J209" s="1" t="s">
        <v>1388</v>
      </c>
      <c r="K209" s="1" t="s">
        <v>1389</v>
      </c>
      <c r="L209" s="1" t="s">
        <v>69</v>
      </c>
      <c r="M209" s="1" t="s">
        <v>69</v>
      </c>
      <c r="N209" s="1" t="s">
        <v>69</v>
      </c>
      <c r="O209" s="1" t="s">
        <v>69</v>
      </c>
      <c r="P209" s="1" t="s">
        <v>70</v>
      </c>
      <c r="Q209" s="1" t="s">
        <v>107</v>
      </c>
      <c r="R209" s="1" t="s">
        <v>868</v>
      </c>
      <c r="S209" s="1">
        <v>33</v>
      </c>
      <c r="T209" s="1" t="s">
        <v>109</v>
      </c>
      <c r="U209" s="1" t="s">
        <v>1343</v>
      </c>
      <c r="V209" s="1" t="s">
        <v>1007</v>
      </c>
      <c r="W209" s="1" t="s">
        <v>143</v>
      </c>
      <c r="X209" s="1">
        <v>6</v>
      </c>
      <c r="Y209" s="1">
        <v>6</v>
      </c>
      <c r="Z209" s="1" t="s">
        <v>83</v>
      </c>
      <c r="AA209" s="1">
        <v>6</v>
      </c>
      <c r="AB209" s="1">
        <v>6</v>
      </c>
      <c r="AC209" s="1" t="s">
        <v>83</v>
      </c>
      <c r="AD209" s="1">
        <v>6</v>
      </c>
      <c r="AE209" s="1">
        <v>6</v>
      </c>
      <c r="AF209" s="1" t="s">
        <v>83</v>
      </c>
      <c r="AG209" s="1">
        <v>0</v>
      </c>
      <c r="AH209" s="1">
        <v>0</v>
      </c>
      <c r="AI209" s="1" t="s">
        <v>83</v>
      </c>
      <c r="AJ209" s="1">
        <v>6</v>
      </c>
      <c r="AK209" s="1">
        <v>6</v>
      </c>
      <c r="AL209" s="1" t="s">
        <v>83</v>
      </c>
      <c r="AM209" s="1">
        <v>6</v>
      </c>
      <c r="AN209" s="1">
        <v>6</v>
      </c>
      <c r="AO209" s="1" t="s">
        <v>83</v>
      </c>
      <c r="AP209" s="1">
        <v>6</v>
      </c>
      <c r="AQ209" s="1">
        <v>6</v>
      </c>
      <c r="AR209" s="1" t="s">
        <v>83</v>
      </c>
      <c r="AS209" s="1">
        <v>6</v>
      </c>
      <c r="AT209" s="1">
        <v>6</v>
      </c>
      <c r="AU209" s="1" t="s">
        <v>83</v>
      </c>
      <c r="AV209" s="1">
        <v>6</v>
      </c>
      <c r="AW209" s="1">
        <v>6</v>
      </c>
      <c r="AX209" s="1" t="s">
        <v>83</v>
      </c>
      <c r="AY209" s="1">
        <v>0</v>
      </c>
      <c r="AZ209" s="1">
        <v>0</v>
      </c>
      <c r="BA209" s="1">
        <v>0</v>
      </c>
      <c r="BB209" s="1" t="s">
        <v>1390</v>
      </c>
      <c r="BC209" s="1">
        <v>1</v>
      </c>
      <c r="BD209" s="1" t="s">
        <v>278</v>
      </c>
      <c r="BE209" s="1" t="s">
        <v>985</v>
      </c>
      <c r="BF209" s="1" t="s">
        <v>985</v>
      </c>
      <c r="BG209" s="1" t="s">
        <v>83</v>
      </c>
    </row>
    <row r="210" spans="1:59" x14ac:dyDescent="0.35">
      <c r="A210" s="1">
        <v>209</v>
      </c>
      <c r="B210" s="1">
        <v>45841.559074074074</v>
      </c>
      <c r="C210" s="1" t="s">
        <v>1391</v>
      </c>
      <c r="D210" s="1" t="s">
        <v>1392</v>
      </c>
      <c r="E210" s="1" t="s">
        <v>63</v>
      </c>
      <c r="F210" s="1" t="s">
        <v>125</v>
      </c>
      <c r="G210" s="1" t="s">
        <v>1393</v>
      </c>
      <c r="H210" s="1" t="s">
        <v>657</v>
      </c>
      <c r="I210" s="1" t="s">
        <v>66</v>
      </c>
      <c r="J210" s="1" t="s">
        <v>971</v>
      </c>
      <c r="K210" s="1" t="s">
        <v>1394</v>
      </c>
      <c r="L210" s="1" t="s">
        <v>69</v>
      </c>
      <c r="M210" s="1" t="s">
        <v>69</v>
      </c>
      <c r="N210" s="1" t="s">
        <v>69</v>
      </c>
      <c r="O210" s="1" t="s">
        <v>69</v>
      </c>
      <c r="P210" s="1" t="s">
        <v>106</v>
      </c>
      <c r="Q210" s="1" t="s">
        <v>271</v>
      </c>
      <c r="R210" s="1" t="s">
        <v>2434</v>
      </c>
      <c r="S210" s="1">
        <v>23</v>
      </c>
      <c r="T210" s="1" t="s">
        <v>72</v>
      </c>
      <c r="U210" s="1" t="s">
        <v>73</v>
      </c>
      <c r="V210" s="1" t="s">
        <v>74</v>
      </c>
      <c r="W210" s="1" t="s">
        <v>74</v>
      </c>
      <c r="X210" s="1">
        <v>5</v>
      </c>
      <c r="Y210" s="1">
        <v>5</v>
      </c>
      <c r="Z210" s="1" t="s">
        <v>83</v>
      </c>
      <c r="AA210" s="1">
        <v>4</v>
      </c>
      <c r="AB210" s="1">
        <v>5</v>
      </c>
      <c r="AC210" s="1" t="s">
        <v>83</v>
      </c>
      <c r="AD210" s="1">
        <v>5</v>
      </c>
      <c r="AE210" s="1">
        <v>5</v>
      </c>
      <c r="AF210" s="1" t="s">
        <v>83</v>
      </c>
      <c r="AG210" s="1">
        <v>5</v>
      </c>
      <c r="AH210" s="1">
        <v>5</v>
      </c>
      <c r="AI210" s="1" t="s">
        <v>83</v>
      </c>
      <c r="AJ210" s="1">
        <v>5</v>
      </c>
      <c r="AK210" s="1">
        <v>5</v>
      </c>
      <c r="AL210" s="1" t="s">
        <v>83</v>
      </c>
      <c r="AM210" s="1">
        <v>5</v>
      </c>
      <c r="AN210" s="1">
        <v>5</v>
      </c>
      <c r="AO210" s="1" t="s">
        <v>83</v>
      </c>
      <c r="AP210" s="1">
        <v>5</v>
      </c>
      <c r="AQ210" s="1">
        <v>5</v>
      </c>
      <c r="AR210" s="1" t="s">
        <v>83</v>
      </c>
      <c r="AS210" s="1">
        <v>5</v>
      </c>
      <c r="AT210" s="1">
        <v>5</v>
      </c>
      <c r="AU210" s="1" t="s">
        <v>83</v>
      </c>
      <c r="AV210" s="1">
        <v>5</v>
      </c>
      <c r="AW210" s="1">
        <v>5</v>
      </c>
      <c r="AX210" s="1" t="s">
        <v>83</v>
      </c>
      <c r="AY210" s="1">
        <v>1</v>
      </c>
      <c r="AZ210" s="1">
        <v>0</v>
      </c>
      <c r="BA210" s="1">
        <v>0</v>
      </c>
      <c r="BB210" s="1" t="s">
        <v>83</v>
      </c>
      <c r="BC210" s="1">
        <v>0</v>
      </c>
      <c r="BD210" s="1" t="s">
        <v>442</v>
      </c>
      <c r="BE210" s="1" t="s">
        <v>1305</v>
      </c>
      <c r="BF210" s="1" t="s">
        <v>248</v>
      </c>
      <c r="BG210" s="1" t="s">
        <v>83</v>
      </c>
    </row>
    <row r="211" spans="1:59" x14ac:dyDescent="0.35">
      <c r="A211" s="1">
        <v>210</v>
      </c>
      <c r="B211" s="1">
        <v>45841.56050925926</v>
      </c>
      <c r="C211" s="1" t="s">
        <v>1395</v>
      </c>
      <c r="D211" s="1" t="s">
        <v>1396</v>
      </c>
      <c r="E211" s="1" t="s">
        <v>63</v>
      </c>
      <c r="F211" s="1" t="s">
        <v>63</v>
      </c>
      <c r="G211" s="1" t="s">
        <v>1397</v>
      </c>
      <c r="H211" s="1" t="s">
        <v>981</v>
      </c>
      <c r="I211" s="1" t="s">
        <v>982</v>
      </c>
      <c r="J211" s="1" t="s">
        <v>1398</v>
      </c>
      <c r="K211" s="1" t="s">
        <v>1399</v>
      </c>
      <c r="L211" s="1" t="s">
        <v>69</v>
      </c>
      <c r="M211" s="1" t="s">
        <v>69</v>
      </c>
      <c r="N211" s="1" t="s">
        <v>69</v>
      </c>
      <c r="O211" s="1" t="s">
        <v>69</v>
      </c>
      <c r="P211" s="1" t="s">
        <v>70</v>
      </c>
      <c r="Q211" s="1" t="s">
        <v>107</v>
      </c>
      <c r="R211" s="1" t="s">
        <v>561</v>
      </c>
      <c r="S211" s="1">
        <v>45</v>
      </c>
      <c r="T211" s="1" t="s">
        <v>197</v>
      </c>
      <c r="U211" s="1" t="s">
        <v>273</v>
      </c>
      <c r="V211" s="1" t="s">
        <v>232</v>
      </c>
      <c r="W211" s="1" t="s">
        <v>232</v>
      </c>
      <c r="X211" s="1">
        <v>6</v>
      </c>
      <c r="Y211" s="1">
        <v>6</v>
      </c>
      <c r="Z211" s="1" t="s">
        <v>83</v>
      </c>
      <c r="AA211" s="1">
        <v>6</v>
      </c>
      <c r="AB211" s="1">
        <v>6</v>
      </c>
      <c r="AC211" s="1" t="s">
        <v>83</v>
      </c>
      <c r="AD211" s="1">
        <v>6</v>
      </c>
      <c r="AE211" s="1">
        <v>6</v>
      </c>
      <c r="AF211" s="1" t="s">
        <v>83</v>
      </c>
      <c r="AG211" s="1">
        <v>0</v>
      </c>
      <c r="AH211" s="1">
        <v>0</v>
      </c>
      <c r="AI211" s="1" t="s">
        <v>83</v>
      </c>
      <c r="AJ211" s="1">
        <v>6</v>
      </c>
      <c r="AK211" s="1">
        <v>6</v>
      </c>
      <c r="AL211" s="1" t="s">
        <v>83</v>
      </c>
      <c r="AM211" s="1">
        <v>6</v>
      </c>
      <c r="AN211" s="1">
        <v>6</v>
      </c>
      <c r="AO211" s="1" t="s">
        <v>83</v>
      </c>
      <c r="AP211" s="1">
        <v>6</v>
      </c>
      <c r="AQ211" s="1">
        <v>6</v>
      </c>
      <c r="AR211" s="1" t="s">
        <v>83</v>
      </c>
      <c r="AS211" s="1">
        <v>6</v>
      </c>
      <c r="AT211" s="1">
        <v>6</v>
      </c>
      <c r="AU211" s="1" t="s">
        <v>83</v>
      </c>
      <c r="AV211" s="1">
        <v>6</v>
      </c>
      <c r="AW211" s="1">
        <v>6</v>
      </c>
      <c r="AX211" s="1" t="s">
        <v>83</v>
      </c>
      <c r="AY211" s="1">
        <v>0</v>
      </c>
      <c r="AZ211" s="1">
        <v>0</v>
      </c>
      <c r="BA211" s="1">
        <v>0</v>
      </c>
      <c r="BB211" s="1" t="s">
        <v>144</v>
      </c>
      <c r="BC211" s="1">
        <v>1</v>
      </c>
      <c r="BD211" s="1" t="s">
        <v>985</v>
      </c>
      <c r="BE211" s="1" t="s">
        <v>985</v>
      </c>
      <c r="BF211" s="1" t="s">
        <v>985</v>
      </c>
      <c r="BG211" s="1" t="s">
        <v>83</v>
      </c>
    </row>
    <row r="212" spans="1:59" x14ac:dyDescent="0.35">
      <c r="A212" s="1">
        <v>211</v>
      </c>
      <c r="B212" s="1">
        <v>45841.564513888887</v>
      </c>
      <c r="C212" s="1" t="s">
        <v>1400</v>
      </c>
      <c r="D212" s="1" t="s">
        <v>1401</v>
      </c>
      <c r="E212" s="1" t="s">
        <v>63</v>
      </c>
      <c r="F212" s="1" t="s">
        <v>1402</v>
      </c>
      <c r="G212" s="1" t="s">
        <v>1403</v>
      </c>
      <c r="H212" s="1" t="s">
        <v>981</v>
      </c>
      <c r="I212" s="1" t="s">
        <v>1404</v>
      </c>
      <c r="J212" s="1" t="s">
        <v>1388</v>
      </c>
      <c r="K212" s="1" t="s">
        <v>1116</v>
      </c>
      <c r="L212" s="1" t="s">
        <v>69</v>
      </c>
      <c r="M212" s="1" t="s">
        <v>69</v>
      </c>
      <c r="N212" s="1" t="s">
        <v>69</v>
      </c>
      <c r="O212" s="1" t="s">
        <v>69</v>
      </c>
      <c r="P212" s="1" t="s">
        <v>106</v>
      </c>
      <c r="Q212" s="1" t="s">
        <v>107</v>
      </c>
      <c r="R212" s="1" t="s">
        <v>1045</v>
      </c>
      <c r="S212" s="1">
        <v>29</v>
      </c>
      <c r="T212" s="1" t="s">
        <v>92</v>
      </c>
      <c r="U212" s="1" t="s">
        <v>93</v>
      </c>
      <c r="V212" s="1" t="s">
        <v>110</v>
      </c>
      <c r="W212" s="1" t="s">
        <v>110</v>
      </c>
      <c r="X212" s="1">
        <v>6</v>
      </c>
      <c r="Y212" s="1">
        <v>6</v>
      </c>
      <c r="Z212" s="1" t="s">
        <v>83</v>
      </c>
      <c r="AA212" s="1">
        <v>6</v>
      </c>
      <c r="AB212" s="1">
        <v>6</v>
      </c>
      <c r="AC212" s="1" t="s">
        <v>83</v>
      </c>
      <c r="AD212" s="1">
        <v>6</v>
      </c>
      <c r="AE212" s="1">
        <v>6</v>
      </c>
      <c r="AF212" s="1" t="s">
        <v>83</v>
      </c>
      <c r="AG212" s="1">
        <v>0</v>
      </c>
      <c r="AH212" s="1">
        <v>0</v>
      </c>
      <c r="AI212" s="1" t="s">
        <v>83</v>
      </c>
      <c r="AJ212" s="1">
        <v>6</v>
      </c>
      <c r="AK212" s="1">
        <v>6</v>
      </c>
      <c r="AL212" s="1" t="s">
        <v>83</v>
      </c>
      <c r="AM212" s="1">
        <v>6</v>
      </c>
      <c r="AN212" s="1">
        <v>6</v>
      </c>
      <c r="AO212" s="1" t="s">
        <v>83</v>
      </c>
      <c r="AP212" s="1">
        <v>6</v>
      </c>
      <c r="AQ212" s="1">
        <v>6</v>
      </c>
      <c r="AR212" s="1" t="s">
        <v>83</v>
      </c>
      <c r="AS212" s="1">
        <v>6</v>
      </c>
      <c r="AT212" s="1">
        <v>6</v>
      </c>
      <c r="AU212" s="1" t="s">
        <v>83</v>
      </c>
      <c r="AV212" s="1">
        <v>6</v>
      </c>
      <c r="AW212" s="1">
        <v>6</v>
      </c>
      <c r="AX212" s="1" t="s">
        <v>83</v>
      </c>
      <c r="AY212" s="1">
        <v>0</v>
      </c>
      <c r="AZ212" s="1">
        <v>0</v>
      </c>
      <c r="BA212" s="1">
        <v>0</v>
      </c>
      <c r="BB212" s="1" t="s">
        <v>1405</v>
      </c>
      <c r="BC212" s="1">
        <v>1</v>
      </c>
      <c r="BD212" s="1" t="s">
        <v>985</v>
      </c>
      <c r="BE212" s="1" t="s">
        <v>985</v>
      </c>
      <c r="BF212" s="1" t="s">
        <v>1406</v>
      </c>
      <c r="BG212" s="1" t="s">
        <v>83</v>
      </c>
    </row>
    <row r="213" spans="1:59" x14ac:dyDescent="0.35">
      <c r="A213" s="1">
        <v>212</v>
      </c>
      <c r="B213" s="1">
        <v>45841.566250000003</v>
      </c>
      <c r="C213" s="1" t="s">
        <v>1407</v>
      </c>
      <c r="D213" s="1" t="s">
        <v>1408</v>
      </c>
      <c r="E213" s="1" t="s">
        <v>352</v>
      </c>
      <c r="F213" s="1" t="s">
        <v>1409</v>
      </c>
      <c r="G213" s="1" t="s">
        <v>1410</v>
      </c>
      <c r="H213" s="1" t="s">
        <v>657</v>
      </c>
      <c r="I213" s="1" t="s">
        <v>66</v>
      </c>
      <c r="J213" s="1" t="s">
        <v>989</v>
      </c>
      <c r="K213" s="1" t="s">
        <v>1411</v>
      </c>
      <c r="L213" s="1" t="s">
        <v>69</v>
      </c>
      <c r="M213" s="1" t="s">
        <v>69</v>
      </c>
      <c r="N213" s="1" t="s">
        <v>69</v>
      </c>
      <c r="O213" s="1" t="s">
        <v>69</v>
      </c>
      <c r="P213" s="1" t="s">
        <v>70</v>
      </c>
      <c r="Q213" s="1" t="s">
        <v>271</v>
      </c>
      <c r="R213" s="1" t="s">
        <v>2497</v>
      </c>
      <c r="S213" s="1">
        <v>20</v>
      </c>
      <c r="T213" s="1" t="s">
        <v>131</v>
      </c>
      <c r="U213" s="1" t="s">
        <v>73</v>
      </c>
      <c r="V213" s="1" t="s">
        <v>94</v>
      </c>
      <c r="W213" s="1" t="s">
        <v>95</v>
      </c>
      <c r="X213" s="1">
        <v>6</v>
      </c>
      <c r="Y213" s="1">
        <v>6</v>
      </c>
      <c r="Z213" s="1" t="s">
        <v>83</v>
      </c>
      <c r="AA213" s="1">
        <v>5</v>
      </c>
      <c r="AB213" s="1">
        <v>6</v>
      </c>
      <c r="AC213" s="1" t="s">
        <v>83</v>
      </c>
      <c r="AD213" s="1">
        <v>5</v>
      </c>
      <c r="AE213" s="1">
        <v>6</v>
      </c>
      <c r="AF213" s="1" t="s">
        <v>83</v>
      </c>
      <c r="AG213" s="1">
        <v>6</v>
      </c>
      <c r="AH213" s="1">
        <v>6</v>
      </c>
      <c r="AI213" s="1" t="s">
        <v>83</v>
      </c>
      <c r="AJ213" s="1">
        <v>6</v>
      </c>
      <c r="AK213" s="1">
        <v>6</v>
      </c>
      <c r="AL213" s="1" t="s">
        <v>83</v>
      </c>
      <c r="AM213" s="1">
        <v>6</v>
      </c>
      <c r="AN213" s="1">
        <v>6</v>
      </c>
      <c r="AO213" s="1" t="s">
        <v>83</v>
      </c>
      <c r="AP213" s="1">
        <v>6</v>
      </c>
      <c r="AQ213" s="1">
        <v>6</v>
      </c>
      <c r="AR213" s="1" t="s">
        <v>83</v>
      </c>
      <c r="AS213" s="1">
        <v>6</v>
      </c>
      <c r="AT213" s="1">
        <v>6</v>
      </c>
      <c r="AU213" s="1" t="s">
        <v>83</v>
      </c>
      <c r="AV213" s="1">
        <v>6</v>
      </c>
      <c r="AW213" s="1">
        <v>6</v>
      </c>
      <c r="AX213" s="1" t="s">
        <v>83</v>
      </c>
      <c r="AY213" s="1">
        <v>0</v>
      </c>
      <c r="AZ213" s="1">
        <v>0</v>
      </c>
      <c r="BA213" s="1">
        <v>0</v>
      </c>
      <c r="BB213" s="1" t="s">
        <v>532</v>
      </c>
      <c r="BC213" s="1">
        <v>1</v>
      </c>
      <c r="BD213" s="1" t="s">
        <v>827</v>
      </c>
      <c r="BE213" s="1" t="s">
        <v>96</v>
      </c>
      <c r="BF213" s="1" t="s">
        <v>96</v>
      </c>
      <c r="BG213" s="1" t="s">
        <v>83</v>
      </c>
    </row>
    <row r="214" spans="1:59" x14ac:dyDescent="0.35">
      <c r="A214" s="1">
        <v>213</v>
      </c>
      <c r="B214" s="1">
        <v>45841.568553240744</v>
      </c>
      <c r="C214" s="1" t="s">
        <v>1412</v>
      </c>
      <c r="D214" s="1" t="s">
        <v>1413</v>
      </c>
      <c r="E214" s="1" t="s">
        <v>63</v>
      </c>
      <c r="F214" s="1" t="s">
        <v>63</v>
      </c>
      <c r="G214" s="1" t="s">
        <v>1414</v>
      </c>
      <c r="H214" s="1" t="s">
        <v>981</v>
      </c>
      <c r="I214" s="1" t="s">
        <v>982</v>
      </c>
      <c r="J214" s="1" t="s">
        <v>1388</v>
      </c>
      <c r="K214" s="1" t="s">
        <v>867</v>
      </c>
      <c r="L214" s="1" t="s">
        <v>69</v>
      </c>
      <c r="M214" s="1" t="s">
        <v>69</v>
      </c>
      <c r="N214" s="1" t="s">
        <v>69</v>
      </c>
      <c r="O214" s="1" t="s">
        <v>69</v>
      </c>
      <c r="P214" s="1" t="s">
        <v>70</v>
      </c>
      <c r="Q214" s="1" t="s">
        <v>107</v>
      </c>
      <c r="R214" s="1" t="s">
        <v>1342</v>
      </c>
      <c r="S214" s="1">
        <v>30</v>
      </c>
      <c r="T214" s="1" t="s">
        <v>92</v>
      </c>
      <c r="U214" s="1" t="s">
        <v>73</v>
      </c>
      <c r="V214" s="1" t="s">
        <v>110</v>
      </c>
      <c r="W214" s="1" t="s">
        <v>110</v>
      </c>
      <c r="X214" s="1">
        <v>6</v>
      </c>
      <c r="Y214" s="1">
        <v>6</v>
      </c>
      <c r="Z214" s="1" t="s">
        <v>83</v>
      </c>
      <c r="AA214" s="1">
        <v>6</v>
      </c>
      <c r="AB214" s="1">
        <v>6</v>
      </c>
      <c r="AC214" s="1" t="s">
        <v>83</v>
      </c>
      <c r="AD214" s="1">
        <v>6</v>
      </c>
      <c r="AE214" s="1">
        <v>6</v>
      </c>
      <c r="AF214" s="1" t="s">
        <v>83</v>
      </c>
      <c r="AG214" s="1">
        <v>0</v>
      </c>
      <c r="AH214" s="1">
        <v>0</v>
      </c>
      <c r="AI214" s="1" t="s">
        <v>83</v>
      </c>
      <c r="AJ214" s="1">
        <v>6</v>
      </c>
      <c r="AK214" s="1">
        <v>6</v>
      </c>
      <c r="AL214" s="1" t="s">
        <v>83</v>
      </c>
      <c r="AM214" s="1">
        <v>6</v>
      </c>
      <c r="AN214" s="1">
        <v>6</v>
      </c>
      <c r="AO214" s="1" t="s">
        <v>83</v>
      </c>
      <c r="AP214" s="1">
        <v>6</v>
      </c>
      <c r="AQ214" s="1">
        <v>6</v>
      </c>
      <c r="AR214" s="1" t="s">
        <v>83</v>
      </c>
      <c r="AS214" s="1">
        <v>6</v>
      </c>
      <c r="AT214" s="1">
        <v>6</v>
      </c>
      <c r="AU214" s="1" t="s">
        <v>83</v>
      </c>
      <c r="AV214" s="1">
        <v>5</v>
      </c>
      <c r="AW214" s="1">
        <v>6</v>
      </c>
      <c r="AX214" s="1" t="s">
        <v>83</v>
      </c>
      <c r="AY214" s="1">
        <v>0</v>
      </c>
      <c r="AZ214" s="1">
        <v>0</v>
      </c>
      <c r="BA214" s="1">
        <v>1</v>
      </c>
      <c r="BB214" s="1" t="s">
        <v>83</v>
      </c>
      <c r="BC214" s="1">
        <v>0</v>
      </c>
      <c r="BD214" s="1" t="s">
        <v>985</v>
      </c>
      <c r="BE214" s="1" t="s">
        <v>985</v>
      </c>
      <c r="BF214" s="1" t="s">
        <v>1415</v>
      </c>
      <c r="BG214" s="1" t="s">
        <v>83</v>
      </c>
    </row>
    <row r="215" spans="1:59" x14ac:dyDescent="0.35">
      <c r="A215" s="1">
        <v>214</v>
      </c>
      <c r="B215" s="1">
        <v>45841.572210648148</v>
      </c>
      <c r="C215" s="1" t="s">
        <v>1416</v>
      </c>
      <c r="D215" s="1" t="s">
        <v>1417</v>
      </c>
      <c r="E215" s="1" t="s">
        <v>63</v>
      </c>
      <c r="F215" s="1" t="s">
        <v>63</v>
      </c>
      <c r="G215" s="1" t="s">
        <v>1418</v>
      </c>
      <c r="H215" s="1" t="s">
        <v>981</v>
      </c>
      <c r="I215" s="1" t="s">
        <v>982</v>
      </c>
      <c r="J215" s="1" t="s">
        <v>1419</v>
      </c>
      <c r="K215" s="1" t="s">
        <v>1085</v>
      </c>
      <c r="L215" s="1" t="s">
        <v>69</v>
      </c>
      <c r="M215" s="1" t="s">
        <v>69</v>
      </c>
      <c r="N215" s="1" t="s">
        <v>69</v>
      </c>
      <c r="O215" s="1" t="s">
        <v>69</v>
      </c>
      <c r="P215" s="1" t="s">
        <v>106</v>
      </c>
      <c r="Q215" s="1" t="s">
        <v>107</v>
      </c>
      <c r="R215" s="1" t="s">
        <v>1342</v>
      </c>
      <c r="S215" s="1">
        <v>30</v>
      </c>
      <c r="T215" s="1" t="s">
        <v>92</v>
      </c>
      <c r="U215" s="1" t="s">
        <v>73</v>
      </c>
      <c r="V215" s="1" t="s">
        <v>74</v>
      </c>
      <c r="W215" s="1" t="s">
        <v>74</v>
      </c>
      <c r="X215" s="1">
        <v>6</v>
      </c>
      <c r="Y215" s="1">
        <v>6</v>
      </c>
      <c r="Z215" s="1" t="s">
        <v>83</v>
      </c>
      <c r="AA215" s="1">
        <v>5</v>
      </c>
      <c r="AB215" s="1">
        <v>6</v>
      </c>
      <c r="AC215" s="1" t="s">
        <v>83</v>
      </c>
      <c r="AD215" s="1">
        <v>5</v>
      </c>
      <c r="AE215" s="1">
        <v>6</v>
      </c>
      <c r="AF215" s="1" t="s">
        <v>83</v>
      </c>
      <c r="AG215" s="1">
        <v>0</v>
      </c>
      <c r="AH215" s="1">
        <v>0</v>
      </c>
      <c r="AI215" s="1" t="s">
        <v>83</v>
      </c>
      <c r="AJ215" s="1">
        <v>6</v>
      </c>
      <c r="AK215" s="1">
        <v>6</v>
      </c>
      <c r="AL215" s="1" t="s">
        <v>83</v>
      </c>
      <c r="AM215" s="1">
        <v>6</v>
      </c>
      <c r="AN215" s="1">
        <v>6</v>
      </c>
      <c r="AO215" s="1" t="s">
        <v>83</v>
      </c>
      <c r="AP215" s="1">
        <v>6</v>
      </c>
      <c r="AQ215" s="1">
        <v>6</v>
      </c>
      <c r="AR215" s="1" t="s">
        <v>83</v>
      </c>
      <c r="AS215" s="1">
        <v>6</v>
      </c>
      <c r="AT215" s="1">
        <v>6</v>
      </c>
      <c r="AU215" s="1" t="s">
        <v>83</v>
      </c>
      <c r="AV215" s="1">
        <v>5</v>
      </c>
      <c r="AW215" s="1">
        <v>5</v>
      </c>
      <c r="AX215" s="1" t="s">
        <v>83</v>
      </c>
      <c r="AY215" s="1">
        <v>0</v>
      </c>
      <c r="AZ215" s="1">
        <v>0</v>
      </c>
      <c r="BA215" s="1">
        <v>0</v>
      </c>
      <c r="BB215" s="1" t="s">
        <v>1405</v>
      </c>
      <c r="BC215" s="1">
        <v>1</v>
      </c>
      <c r="BD215" s="1" t="s">
        <v>985</v>
      </c>
      <c r="BE215" s="1" t="s">
        <v>985</v>
      </c>
      <c r="BF215" s="1" t="s">
        <v>1420</v>
      </c>
      <c r="BG215" s="1" t="s">
        <v>83</v>
      </c>
    </row>
    <row r="216" spans="1:59" x14ac:dyDescent="0.35">
      <c r="A216" s="1">
        <v>215</v>
      </c>
      <c r="B216" s="1">
        <v>45841.576655092591</v>
      </c>
      <c r="C216" s="1" t="s">
        <v>1421</v>
      </c>
      <c r="D216" s="1" t="s">
        <v>1422</v>
      </c>
      <c r="E216" s="1" t="s">
        <v>63</v>
      </c>
      <c r="F216" s="1" t="s">
        <v>480</v>
      </c>
      <c r="G216" s="1" t="s">
        <v>1423</v>
      </c>
      <c r="H216" s="1" t="s">
        <v>981</v>
      </c>
      <c r="I216" s="1" t="s">
        <v>982</v>
      </c>
      <c r="J216" s="1" t="s">
        <v>1419</v>
      </c>
      <c r="K216" s="1" t="s">
        <v>1424</v>
      </c>
      <c r="L216" s="1" t="s">
        <v>69</v>
      </c>
      <c r="M216" s="1" t="s">
        <v>69</v>
      </c>
      <c r="N216" s="1" t="s">
        <v>69</v>
      </c>
      <c r="O216" s="1" t="s">
        <v>69</v>
      </c>
      <c r="P216" s="1" t="s">
        <v>106</v>
      </c>
      <c r="Q216" s="1" t="s">
        <v>107</v>
      </c>
      <c r="R216" s="1" t="s">
        <v>1342</v>
      </c>
      <c r="S216" s="1">
        <v>30</v>
      </c>
      <c r="T216" s="1" t="s">
        <v>92</v>
      </c>
      <c r="U216" s="1" t="s">
        <v>93</v>
      </c>
      <c r="V216" s="1" t="s">
        <v>74</v>
      </c>
      <c r="W216" s="1" t="s">
        <v>74</v>
      </c>
      <c r="X216" s="1">
        <v>6</v>
      </c>
      <c r="Y216" s="1">
        <v>6</v>
      </c>
      <c r="Z216" s="1" t="s">
        <v>83</v>
      </c>
      <c r="AA216" s="1">
        <v>6</v>
      </c>
      <c r="AB216" s="1">
        <v>6</v>
      </c>
      <c r="AC216" s="1" t="s">
        <v>83</v>
      </c>
      <c r="AD216" s="1">
        <v>6</v>
      </c>
      <c r="AE216" s="1">
        <v>6</v>
      </c>
      <c r="AF216" s="1" t="s">
        <v>83</v>
      </c>
      <c r="AG216" s="1">
        <v>0</v>
      </c>
      <c r="AH216" s="1">
        <v>0</v>
      </c>
      <c r="AI216" s="1" t="s">
        <v>83</v>
      </c>
      <c r="AJ216" s="1">
        <v>6</v>
      </c>
      <c r="AK216" s="1">
        <v>6</v>
      </c>
      <c r="AL216" s="1" t="s">
        <v>83</v>
      </c>
      <c r="AM216" s="1">
        <v>6</v>
      </c>
      <c r="AN216" s="1">
        <v>6</v>
      </c>
      <c r="AO216" s="1" t="s">
        <v>83</v>
      </c>
      <c r="AP216" s="1">
        <v>6</v>
      </c>
      <c r="AQ216" s="1">
        <v>6</v>
      </c>
      <c r="AR216" s="1" t="s">
        <v>83</v>
      </c>
      <c r="AS216" s="1">
        <v>6</v>
      </c>
      <c r="AT216" s="1">
        <v>6</v>
      </c>
      <c r="AU216" s="1" t="s">
        <v>83</v>
      </c>
      <c r="AV216" s="1">
        <v>6</v>
      </c>
      <c r="AW216" s="1">
        <v>6</v>
      </c>
      <c r="AX216" s="1" t="s">
        <v>83</v>
      </c>
      <c r="AY216" s="1">
        <v>0</v>
      </c>
      <c r="AZ216" s="1">
        <v>0</v>
      </c>
      <c r="BA216" s="1">
        <v>0</v>
      </c>
      <c r="BB216" s="1" t="s">
        <v>1405</v>
      </c>
      <c r="BC216" s="1">
        <v>1</v>
      </c>
      <c r="BD216" s="1" t="s">
        <v>985</v>
      </c>
      <c r="BE216" s="1" t="s">
        <v>985</v>
      </c>
      <c r="BF216" s="1" t="s">
        <v>1425</v>
      </c>
      <c r="BG216" s="1" t="s">
        <v>83</v>
      </c>
    </row>
    <row r="217" spans="1:59" x14ac:dyDescent="0.35">
      <c r="A217" s="1">
        <v>216</v>
      </c>
      <c r="B217" s="1">
        <v>45841.579953703702</v>
      </c>
      <c r="C217" s="1" t="s">
        <v>1426</v>
      </c>
      <c r="D217" s="1" t="s">
        <v>1427</v>
      </c>
      <c r="E217" s="1" t="s">
        <v>63</v>
      </c>
      <c r="F217" s="1" t="s">
        <v>63</v>
      </c>
      <c r="G217" s="1" t="s">
        <v>1428</v>
      </c>
      <c r="H217" s="1" t="s">
        <v>981</v>
      </c>
      <c r="I217" s="1" t="s">
        <v>982</v>
      </c>
      <c r="J217" s="1" t="s">
        <v>1419</v>
      </c>
      <c r="K217" s="1" t="s">
        <v>1107</v>
      </c>
      <c r="L217" s="1" t="s">
        <v>69</v>
      </c>
      <c r="M217" s="1" t="s">
        <v>69</v>
      </c>
      <c r="N217" s="1" t="s">
        <v>69</v>
      </c>
      <c r="O217" s="1" t="s">
        <v>69</v>
      </c>
      <c r="P217" s="1" t="s">
        <v>106</v>
      </c>
      <c r="Q217" s="1" t="s">
        <v>107</v>
      </c>
      <c r="R217" s="1" t="s">
        <v>538</v>
      </c>
      <c r="S217" s="1">
        <v>41</v>
      </c>
      <c r="T217" s="1" t="s">
        <v>197</v>
      </c>
      <c r="U217" s="1" t="s">
        <v>273</v>
      </c>
      <c r="V217" s="1" t="s">
        <v>74</v>
      </c>
      <c r="W217" s="1" t="s">
        <v>74</v>
      </c>
      <c r="X217" s="1">
        <v>6</v>
      </c>
      <c r="Y217" s="1">
        <v>6</v>
      </c>
      <c r="Z217" s="1" t="s">
        <v>83</v>
      </c>
      <c r="AA217" s="1">
        <v>6</v>
      </c>
      <c r="AB217" s="1">
        <v>6</v>
      </c>
      <c r="AC217" s="1" t="s">
        <v>83</v>
      </c>
      <c r="AD217" s="1">
        <v>6</v>
      </c>
      <c r="AE217" s="1">
        <v>6</v>
      </c>
      <c r="AF217" s="1" t="s">
        <v>83</v>
      </c>
      <c r="AG217" s="1">
        <v>0</v>
      </c>
      <c r="AH217" s="1">
        <v>0</v>
      </c>
      <c r="AI217" s="1" t="s">
        <v>83</v>
      </c>
      <c r="AJ217" s="1">
        <v>6</v>
      </c>
      <c r="AK217" s="1">
        <v>6</v>
      </c>
      <c r="AL217" s="1" t="s">
        <v>83</v>
      </c>
      <c r="AM217" s="1">
        <v>6</v>
      </c>
      <c r="AN217" s="1">
        <v>6</v>
      </c>
      <c r="AO217" s="1" t="s">
        <v>83</v>
      </c>
      <c r="AP217" s="1">
        <v>6</v>
      </c>
      <c r="AQ217" s="1">
        <v>6</v>
      </c>
      <c r="AR217" s="1" t="s">
        <v>83</v>
      </c>
      <c r="AS217" s="1">
        <v>6</v>
      </c>
      <c r="AT217" s="1">
        <v>6</v>
      </c>
      <c r="AU217" s="1" t="s">
        <v>83</v>
      </c>
      <c r="AV217" s="1">
        <v>6</v>
      </c>
      <c r="AW217" s="1">
        <v>6</v>
      </c>
      <c r="AX217" s="1" t="s">
        <v>83</v>
      </c>
      <c r="AY217" s="1">
        <v>0</v>
      </c>
      <c r="AZ217" s="1">
        <v>0</v>
      </c>
      <c r="BA217" s="1">
        <v>0</v>
      </c>
      <c r="BB217" s="1" t="s">
        <v>1405</v>
      </c>
      <c r="BC217" s="1">
        <v>1</v>
      </c>
      <c r="BD217" s="1" t="s">
        <v>985</v>
      </c>
      <c r="BE217" s="1" t="s">
        <v>985</v>
      </c>
      <c r="BF217" s="1" t="s">
        <v>985</v>
      </c>
      <c r="BG217" s="1" t="s">
        <v>83</v>
      </c>
    </row>
    <row r="218" spans="1:59" x14ac:dyDescent="0.35">
      <c r="A218" s="1">
        <v>217</v>
      </c>
      <c r="B218" s="1">
        <v>45841.79583333333</v>
      </c>
      <c r="C218" s="1" t="s">
        <v>1429</v>
      </c>
      <c r="D218" s="1" t="s">
        <v>1430</v>
      </c>
      <c r="E218" s="1" t="s">
        <v>63</v>
      </c>
      <c r="F218" s="1" t="s">
        <v>63</v>
      </c>
      <c r="G218" s="1" t="s">
        <v>1431</v>
      </c>
      <c r="H218" s="1" t="s">
        <v>578</v>
      </c>
      <c r="I218" s="1" t="s">
        <v>588</v>
      </c>
      <c r="J218" s="1" t="s">
        <v>1432</v>
      </c>
      <c r="K218" s="1" t="s">
        <v>913</v>
      </c>
      <c r="L218" s="1" t="s">
        <v>69</v>
      </c>
      <c r="M218" s="1" t="s">
        <v>69</v>
      </c>
      <c r="N218" s="1" t="s">
        <v>69</v>
      </c>
      <c r="O218" s="1" t="s">
        <v>69</v>
      </c>
      <c r="P218" s="1" t="s">
        <v>70</v>
      </c>
      <c r="Q218" s="1" t="s">
        <v>271</v>
      </c>
      <c r="R218" s="1" t="s">
        <v>1433</v>
      </c>
      <c r="S218" s="1">
        <v>24</v>
      </c>
      <c r="T218" s="1" t="s">
        <v>72</v>
      </c>
      <c r="U218" s="1" t="s">
        <v>93</v>
      </c>
      <c r="V218" s="1" t="s">
        <v>110</v>
      </c>
      <c r="W218" s="1" t="s">
        <v>110</v>
      </c>
      <c r="X218" s="1">
        <v>6</v>
      </c>
      <c r="Y218" s="1">
        <v>6</v>
      </c>
      <c r="Z218" s="1" t="s">
        <v>83</v>
      </c>
      <c r="AA218" s="1">
        <v>5</v>
      </c>
      <c r="AB218" s="1">
        <v>5</v>
      </c>
      <c r="AC218" s="1" t="s">
        <v>83</v>
      </c>
      <c r="AD218" s="1">
        <v>6</v>
      </c>
      <c r="AE218" s="1">
        <v>6</v>
      </c>
      <c r="AF218" s="1" t="s">
        <v>83</v>
      </c>
      <c r="AG218" s="1">
        <v>6</v>
      </c>
      <c r="AH218" s="1">
        <v>6</v>
      </c>
      <c r="AI218" s="1" t="s">
        <v>83</v>
      </c>
      <c r="AJ218" s="1">
        <v>6</v>
      </c>
      <c r="AK218" s="1">
        <v>6</v>
      </c>
      <c r="AL218" s="1" t="s">
        <v>83</v>
      </c>
      <c r="AM218" s="1">
        <v>6</v>
      </c>
      <c r="AN218" s="1">
        <v>6</v>
      </c>
      <c r="AO218" s="1" t="s">
        <v>83</v>
      </c>
      <c r="AP218" s="1">
        <v>6</v>
      </c>
      <c r="AQ218" s="1">
        <v>6</v>
      </c>
      <c r="AR218" s="1" t="s">
        <v>83</v>
      </c>
      <c r="AS218" s="1">
        <v>6</v>
      </c>
      <c r="AT218" s="1">
        <v>6</v>
      </c>
      <c r="AU218" s="1" t="s">
        <v>83</v>
      </c>
      <c r="AV218" s="1">
        <v>5</v>
      </c>
      <c r="AW218" s="1">
        <v>5</v>
      </c>
      <c r="AX218" s="1" t="s">
        <v>83</v>
      </c>
      <c r="AY218" s="1">
        <v>0</v>
      </c>
      <c r="AZ218" s="1">
        <v>0</v>
      </c>
      <c r="BA218" s="1">
        <v>0</v>
      </c>
      <c r="BB218" s="1" t="s">
        <v>76</v>
      </c>
      <c r="BC218" s="1">
        <v>2</v>
      </c>
      <c r="BD218" s="1" t="s">
        <v>98</v>
      </c>
      <c r="BE218" s="1" t="s">
        <v>98</v>
      </c>
      <c r="BF218" s="1" t="s">
        <v>1434</v>
      </c>
      <c r="BG218" s="1" t="s">
        <v>83</v>
      </c>
    </row>
    <row r="219" spans="1:59" x14ac:dyDescent="0.35">
      <c r="A219" s="1">
        <v>218</v>
      </c>
      <c r="B219" s="1">
        <v>45841.799907407411</v>
      </c>
      <c r="C219" s="1" t="s">
        <v>1435</v>
      </c>
      <c r="D219" s="1" t="s">
        <v>1436</v>
      </c>
      <c r="E219" s="1" t="s">
        <v>63</v>
      </c>
      <c r="F219" s="1" t="s">
        <v>86</v>
      </c>
      <c r="G219" s="1" t="s">
        <v>1437</v>
      </c>
      <c r="H219" s="1" t="s">
        <v>578</v>
      </c>
      <c r="I219" s="1" t="s">
        <v>596</v>
      </c>
      <c r="J219" s="1" t="s">
        <v>1432</v>
      </c>
      <c r="K219" s="1" t="s">
        <v>1438</v>
      </c>
      <c r="L219" s="1" t="s">
        <v>69</v>
      </c>
      <c r="M219" s="1" t="s">
        <v>69</v>
      </c>
      <c r="N219" s="1" t="s">
        <v>69</v>
      </c>
      <c r="O219" s="1" t="s">
        <v>69</v>
      </c>
      <c r="P219" s="1" t="s">
        <v>106</v>
      </c>
      <c r="Q219" s="1" t="s">
        <v>271</v>
      </c>
      <c r="R219" s="1" t="s">
        <v>598</v>
      </c>
      <c r="S219" s="1">
        <v>18</v>
      </c>
      <c r="T219" s="1" t="s">
        <v>131</v>
      </c>
      <c r="U219" s="1" t="s">
        <v>73</v>
      </c>
      <c r="V219" s="1" t="s">
        <v>94</v>
      </c>
      <c r="W219" s="1" t="s">
        <v>95</v>
      </c>
      <c r="X219" s="1">
        <v>5</v>
      </c>
      <c r="Y219" s="1">
        <v>5</v>
      </c>
      <c r="Z219" s="1" t="s">
        <v>83</v>
      </c>
      <c r="AA219" s="1">
        <v>5</v>
      </c>
      <c r="AB219" s="1">
        <v>5</v>
      </c>
      <c r="AC219" s="1" t="s">
        <v>83</v>
      </c>
      <c r="AD219" s="1">
        <v>5</v>
      </c>
      <c r="AE219" s="1">
        <v>5</v>
      </c>
      <c r="AF219" s="1" t="s">
        <v>83</v>
      </c>
      <c r="AG219" s="1">
        <v>4</v>
      </c>
      <c r="AH219" s="1">
        <v>4</v>
      </c>
      <c r="AI219" s="1" t="s">
        <v>83</v>
      </c>
      <c r="AJ219" s="1">
        <v>5</v>
      </c>
      <c r="AK219" s="1">
        <v>5</v>
      </c>
      <c r="AL219" s="1" t="s">
        <v>83</v>
      </c>
      <c r="AM219" s="1">
        <v>4</v>
      </c>
      <c r="AN219" s="1">
        <v>5</v>
      </c>
      <c r="AO219" s="1" t="s">
        <v>83</v>
      </c>
      <c r="AP219" s="1">
        <v>5</v>
      </c>
      <c r="AQ219" s="1">
        <v>5</v>
      </c>
      <c r="AR219" s="1" t="s">
        <v>83</v>
      </c>
      <c r="AS219" s="1">
        <v>5</v>
      </c>
      <c r="AT219" s="1">
        <v>5</v>
      </c>
      <c r="AU219" s="1" t="s">
        <v>83</v>
      </c>
      <c r="AV219" s="1">
        <v>5</v>
      </c>
      <c r="AW219" s="1">
        <v>5</v>
      </c>
      <c r="AX219" s="1" t="s">
        <v>83</v>
      </c>
      <c r="AY219" s="1">
        <v>0</v>
      </c>
      <c r="AZ219" s="1">
        <v>0</v>
      </c>
      <c r="BA219" s="1">
        <v>0</v>
      </c>
      <c r="BB219" s="1" t="s">
        <v>76</v>
      </c>
      <c r="BC219" s="1">
        <v>2</v>
      </c>
      <c r="BD219" s="1" t="s">
        <v>1439</v>
      </c>
      <c r="BE219" s="1" t="s">
        <v>1440</v>
      </c>
      <c r="BF219" s="1" t="s">
        <v>1441</v>
      </c>
      <c r="BG219" s="1" t="s">
        <v>1442</v>
      </c>
    </row>
    <row r="220" spans="1:59" x14ac:dyDescent="0.35">
      <c r="A220" s="1">
        <v>219</v>
      </c>
      <c r="B220" s="1">
        <v>45841.804988425924</v>
      </c>
      <c r="C220" s="1" t="s">
        <v>1443</v>
      </c>
      <c r="D220" s="1" t="s">
        <v>1444</v>
      </c>
      <c r="E220" s="1" t="s">
        <v>63</v>
      </c>
      <c r="F220" s="1" t="s">
        <v>136</v>
      </c>
      <c r="G220" s="1" t="s">
        <v>1445</v>
      </c>
      <c r="H220" s="1" t="s">
        <v>578</v>
      </c>
      <c r="I220" s="1" t="s">
        <v>596</v>
      </c>
      <c r="J220" s="1" t="s">
        <v>1446</v>
      </c>
      <c r="K220" s="1" t="s">
        <v>314</v>
      </c>
      <c r="L220" s="1" t="s">
        <v>69</v>
      </c>
      <c r="M220" s="1" t="s">
        <v>69</v>
      </c>
      <c r="N220" s="1" t="s">
        <v>69</v>
      </c>
      <c r="O220" s="1" t="s">
        <v>69</v>
      </c>
      <c r="P220" s="1" t="s">
        <v>70</v>
      </c>
      <c r="Q220" s="1" t="s">
        <v>271</v>
      </c>
      <c r="R220" s="1" t="s">
        <v>598</v>
      </c>
      <c r="S220" s="1">
        <v>18</v>
      </c>
      <c r="T220" s="1" t="s">
        <v>131</v>
      </c>
      <c r="U220" s="1" t="s">
        <v>73</v>
      </c>
      <c r="V220" s="1" t="s">
        <v>94</v>
      </c>
      <c r="W220" s="1" t="s">
        <v>95</v>
      </c>
      <c r="X220" s="1">
        <v>4</v>
      </c>
      <c r="Y220" s="1">
        <v>5</v>
      </c>
      <c r="Z220" s="1" t="s">
        <v>83</v>
      </c>
      <c r="AA220" s="1">
        <v>5</v>
      </c>
      <c r="AB220" s="1">
        <v>5</v>
      </c>
      <c r="AC220" s="1" t="s">
        <v>83</v>
      </c>
      <c r="AD220" s="1">
        <v>4</v>
      </c>
      <c r="AE220" s="1">
        <v>5</v>
      </c>
      <c r="AF220" s="1" t="s">
        <v>83</v>
      </c>
      <c r="AG220" s="1">
        <v>5</v>
      </c>
      <c r="AH220" s="1">
        <v>4</v>
      </c>
      <c r="AI220" s="1" t="s">
        <v>83</v>
      </c>
      <c r="AJ220" s="1">
        <v>6</v>
      </c>
      <c r="AK220" s="1">
        <v>6</v>
      </c>
      <c r="AL220" s="1" t="s">
        <v>83</v>
      </c>
      <c r="AM220" s="1">
        <v>6</v>
      </c>
      <c r="AN220" s="1">
        <v>6</v>
      </c>
      <c r="AO220" s="1" t="s">
        <v>83</v>
      </c>
      <c r="AP220" s="1">
        <v>6</v>
      </c>
      <c r="AQ220" s="1">
        <v>6</v>
      </c>
      <c r="AR220" s="1" t="s">
        <v>83</v>
      </c>
      <c r="AS220" s="1">
        <v>5</v>
      </c>
      <c r="AT220" s="1">
        <v>5</v>
      </c>
      <c r="AU220" s="1" t="s">
        <v>83</v>
      </c>
      <c r="AV220" s="1">
        <v>5</v>
      </c>
      <c r="AW220" s="1">
        <v>5</v>
      </c>
      <c r="AX220" s="1" t="s">
        <v>83</v>
      </c>
      <c r="AY220" s="1">
        <v>0</v>
      </c>
      <c r="AZ220" s="1">
        <v>0</v>
      </c>
      <c r="BA220" s="1">
        <v>0</v>
      </c>
      <c r="BB220" s="1" t="s">
        <v>631</v>
      </c>
      <c r="BC220" s="1">
        <v>2</v>
      </c>
      <c r="BD220" s="1" t="s">
        <v>1447</v>
      </c>
      <c r="BE220" s="1" t="s">
        <v>1448</v>
      </c>
      <c r="BF220" s="1" t="s">
        <v>503</v>
      </c>
      <c r="BG220" s="1" t="s">
        <v>83</v>
      </c>
    </row>
    <row r="221" spans="1:59" x14ac:dyDescent="0.35">
      <c r="A221" s="1">
        <v>220</v>
      </c>
      <c r="B221" s="1">
        <v>45841.80704861111</v>
      </c>
      <c r="C221" s="1" t="s">
        <v>1449</v>
      </c>
      <c r="D221" s="1" t="s">
        <v>1450</v>
      </c>
      <c r="E221" s="1" t="s">
        <v>63</v>
      </c>
      <c r="F221" s="1" t="s">
        <v>136</v>
      </c>
      <c r="G221" s="1" t="s">
        <v>1451</v>
      </c>
      <c r="H221" s="1" t="s">
        <v>138</v>
      </c>
      <c r="I221" s="1" t="s">
        <v>139</v>
      </c>
      <c r="J221" s="1" t="s">
        <v>1213</v>
      </c>
      <c r="K221" s="1" t="s">
        <v>141</v>
      </c>
      <c r="L221" s="1" t="s">
        <v>69</v>
      </c>
      <c r="M221" s="1" t="s">
        <v>69</v>
      </c>
      <c r="N221" s="1" t="s">
        <v>69</v>
      </c>
      <c r="O221" s="1" t="s">
        <v>69</v>
      </c>
      <c r="P221" s="1" t="s">
        <v>70</v>
      </c>
      <c r="Q221" s="1" t="s">
        <v>107</v>
      </c>
      <c r="R221" s="1" t="s">
        <v>2472</v>
      </c>
      <c r="S221" s="1">
        <v>22</v>
      </c>
      <c r="T221" s="1" t="s">
        <v>72</v>
      </c>
      <c r="U221" s="1" t="s">
        <v>73</v>
      </c>
      <c r="V221" s="1" t="s">
        <v>94</v>
      </c>
      <c r="W221" s="1" t="s">
        <v>95</v>
      </c>
      <c r="X221" s="1">
        <v>5</v>
      </c>
      <c r="Y221" s="1">
        <v>5</v>
      </c>
      <c r="Z221" s="1" t="s">
        <v>83</v>
      </c>
      <c r="AA221" s="1">
        <v>5</v>
      </c>
      <c r="AB221" s="1">
        <v>5</v>
      </c>
      <c r="AC221" s="1" t="s">
        <v>83</v>
      </c>
      <c r="AD221" s="1">
        <v>6</v>
      </c>
      <c r="AE221" s="1">
        <v>5</v>
      </c>
      <c r="AF221" s="1" t="s">
        <v>83</v>
      </c>
      <c r="AG221" s="1">
        <v>6</v>
      </c>
      <c r="AH221" s="1">
        <v>6</v>
      </c>
      <c r="AI221" s="1" t="s">
        <v>83</v>
      </c>
      <c r="AJ221" s="1">
        <v>4</v>
      </c>
      <c r="AK221" s="1">
        <v>5</v>
      </c>
      <c r="AL221" s="1" t="s">
        <v>83</v>
      </c>
      <c r="AM221" s="1">
        <v>5</v>
      </c>
      <c r="AN221" s="1">
        <v>5</v>
      </c>
      <c r="AO221" s="1" t="s">
        <v>83</v>
      </c>
      <c r="AP221" s="1">
        <v>5</v>
      </c>
      <c r="AQ221" s="1">
        <v>5</v>
      </c>
      <c r="AR221" s="1" t="s">
        <v>83</v>
      </c>
      <c r="AS221" s="1">
        <v>5</v>
      </c>
      <c r="AT221" s="1">
        <v>5</v>
      </c>
      <c r="AU221" s="1" t="s">
        <v>83</v>
      </c>
      <c r="AV221" s="1">
        <v>5</v>
      </c>
      <c r="AW221" s="1">
        <v>5</v>
      </c>
      <c r="AX221" s="1" t="s">
        <v>83</v>
      </c>
      <c r="AY221" s="1">
        <v>1</v>
      </c>
      <c r="AZ221" s="1">
        <v>0</v>
      </c>
      <c r="BA221" s="1">
        <v>0</v>
      </c>
      <c r="BB221" s="1" t="s">
        <v>83</v>
      </c>
      <c r="BC221" s="1">
        <v>0</v>
      </c>
      <c r="BD221" s="1" t="s">
        <v>98</v>
      </c>
      <c r="BE221" s="1" t="s">
        <v>98</v>
      </c>
      <c r="BF221" s="1" t="s">
        <v>98</v>
      </c>
      <c r="BG221" s="1" t="s">
        <v>1452</v>
      </c>
    </row>
    <row r="222" spans="1:59" x14ac:dyDescent="0.35">
      <c r="A222" s="1">
        <v>221</v>
      </c>
      <c r="B222" s="1">
        <v>45841.808032407411</v>
      </c>
      <c r="C222" s="1" t="s">
        <v>1453</v>
      </c>
      <c r="D222" s="1" t="s">
        <v>179</v>
      </c>
      <c r="E222" s="1" t="s">
        <v>63</v>
      </c>
      <c r="F222" s="1" t="s">
        <v>63</v>
      </c>
      <c r="G222" s="1" t="s">
        <v>1454</v>
      </c>
      <c r="H222" s="1" t="s">
        <v>578</v>
      </c>
      <c r="I222" s="1" t="s">
        <v>596</v>
      </c>
      <c r="J222" s="1" t="s">
        <v>1432</v>
      </c>
      <c r="K222" s="1" t="s">
        <v>818</v>
      </c>
      <c r="L222" s="1" t="s">
        <v>69</v>
      </c>
      <c r="M222" s="1" t="s">
        <v>69</v>
      </c>
      <c r="N222" s="1" t="s">
        <v>69</v>
      </c>
      <c r="O222" s="1" t="s">
        <v>69</v>
      </c>
      <c r="P222" s="1" t="s">
        <v>106</v>
      </c>
      <c r="Q222" s="1" t="s">
        <v>271</v>
      </c>
      <c r="R222" s="1" t="s">
        <v>598</v>
      </c>
      <c r="S222" s="1">
        <v>18</v>
      </c>
      <c r="T222" s="1" t="s">
        <v>131</v>
      </c>
      <c r="U222" s="1" t="s">
        <v>73</v>
      </c>
      <c r="V222" s="1" t="s">
        <v>94</v>
      </c>
      <c r="W222" s="1" t="s">
        <v>95</v>
      </c>
      <c r="X222" s="1">
        <v>5</v>
      </c>
      <c r="Y222" s="1">
        <v>5</v>
      </c>
      <c r="Z222" s="1" t="s">
        <v>83</v>
      </c>
      <c r="AA222" s="1">
        <v>4</v>
      </c>
      <c r="AB222" s="1">
        <v>4</v>
      </c>
      <c r="AC222" s="1" t="s">
        <v>83</v>
      </c>
      <c r="AD222" s="1">
        <v>6</v>
      </c>
      <c r="AE222" s="1">
        <v>6</v>
      </c>
      <c r="AF222" s="1" t="s">
        <v>83</v>
      </c>
      <c r="AG222" s="1">
        <v>6</v>
      </c>
      <c r="AH222" s="1">
        <v>6</v>
      </c>
      <c r="AI222" s="1" t="s">
        <v>83</v>
      </c>
      <c r="AJ222" s="1">
        <v>6</v>
      </c>
      <c r="AK222" s="1">
        <v>6</v>
      </c>
      <c r="AL222" s="1" t="s">
        <v>83</v>
      </c>
      <c r="AM222" s="1">
        <v>6</v>
      </c>
      <c r="AN222" s="1">
        <v>6</v>
      </c>
      <c r="AO222" s="1" t="s">
        <v>83</v>
      </c>
      <c r="AP222" s="1">
        <v>6</v>
      </c>
      <c r="AQ222" s="1">
        <v>6</v>
      </c>
      <c r="AR222" s="1" t="s">
        <v>83</v>
      </c>
      <c r="AS222" s="1">
        <v>5</v>
      </c>
      <c r="AT222" s="1">
        <v>5</v>
      </c>
      <c r="AU222" s="1" t="s">
        <v>83</v>
      </c>
      <c r="AV222" s="1">
        <v>5</v>
      </c>
      <c r="AW222" s="1">
        <v>5</v>
      </c>
      <c r="AX222" s="1" t="s">
        <v>83</v>
      </c>
      <c r="AY222" s="1">
        <v>2</v>
      </c>
      <c r="AZ222" s="1">
        <v>0</v>
      </c>
      <c r="BA222" s="1">
        <v>0</v>
      </c>
      <c r="BB222" s="1" t="s">
        <v>83</v>
      </c>
      <c r="BC222" s="1">
        <v>0</v>
      </c>
      <c r="BD222" s="1" t="s">
        <v>1455</v>
      </c>
      <c r="BE222" s="1" t="s">
        <v>98</v>
      </c>
      <c r="BF222" s="1" t="s">
        <v>98</v>
      </c>
      <c r="BG222" s="1" t="s">
        <v>83</v>
      </c>
    </row>
    <row r="223" spans="1:59" x14ac:dyDescent="0.35">
      <c r="A223" s="1">
        <v>222</v>
      </c>
      <c r="B223" s="1">
        <v>45841.81040509259</v>
      </c>
      <c r="C223" s="1" t="s">
        <v>1456</v>
      </c>
      <c r="D223" s="1" t="s">
        <v>1457</v>
      </c>
      <c r="E223" s="1" t="s">
        <v>63</v>
      </c>
      <c r="F223" s="1" t="s">
        <v>136</v>
      </c>
      <c r="G223" s="1" t="s">
        <v>1458</v>
      </c>
      <c r="H223" s="1" t="s">
        <v>210</v>
      </c>
      <c r="I223" s="1" t="s">
        <v>211</v>
      </c>
      <c r="J223" s="1" t="s">
        <v>1213</v>
      </c>
      <c r="K223" s="1" t="s">
        <v>1459</v>
      </c>
      <c r="L223" s="1" t="s">
        <v>69</v>
      </c>
      <c r="M223" s="1" t="s">
        <v>69</v>
      </c>
      <c r="N223" s="1" t="s">
        <v>69</v>
      </c>
      <c r="O223" s="1" t="s">
        <v>69</v>
      </c>
      <c r="P223" s="1" t="s">
        <v>106</v>
      </c>
      <c r="Q223" s="1" t="s">
        <v>107</v>
      </c>
      <c r="R223" s="1" t="s">
        <v>2498</v>
      </c>
      <c r="S223" s="1">
        <v>26</v>
      </c>
      <c r="T223" s="1" t="s">
        <v>92</v>
      </c>
      <c r="U223" s="1" t="s">
        <v>93</v>
      </c>
      <c r="V223" s="1" t="s">
        <v>74</v>
      </c>
      <c r="W223" s="1" t="s">
        <v>74</v>
      </c>
      <c r="X223" s="1">
        <v>5</v>
      </c>
      <c r="Y223" s="1">
        <v>5</v>
      </c>
      <c r="Z223" s="1" t="s">
        <v>83</v>
      </c>
      <c r="AA223" s="1">
        <v>5</v>
      </c>
      <c r="AB223" s="1">
        <v>5</v>
      </c>
      <c r="AC223" s="1" t="s">
        <v>83</v>
      </c>
      <c r="AD223" s="1">
        <v>5</v>
      </c>
      <c r="AE223" s="1">
        <v>5</v>
      </c>
      <c r="AF223" s="1" t="s">
        <v>83</v>
      </c>
      <c r="AG223" s="1">
        <v>6</v>
      </c>
      <c r="AH223" s="1">
        <v>6</v>
      </c>
      <c r="AI223" s="1" t="s">
        <v>83</v>
      </c>
      <c r="AJ223" s="1">
        <v>5</v>
      </c>
      <c r="AK223" s="1">
        <v>5</v>
      </c>
      <c r="AL223" s="1" t="s">
        <v>83</v>
      </c>
      <c r="AM223" s="1">
        <v>5</v>
      </c>
      <c r="AN223" s="1">
        <v>5</v>
      </c>
      <c r="AO223" s="1" t="s">
        <v>83</v>
      </c>
      <c r="AP223" s="1">
        <v>5</v>
      </c>
      <c r="AQ223" s="1">
        <v>5</v>
      </c>
      <c r="AR223" s="1" t="s">
        <v>83</v>
      </c>
      <c r="AS223" s="1">
        <v>5</v>
      </c>
      <c r="AT223" s="1">
        <v>5</v>
      </c>
      <c r="AU223" s="1" t="s">
        <v>83</v>
      </c>
      <c r="AV223" s="1">
        <v>5</v>
      </c>
      <c r="AW223" s="1">
        <v>5</v>
      </c>
      <c r="AX223" s="1" t="s">
        <v>83</v>
      </c>
      <c r="AY223" s="1">
        <v>0</v>
      </c>
      <c r="AZ223" s="1">
        <v>0</v>
      </c>
      <c r="BA223" s="1">
        <v>0</v>
      </c>
      <c r="BB223" s="1" t="s">
        <v>144</v>
      </c>
      <c r="BC223" s="1">
        <v>2</v>
      </c>
      <c r="BD223" s="1" t="s">
        <v>98</v>
      </c>
      <c r="BE223" s="1" t="s">
        <v>98</v>
      </c>
      <c r="BF223" s="1" t="s">
        <v>98</v>
      </c>
      <c r="BG223" s="1" t="s">
        <v>98</v>
      </c>
    </row>
    <row r="224" spans="1:59" x14ac:dyDescent="0.35">
      <c r="A224" s="1">
        <v>223</v>
      </c>
      <c r="B224" s="1">
        <v>45841.81113425926</v>
      </c>
      <c r="C224" s="1" t="s">
        <v>1460</v>
      </c>
      <c r="D224" s="1" t="s">
        <v>1461</v>
      </c>
      <c r="E224" s="1" t="s">
        <v>63</v>
      </c>
      <c r="F224" s="1" t="s">
        <v>338</v>
      </c>
      <c r="G224" s="1" t="s">
        <v>1462</v>
      </c>
      <c r="H224" s="1" t="s">
        <v>578</v>
      </c>
      <c r="I224" s="1" t="s">
        <v>596</v>
      </c>
      <c r="J224" s="1" t="s">
        <v>1432</v>
      </c>
      <c r="K224" s="1" t="s">
        <v>1463</v>
      </c>
      <c r="L224" s="1" t="s">
        <v>69</v>
      </c>
      <c r="M224" s="1" t="s">
        <v>69</v>
      </c>
      <c r="N224" s="1" t="s">
        <v>69</v>
      </c>
      <c r="O224" s="1" t="s">
        <v>69</v>
      </c>
      <c r="P224" s="1" t="s">
        <v>106</v>
      </c>
      <c r="Q224" s="1" t="s">
        <v>271</v>
      </c>
      <c r="R224" s="1" t="s">
        <v>1464</v>
      </c>
      <c r="S224" s="1">
        <v>28</v>
      </c>
      <c r="T224" s="1" t="s">
        <v>92</v>
      </c>
      <c r="U224" s="1" t="s">
        <v>73</v>
      </c>
      <c r="V224" s="1" t="s">
        <v>74</v>
      </c>
      <c r="W224" s="1" t="s">
        <v>74</v>
      </c>
      <c r="X224" s="1">
        <v>5</v>
      </c>
      <c r="Y224" s="1">
        <v>5</v>
      </c>
      <c r="Z224" s="1" t="s">
        <v>83</v>
      </c>
      <c r="AA224" s="1">
        <v>6</v>
      </c>
      <c r="AB224" s="1">
        <v>6</v>
      </c>
      <c r="AC224" s="1" t="s">
        <v>83</v>
      </c>
      <c r="AD224" s="1">
        <v>6</v>
      </c>
      <c r="AE224" s="1">
        <v>6</v>
      </c>
      <c r="AF224" s="1" t="s">
        <v>83</v>
      </c>
      <c r="AG224" s="1">
        <v>6</v>
      </c>
      <c r="AH224" s="1">
        <v>6</v>
      </c>
      <c r="AI224" s="1" t="s">
        <v>83</v>
      </c>
      <c r="AJ224" s="1">
        <v>6</v>
      </c>
      <c r="AK224" s="1">
        <v>6</v>
      </c>
      <c r="AL224" s="1" t="s">
        <v>83</v>
      </c>
      <c r="AM224" s="1">
        <v>6</v>
      </c>
      <c r="AN224" s="1">
        <v>6</v>
      </c>
      <c r="AO224" s="1" t="s">
        <v>83</v>
      </c>
      <c r="AP224" s="1">
        <v>6</v>
      </c>
      <c r="AQ224" s="1">
        <v>6</v>
      </c>
      <c r="AR224" s="1" t="s">
        <v>83</v>
      </c>
      <c r="AS224" s="1">
        <v>6</v>
      </c>
      <c r="AT224" s="1">
        <v>6</v>
      </c>
      <c r="AU224" s="1" t="s">
        <v>83</v>
      </c>
      <c r="AV224" s="1">
        <v>5</v>
      </c>
      <c r="AW224" s="1">
        <v>6</v>
      </c>
      <c r="AX224" s="1" t="s">
        <v>83</v>
      </c>
      <c r="AY224" s="1">
        <v>0</v>
      </c>
      <c r="AZ224" s="1">
        <v>2</v>
      </c>
      <c r="BA224" s="1">
        <v>0</v>
      </c>
      <c r="BB224" s="1" t="s">
        <v>83</v>
      </c>
      <c r="BC224" s="1">
        <v>0</v>
      </c>
      <c r="BD224" s="1" t="s">
        <v>1465</v>
      </c>
      <c r="BE224" s="1" t="s">
        <v>98</v>
      </c>
      <c r="BF224" s="1" t="s">
        <v>98</v>
      </c>
      <c r="BG224" s="1" t="s">
        <v>83</v>
      </c>
    </row>
    <row r="225" spans="1:59" x14ac:dyDescent="0.35">
      <c r="A225" s="1">
        <v>224</v>
      </c>
      <c r="B225" s="1">
        <v>45841.82534722222</v>
      </c>
      <c r="C225" s="1" t="s">
        <v>1466</v>
      </c>
      <c r="D225" s="1" t="s">
        <v>1467</v>
      </c>
      <c r="E225" s="1" t="s">
        <v>1468</v>
      </c>
      <c r="F225" s="1" t="s">
        <v>1469</v>
      </c>
      <c r="G225" s="1" t="s">
        <v>1470</v>
      </c>
      <c r="H225" s="1" t="s">
        <v>210</v>
      </c>
      <c r="I225" s="1" t="s">
        <v>211</v>
      </c>
      <c r="J225" s="1" t="s">
        <v>703</v>
      </c>
      <c r="K225" s="1" t="s">
        <v>1471</v>
      </c>
      <c r="L225" s="1" t="s">
        <v>69</v>
      </c>
      <c r="M225" s="1" t="s">
        <v>69</v>
      </c>
      <c r="N225" s="1" t="s">
        <v>69</v>
      </c>
      <c r="O225" s="1" t="s">
        <v>69</v>
      </c>
      <c r="P225" s="1" t="s">
        <v>106</v>
      </c>
      <c r="Q225" s="1" t="s">
        <v>107</v>
      </c>
      <c r="R225" s="1" t="s">
        <v>2499</v>
      </c>
      <c r="S225" s="1">
        <v>59</v>
      </c>
      <c r="T225" s="1" t="s">
        <v>182</v>
      </c>
      <c r="U225" s="1" t="s">
        <v>273</v>
      </c>
      <c r="V225" s="1" t="s">
        <v>74</v>
      </c>
      <c r="W225" s="1" t="s">
        <v>74</v>
      </c>
      <c r="X225" s="1">
        <v>5</v>
      </c>
      <c r="Y225" s="1">
        <v>5</v>
      </c>
      <c r="Z225" s="1" t="s">
        <v>83</v>
      </c>
      <c r="AA225" s="1">
        <v>6</v>
      </c>
      <c r="AB225" s="1">
        <v>6</v>
      </c>
      <c r="AC225" s="1" t="s">
        <v>83</v>
      </c>
      <c r="AD225" s="1">
        <v>6</v>
      </c>
      <c r="AE225" s="1">
        <v>6</v>
      </c>
      <c r="AF225" s="1" t="s">
        <v>83</v>
      </c>
      <c r="AG225" s="1">
        <v>5</v>
      </c>
      <c r="AH225" s="1">
        <v>5</v>
      </c>
      <c r="AI225" s="1" t="s">
        <v>83</v>
      </c>
      <c r="AJ225" s="1">
        <v>6</v>
      </c>
      <c r="AK225" s="1">
        <v>6</v>
      </c>
      <c r="AL225" s="1" t="s">
        <v>83</v>
      </c>
      <c r="AM225" s="1">
        <v>6</v>
      </c>
      <c r="AN225" s="1">
        <v>6</v>
      </c>
      <c r="AO225" s="1" t="s">
        <v>83</v>
      </c>
      <c r="AP225" s="1">
        <v>6</v>
      </c>
      <c r="AQ225" s="1">
        <v>6</v>
      </c>
      <c r="AR225" s="1" t="s">
        <v>83</v>
      </c>
      <c r="AS225" s="1">
        <v>6</v>
      </c>
      <c r="AT225" s="1">
        <v>6</v>
      </c>
      <c r="AU225" s="1" t="s">
        <v>83</v>
      </c>
      <c r="AV225" s="1">
        <v>6</v>
      </c>
      <c r="AW225" s="1">
        <v>6</v>
      </c>
      <c r="AX225" s="1" t="s">
        <v>83</v>
      </c>
      <c r="AY225" s="1">
        <v>0</v>
      </c>
      <c r="AZ225" s="1">
        <v>0</v>
      </c>
      <c r="BA225" s="1">
        <v>0</v>
      </c>
      <c r="BB225" s="1" t="s">
        <v>1472</v>
      </c>
      <c r="BC225" s="1">
        <v>1</v>
      </c>
      <c r="BD225" s="1" t="s">
        <v>98</v>
      </c>
      <c r="BE225" s="1" t="s">
        <v>98</v>
      </c>
      <c r="BF225" s="1" t="s">
        <v>98</v>
      </c>
      <c r="BG225" s="1" t="s">
        <v>98</v>
      </c>
    </row>
    <row r="226" spans="1:59" x14ac:dyDescent="0.35">
      <c r="A226" s="1">
        <v>225</v>
      </c>
      <c r="B226" s="1">
        <v>45841.829062500001</v>
      </c>
      <c r="C226" s="1" t="s">
        <v>1473</v>
      </c>
      <c r="D226" s="1" t="s">
        <v>1474</v>
      </c>
      <c r="E226" s="1" t="s">
        <v>63</v>
      </c>
      <c r="F226" s="1" t="s">
        <v>136</v>
      </c>
      <c r="G226" s="1" t="s">
        <v>1475</v>
      </c>
      <c r="H226" s="1" t="s">
        <v>210</v>
      </c>
      <c r="I226" s="1" t="s">
        <v>211</v>
      </c>
      <c r="J226" s="1" t="s">
        <v>1213</v>
      </c>
      <c r="K226" s="1" t="s">
        <v>1476</v>
      </c>
      <c r="L226" s="1" t="s">
        <v>69</v>
      </c>
      <c r="M226" s="1" t="s">
        <v>69</v>
      </c>
      <c r="N226" s="1" t="s">
        <v>69</v>
      </c>
      <c r="O226" s="1" t="s">
        <v>69</v>
      </c>
      <c r="P226" s="1" t="s">
        <v>70</v>
      </c>
      <c r="Q226" s="1" t="s">
        <v>107</v>
      </c>
      <c r="R226" s="1" t="s">
        <v>2443</v>
      </c>
      <c r="S226" s="1">
        <v>25</v>
      </c>
      <c r="T226" s="1" t="s">
        <v>72</v>
      </c>
      <c r="U226" s="1" t="s">
        <v>73</v>
      </c>
      <c r="V226" s="1" t="s">
        <v>110</v>
      </c>
      <c r="W226" s="1" t="s">
        <v>110</v>
      </c>
      <c r="X226" s="1">
        <v>6</v>
      </c>
      <c r="Y226" s="1">
        <v>6</v>
      </c>
      <c r="Z226" s="1" t="s">
        <v>83</v>
      </c>
      <c r="AA226" s="1">
        <v>6</v>
      </c>
      <c r="AB226" s="1">
        <v>6</v>
      </c>
      <c r="AC226" s="1" t="s">
        <v>83</v>
      </c>
      <c r="AD226" s="1">
        <v>6</v>
      </c>
      <c r="AE226" s="1">
        <v>6</v>
      </c>
      <c r="AF226" s="1" t="s">
        <v>83</v>
      </c>
      <c r="AG226" s="1">
        <v>6</v>
      </c>
      <c r="AH226" s="1">
        <v>6</v>
      </c>
      <c r="AI226" s="1" t="s">
        <v>83</v>
      </c>
      <c r="AJ226" s="1">
        <v>6</v>
      </c>
      <c r="AK226" s="1">
        <v>6</v>
      </c>
      <c r="AL226" s="1" t="s">
        <v>83</v>
      </c>
      <c r="AM226" s="1">
        <v>6</v>
      </c>
      <c r="AN226" s="1">
        <v>6</v>
      </c>
      <c r="AO226" s="1" t="s">
        <v>83</v>
      </c>
      <c r="AP226" s="1">
        <v>6</v>
      </c>
      <c r="AQ226" s="1">
        <v>6</v>
      </c>
      <c r="AR226" s="1" t="s">
        <v>83</v>
      </c>
      <c r="AS226" s="1">
        <v>6</v>
      </c>
      <c r="AT226" s="1">
        <v>6</v>
      </c>
      <c r="AU226" s="1" t="s">
        <v>83</v>
      </c>
      <c r="AV226" s="1">
        <v>6</v>
      </c>
      <c r="AW226" s="1">
        <v>6</v>
      </c>
      <c r="AX226" s="1" t="s">
        <v>83</v>
      </c>
      <c r="AY226" s="1">
        <v>0</v>
      </c>
      <c r="AZ226" s="1">
        <v>0</v>
      </c>
      <c r="BA226" s="1">
        <v>0</v>
      </c>
      <c r="BB226" s="1" t="s">
        <v>5</v>
      </c>
      <c r="BC226" s="1">
        <v>2</v>
      </c>
      <c r="BD226" s="1" t="s">
        <v>98</v>
      </c>
      <c r="BE226" s="1" t="s">
        <v>98</v>
      </c>
      <c r="BF226" s="1" t="s">
        <v>98</v>
      </c>
      <c r="BG226" s="1" t="s">
        <v>98</v>
      </c>
    </row>
    <row r="227" spans="1:59" x14ac:dyDescent="0.35">
      <c r="A227" s="1">
        <v>226</v>
      </c>
      <c r="B227" s="1">
        <v>45841.862337962964</v>
      </c>
      <c r="C227" s="1" t="s">
        <v>1477</v>
      </c>
      <c r="D227" s="1" t="s">
        <v>1478</v>
      </c>
      <c r="E227" s="1" t="s">
        <v>63</v>
      </c>
      <c r="F227" s="1" t="s">
        <v>136</v>
      </c>
      <c r="G227" s="1" t="s">
        <v>1479</v>
      </c>
      <c r="H227" s="1" t="s">
        <v>210</v>
      </c>
      <c r="I227" s="1" t="s">
        <v>211</v>
      </c>
      <c r="J227" s="1" t="s">
        <v>1480</v>
      </c>
      <c r="K227" s="1" t="s">
        <v>1481</v>
      </c>
      <c r="L227" s="1" t="s">
        <v>69</v>
      </c>
      <c r="M227" s="1" t="s">
        <v>69</v>
      </c>
      <c r="N227" s="1" t="s">
        <v>69</v>
      </c>
      <c r="O227" s="1" t="s">
        <v>69</v>
      </c>
      <c r="P227" s="1" t="s">
        <v>106</v>
      </c>
      <c r="Q227" s="1" t="s">
        <v>107</v>
      </c>
      <c r="R227" s="1" t="s">
        <v>2446</v>
      </c>
      <c r="S227" s="1">
        <v>42</v>
      </c>
      <c r="T227" s="1" t="s">
        <v>197</v>
      </c>
      <c r="U227" s="1" t="s">
        <v>73</v>
      </c>
      <c r="V227" s="1" t="s">
        <v>74</v>
      </c>
      <c r="W227" s="1" t="s">
        <v>74</v>
      </c>
      <c r="X227" s="1">
        <v>5</v>
      </c>
      <c r="Y227" s="1">
        <v>5</v>
      </c>
      <c r="Z227" s="1" t="s">
        <v>83</v>
      </c>
      <c r="AA227" s="1">
        <v>5</v>
      </c>
      <c r="AB227" s="1">
        <v>5</v>
      </c>
      <c r="AC227" s="1" t="s">
        <v>83</v>
      </c>
      <c r="AD227" s="1">
        <v>5</v>
      </c>
      <c r="AE227" s="1">
        <v>5</v>
      </c>
      <c r="AF227" s="1" t="s">
        <v>83</v>
      </c>
      <c r="AG227" s="1">
        <v>5</v>
      </c>
      <c r="AH227" s="1">
        <v>5</v>
      </c>
      <c r="AI227" s="1" t="s">
        <v>83</v>
      </c>
      <c r="AJ227" s="1">
        <v>6</v>
      </c>
      <c r="AK227" s="1">
        <v>6</v>
      </c>
      <c r="AL227" s="1" t="s">
        <v>83</v>
      </c>
      <c r="AM227" s="1">
        <v>5</v>
      </c>
      <c r="AN227" s="1">
        <v>5</v>
      </c>
      <c r="AO227" s="1" t="s">
        <v>83</v>
      </c>
      <c r="AP227" s="1">
        <v>5</v>
      </c>
      <c r="AQ227" s="1">
        <v>5</v>
      </c>
      <c r="AR227" s="1" t="s">
        <v>83</v>
      </c>
      <c r="AS227" s="1">
        <v>5</v>
      </c>
      <c r="AT227" s="1">
        <v>5</v>
      </c>
      <c r="AU227" s="1" t="s">
        <v>83</v>
      </c>
      <c r="AV227" s="1">
        <v>5</v>
      </c>
      <c r="AW227" s="1">
        <v>5</v>
      </c>
      <c r="AX227" s="1" t="s">
        <v>83</v>
      </c>
      <c r="AY227" s="1">
        <v>0</v>
      </c>
      <c r="AZ227" s="1">
        <v>0</v>
      </c>
      <c r="BA227" s="1">
        <v>0</v>
      </c>
      <c r="BB227" s="1" t="s">
        <v>144</v>
      </c>
      <c r="BC227" s="1">
        <v>2</v>
      </c>
      <c r="BD227" s="1" t="s">
        <v>98</v>
      </c>
      <c r="BE227" s="1" t="s">
        <v>98</v>
      </c>
      <c r="BF227" s="1" t="s">
        <v>1482</v>
      </c>
      <c r="BG227" s="1" t="s">
        <v>98</v>
      </c>
    </row>
    <row r="228" spans="1:59" x14ac:dyDescent="0.35">
      <c r="A228" s="1">
        <v>227</v>
      </c>
      <c r="B228" s="1">
        <v>45841.86613425926</v>
      </c>
      <c r="C228" s="1" t="s">
        <v>1484</v>
      </c>
      <c r="D228" s="1" t="s">
        <v>1485</v>
      </c>
      <c r="E228" s="1" t="s">
        <v>1486</v>
      </c>
      <c r="F228" s="1" t="s">
        <v>136</v>
      </c>
      <c r="G228" s="1" t="s">
        <v>1487</v>
      </c>
      <c r="H228" s="1" t="s">
        <v>210</v>
      </c>
      <c r="I228" s="1" t="s">
        <v>211</v>
      </c>
      <c r="J228" s="1" t="s">
        <v>1480</v>
      </c>
      <c r="K228" s="1" t="s">
        <v>1488</v>
      </c>
      <c r="L228" s="1" t="s">
        <v>69</v>
      </c>
      <c r="M228" s="1" t="s">
        <v>69</v>
      </c>
      <c r="N228" s="1" t="s">
        <v>69</v>
      </c>
      <c r="O228" s="1" t="s">
        <v>69</v>
      </c>
      <c r="P228" s="1" t="s">
        <v>106</v>
      </c>
      <c r="Q228" s="1" t="s">
        <v>107</v>
      </c>
      <c r="R228" s="1" t="s">
        <v>2446</v>
      </c>
      <c r="S228" s="1">
        <v>42</v>
      </c>
      <c r="T228" s="1" t="s">
        <v>197</v>
      </c>
      <c r="U228" s="1" t="s">
        <v>73</v>
      </c>
      <c r="V228" s="1" t="s">
        <v>74</v>
      </c>
      <c r="W228" s="1" t="s">
        <v>74</v>
      </c>
      <c r="X228" s="1">
        <v>5</v>
      </c>
      <c r="Y228" s="1">
        <v>5</v>
      </c>
      <c r="Z228" s="1" t="s">
        <v>83</v>
      </c>
      <c r="AA228" s="1">
        <v>5</v>
      </c>
      <c r="AB228" s="1">
        <v>5</v>
      </c>
      <c r="AC228" s="1" t="s">
        <v>83</v>
      </c>
      <c r="AD228" s="1">
        <v>5</v>
      </c>
      <c r="AE228" s="1">
        <v>5</v>
      </c>
      <c r="AF228" s="1" t="s">
        <v>83</v>
      </c>
      <c r="AG228" s="1">
        <v>5</v>
      </c>
      <c r="AH228" s="1">
        <v>5</v>
      </c>
      <c r="AI228" s="1" t="s">
        <v>83</v>
      </c>
      <c r="AJ228" s="1">
        <v>5</v>
      </c>
      <c r="AK228" s="1">
        <v>5</v>
      </c>
      <c r="AL228" s="1" t="s">
        <v>83</v>
      </c>
      <c r="AM228" s="1">
        <v>5</v>
      </c>
      <c r="AN228" s="1">
        <v>5</v>
      </c>
      <c r="AO228" s="1" t="s">
        <v>83</v>
      </c>
      <c r="AP228" s="1">
        <v>6</v>
      </c>
      <c r="AQ228" s="1">
        <v>6</v>
      </c>
      <c r="AR228" s="1" t="s">
        <v>83</v>
      </c>
      <c r="AS228" s="1">
        <v>5</v>
      </c>
      <c r="AT228" s="1">
        <v>5</v>
      </c>
      <c r="AU228" s="1" t="s">
        <v>83</v>
      </c>
      <c r="AV228" s="1">
        <v>5</v>
      </c>
      <c r="AW228" s="1">
        <v>5</v>
      </c>
      <c r="AX228" s="1" t="s">
        <v>83</v>
      </c>
      <c r="AY228" s="1">
        <v>0</v>
      </c>
      <c r="AZ228" s="1">
        <v>0</v>
      </c>
      <c r="BA228" s="1">
        <v>0</v>
      </c>
      <c r="BB228" s="1" t="s">
        <v>5</v>
      </c>
      <c r="BC228" s="1">
        <v>2</v>
      </c>
      <c r="BD228" s="1" t="s">
        <v>98</v>
      </c>
      <c r="BE228" s="1" t="s">
        <v>98</v>
      </c>
      <c r="BF228" s="1" t="s">
        <v>98</v>
      </c>
      <c r="BG228" s="1" t="s">
        <v>98</v>
      </c>
    </row>
    <row r="229" spans="1:59" x14ac:dyDescent="0.35">
      <c r="A229" s="1">
        <v>228</v>
      </c>
      <c r="B229" s="1">
        <v>45842.208148148151</v>
      </c>
      <c r="C229" s="1" t="s">
        <v>1489</v>
      </c>
      <c r="D229" s="1" t="s">
        <v>1490</v>
      </c>
      <c r="E229" s="1" t="s">
        <v>63</v>
      </c>
      <c r="F229" s="1" t="s">
        <v>179</v>
      </c>
      <c r="G229" s="1" t="s">
        <v>1491</v>
      </c>
      <c r="H229" s="1" t="s">
        <v>88</v>
      </c>
      <c r="I229" s="1" t="s">
        <v>89</v>
      </c>
      <c r="J229" s="1" t="s">
        <v>1432</v>
      </c>
      <c r="K229" s="1" t="s">
        <v>1492</v>
      </c>
      <c r="L229" s="1" t="s">
        <v>69</v>
      </c>
      <c r="M229" s="1" t="s">
        <v>69</v>
      </c>
      <c r="N229" s="1" t="s">
        <v>69</v>
      </c>
      <c r="O229" s="1" t="s">
        <v>69</v>
      </c>
      <c r="P229" s="1" t="s">
        <v>106</v>
      </c>
      <c r="Q229" s="1" t="s">
        <v>107</v>
      </c>
      <c r="R229" s="1" t="s">
        <v>1493</v>
      </c>
      <c r="S229" s="1">
        <v>53</v>
      </c>
      <c r="T229" s="1" t="s">
        <v>383</v>
      </c>
      <c r="U229" s="1" t="s">
        <v>73</v>
      </c>
      <c r="V229" s="1" t="s">
        <v>110</v>
      </c>
      <c r="W229" s="1" t="s">
        <v>110</v>
      </c>
      <c r="X229" s="1">
        <v>6</v>
      </c>
      <c r="Y229" s="1">
        <v>6</v>
      </c>
      <c r="Z229" s="1" t="s">
        <v>83</v>
      </c>
      <c r="AA229" s="1">
        <v>5</v>
      </c>
      <c r="AB229" s="1">
        <v>5</v>
      </c>
      <c r="AC229" s="1" t="s">
        <v>83</v>
      </c>
      <c r="AD229" s="1">
        <v>5</v>
      </c>
      <c r="AE229" s="1">
        <v>5</v>
      </c>
      <c r="AF229" s="1" t="s">
        <v>83</v>
      </c>
      <c r="AG229" s="1">
        <v>0</v>
      </c>
      <c r="AH229" s="1">
        <v>0</v>
      </c>
      <c r="AI229" s="1" t="s">
        <v>83</v>
      </c>
      <c r="AJ229" s="1">
        <v>5</v>
      </c>
      <c r="AK229" s="1">
        <v>5</v>
      </c>
      <c r="AL229" s="1" t="s">
        <v>83</v>
      </c>
      <c r="AM229" s="1">
        <v>5</v>
      </c>
      <c r="AN229" s="1">
        <v>5</v>
      </c>
      <c r="AO229" s="1" t="s">
        <v>83</v>
      </c>
      <c r="AP229" s="1">
        <v>5</v>
      </c>
      <c r="AQ229" s="1">
        <v>5</v>
      </c>
      <c r="AR229" s="1" t="s">
        <v>83</v>
      </c>
      <c r="AS229" s="1">
        <v>5</v>
      </c>
      <c r="AT229" s="1">
        <v>5</v>
      </c>
      <c r="AU229" s="1" t="s">
        <v>83</v>
      </c>
      <c r="AV229" s="1">
        <v>5</v>
      </c>
      <c r="AW229" s="1">
        <v>5</v>
      </c>
      <c r="AX229" s="1" t="s">
        <v>83</v>
      </c>
      <c r="AY229" s="1">
        <v>0</v>
      </c>
      <c r="AZ229" s="1">
        <v>0</v>
      </c>
      <c r="BA229" s="1">
        <v>0</v>
      </c>
      <c r="BB229" s="1" t="s">
        <v>77</v>
      </c>
      <c r="BC229" s="1">
        <v>2</v>
      </c>
      <c r="BD229" s="1" t="s">
        <v>98</v>
      </c>
      <c r="BE229" s="1" t="s">
        <v>98</v>
      </c>
      <c r="BF229" s="1" t="s">
        <v>98</v>
      </c>
      <c r="BG229" s="1" t="s">
        <v>1494</v>
      </c>
    </row>
    <row r="230" spans="1:59" x14ac:dyDescent="0.35">
      <c r="A230" s="1">
        <v>229</v>
      </c>
      <c r="B230" s="1">
        <v>45842.210613425923</v>
      </c>
      <c r="C230" s="1" t="s">
        <v>1495</v>
      </c>
      <c r="D230" s="1" t="s">
        <v>1496</v>
      </c>
      <c r="E230" s="1" t="s">
        <v>63</v>
      </c>
      <c r="F230" s="1" t="s">
        <v>179</v>
      </c>
      <c r="G230" s="1" t="s">
        <v>1497</v>
      </c>
      <c r="H230" s="1" t="s">
        <v>88</v>
      </c>
      <c r="I230" s="1" t="s">
        <v>89</v>
      </c>
      <c r="J230" s="1" t="s">
        <v>1432</v>
      </c>
      <c r="K230" s="1" t="s">
        <v>1498</v>
      </c>
      <c r="L230" s="1" t="s">
        <v>69</v>
      </c>
      <c r="M230" s="1" t="s">
        <v>69</v>
      </c>
      <c r="N230" s="1" t="s">
        <v>69</v>
      </c>
      <c r="O230" s="1" t="s">
        <v>69</v>
      </c>
      <c r="P230" s="1" t="s">
        <v>70</v>
      </c>
      <c r="Q230" s="1" t="s">
        <v>107</v>
      </c>
      <c r="R230" s="1" t="s">
        <v>826</v>
      </c>
      <c r="S230" s="1">
        <v>44</v>
      </c>
      <c r="T230" s="1" t="s">
        <v>197</v>
      </c>
      <c r="U230" s="1" t="s">
        <v>73</v>
      </c>
      <c r="V230" s="1" t="s">
        <v>1499</v>
      </c>
      <c r="W230" s="1" t="s">
        <v>74</v>
      </c>
      <c r="X230" s="1">
        <v>6</v>
      </c>
      <c r="Y230" s="1">
        <v>6</v>
      </c>
      <c r="Z230" s="1" t="s">
        <v>83</v>
      </c>
      <c r="AA230" s="1">
        <v>6</v>
      </c>
      <c r="AB230" s="1">
        <v>6</v>
      </c>
      <c r="AC230" s="1" t="s">
        <v>83</v>
      </c>
      <c r="AD230" s="1">
        <v>6</v>
      </c>
      <c r="AE230" s="1">
        <v>6</v>
      </c>
      <c r="AF230" s="1" t="s">
        <v>83</v>
      </c>
      <c r="AG230" s="1">
        <v>6</v>
      </c>
      <c r="AH230" s="1">
        <v>6</v>
      </c>
      <c r="AI230" s="1" t="s">
        <v>83</v>
      </c>
      <c r="AJ230" s="1">
        <v>6</v>
      </c>
      <c r="AK230" s="1">
        <v>6</v>
      </c>
      <c r="AL230" s="1" t="s">
        <v>83</v>
      </c>
      <c r="AM230" s="1">
        <v>6</v>
      </c>
      <c r="AN230" s="1">
        <v>6</v>
      </c>
      <c r="AO230" s="1" t="s">
        <v>83</v>
      </c>
      <c r="AP230" s="1">
        <v>6</v>
      </c>
      <c r="AQ230" s="1">
        <v>6</v>
      </c>
      <c r="AR230" s="1" t="s">
        <v>83</v>
      </c>
      <c r="AS230" s="1">
        <v>6</v>
      </c>
      <c r="AT230" s="1">
        <v>6</v>
      </c>
      <c r="AU230" s="1" t="s">
        <v>83</v>
      </c>
      <c r="AV230" s="1">
        <v>6</v>
      </c>
      <c r="AW230" s="1">
        <v>6</v>
      </c>
      <c r="AX230" s="1" t="s">
        <v>83</v>
      </c>
      <c r="AY230" s="1">
        <v>0</v>
      </c>
      <c r="AZ230" s="1">
        <v>0</v>
      </c>
      <c r="BA230" s="1">
        <v>0</v>
      </c>
      <c r="BB230" s="1" t="s">
        <v>1500</v>
      </c>
      <c r="BC230" s="1">
        <v>1</v>
      </c>
      <c r="BD230" s="1" t="s">
        <v>98</v>
      </c>
      <c r="BE230" s="1" t="s">
        <v>98</v>
      </c>
      <c r="BF230" s="1" t="s">
        <v>98</v>
      </c>
      <c r="BG230" s="1" t="s">
        <v>98</v>
      </c>
    </row>
    <row r="231" spans="1:59" x14ac:dyDescent="0.35">
      <c r="A231" s="1">
        <v>230</v>
      </c>
      <c r="B231" s="1">
        <v>45842.214236111111</v>
      </c>
      <c r="C231" s="1" t="s">
        <v>1501</v>
      </c>
      <c r="D231" s="1" t="s">
        <v>1502</v>
      </c>
      <c r="E231" s="1" t="s">
        <v>63</v>
      </c>
      <c r="F231" s="1" t="s">
        <v>179</v>
      </c>
      <c r="G231" s="1" t="s">
        <v>1503</v>
      </c>
      <c r="H231" s="1" t="s">
        <v>88</v>
      </c>
      <c r="I231" s="1" t="s">
        <v>89</v>
      </c>
      <c r="J231" s="1" t="s">
        <v>1432</v>
      </c>
      <c r="K231" s="1" t="s">
        <v>1504</v>
      </c>
      <c r="L231" s="1" t="s">
        <v>69</v>
      </c>
      <c r="M231" s="1" t="s">
        <v>69</v>
      </c>
      <c r="N231" s="1" t="s">
        <v>69</v>
      </c>
      <c r="O231" s="1" t="s">
        <v>69</v>
      </c>
      <c r="P231" s="1" t="s">
        <v>106</v>
      </c>
      <c r="Q231" s="1" t="s">
        <v>107</v>
      </c>
      <c r="R231" s="1" t="s">
        <v>245</v>
      </c>
      <c r="S231" s="1">
        <v>21</v>
      </c>
      <c r="T231" s="1" t="s">
        <v>72</v>
      </c>
      <c r="U231" s="1" t="s">
        <v>73</v>
      </c>
      <c r="V231" s="1" t="s">
        <v>1505</v>
      </c>
      <c r="W231" s="1" t="s">
        <v>133</v>
      </c>
      <c r="X231" s="1">
        <v>4</v>
      </c>
      <c r="Y231" s="1">
        <v>5</v>
      </c>
      <c r="Z231" s="1" t="s">
        <v>83</v>
      </c>
      <c r="AA231" s="1">
        <v>4</v>
      </c>
      <c r="AB231" s="1">
        <v>4</v>
      </c>
      <c r="AC231" s="1" t="s">
        <v>83</v>
      </c>
      <c r="AD231" s="1">
        <v>4</v>
      </c>
      <c r="AE231" s="1">
        <v>5</v>
      </c>
      <c r="AF231" s="1" t="s">
        <v>83</v>
      </c>
      <c r="AG231" s="1">
        <v>0</v>
      </c>
      <c r="AH231" s="1">
        <v>0</v>
      </c>
      <c r="AI231" s="1" t="s">
        <v>83</v>
      </c>
      <c r="AJ231" s="1">
        <v>4</v>
      </c>
      <c r="AK231" s="1">
        <v>4</v>
      </c>
      <c r="AL231" s="1" t="s">
        <v>83</v>
      </c>
      <c r="AM231" s="1">
        <v>3</v>
      </c>
      <c r="AN231" s="1">
        <v>4</v>
      </c>
      <c r="AO231" s="1" t="s">
        <v>2500</v>
      </c>
      <c r="AP231" s="1">
        <v>3</v>
      </c>
      <c r="AQ231" s="1">
        <v>3</v>
      </c>
      <c r="AR231" s="1" t="s">
        <v>2455</v>
      </c>
      <c r="AS231" s="1">
        <v>5</v>
      </c>
      <c r="AT231" s="1">
        <v>5</v>
      </c>
      <c r="AU231" s="1" t="s">
        <v>83</v>
      </c>
      <c r="AV231" s="1">
        <v>5</v>
      </c>
      <c r="AW231" s="1">
        <v>5</v>
      </c>
      <c r="AX231" s="1" t="s">
        <v>83</v>
      </c>
      <c r="AY231" s="1">
        <v>0</v>
      </c>
      <c r="AZ231" s="1">
        <v>0</v>
      </c>
      <c r="BA231" s="1">
        <v>0</v>
      </c>
      <c r="BB231" s="1" t="s">
        <v>293</v>
      </c>
      <c r="BC231" s="1">
        <v>2</v>
      </c>
      <c r="BD231" s="1" t="s">
        <v>1506</v>
      </c>
      <c r="BE231" s="1" t="s">
        <v>98</v>
      </c>
      <c r="BF231" s="1" t="s">
        <v>98</v>
      </c>
      <c r="BG231" s="1" t="s">
        <v>98</v>
      </c>
    </row>
    <row r="232" spans="1:59" x14ac:dyDescent="0.35">
      <c r="A232" s="1">
        <v>231</v>
      </c>
      <c r="B232" s="1">
        <v>45842.353946759256</v>
      </c>
      <c r="C232" s="1" t="s">
        <v>1507</v>
      </c>
      <c r="D232" s="1" t="s">
        <v>1508</v>
      </c>
      <c r="E232" s="1" t="s">
        <v>63</v>
      </c>
      <c r="F232" s="1" t="s">
        <v>179</v>
      </c>
      <c r="G232" s="1" t="s">
        <v>1509</v>
      </c>
      <c r="H232" s="1" t="s">
        <v>459</v>
      </c>
      <c r="I232" s="1" t="s">
        <v>439</v>
      </c>
      <c r="J232" s="1" t="s">
        <v>1432</v>
      </c>
      <c r="K232" s="1" t="s">
        <v>1107</v>
      </c>
      <c r="L232" s="1" t="s">
        <v>69</v>
      </c>
      <c r="M232" s="1" t="s">
        <v>69</v>
      </c>
      <c r="N232" s="1" t="s">
        <v>69</v>
      </c>
      <c r="O232" s="1" t="s">
        <v>69</v>
      </c>
      <c r="P232" s="1" t="s">
        <v>106</v>
      </c>
      <c r="Q232" s="1" t="s">
        <v>1168</v>
      </c>
      <c r="R232" s="1" t="s">
        <v>566</v>
      </c>
      <c r="S232" s="1">
        <v>25</v>
      </c>
      <c r="T232" s="1" t="s">
        <v>72</v>
      </c>
      <c r="U232" s="1" t="s">
        <v>73</v>
      </c>
      <c r="V232" s="1" t="s">
        <v>74</v>
      </c>
      <c r="W232" s="1" t="s">
        <v>74</v>
      </c>
      <c r="X232" s="1">
        <v>5</v>
      </c>
      <c r="Y232" s="1">
        <v>6</v>
      </c>
      <c r="Z232" s="1" t="s">
        <v>83</v>
      </c>
      <c r="AA232" s="1">
        <v>6</v>
      </c>
      <c r="AB232" s="1">
        <v>6</v>
      </c>
      <c r="AC232" s="1" t="s">
        <v>83</v>
      </c>
      <c r="AD232" s="1">
        <v>6</v>
      </c>
      <c r="AE232" s="1">
        <v>6</v>
      </c>
      <c r="AF232" s="1" t="s">
        <v>83</v>
      </c>
      <c r="AG232" s="1">
        <v>6</v>
      </c>
      <c r="AH232" s="1">
        <v>6</v>
      </c>
      <c r="AI232" s="1" t="s">
        <v>83</v>
      </c>
      <c r="AJ232" s="1">
        <v>6</v>
      </c>
      <c r="AK232" s="1">
        <v>6</v>
      </c>
      <c r="AL232" s="1" t="s">
        <v>83</v>
      </c>
      <c r="AM232" s="1">
        <v>5</v>
      </c>
      <c r="AN232" s="1">
        <v>5</v>
      </c>
      <c r="AO232" s="1" t="s">
        <v>83</v>
      </c>
      <c r="AP232" s="1">
        <v>6</v>
      </c>
      <c r="AQ232" s="1">
        <v>6</v>
      </c>
      <c r="AR232" s="1" t="s">
        <v>83</v>
      </c>
      <c r="AS232" s="1">
        <v>6</v>
      </c>
      <c r="AT232" s="1">
        <v>6</v>
      </c>
      <c r="AU232" s="1" t="s">
        <v>83</v>
      </c>
      <c r="AV232" s="1">
        <v>5</v>
      </c>
      <c r="AW232" s="1">
        <v>5</v>
      </c>
      <c r="AX232" s="1" t="s">
        <v>83</v>
      </c>
      <c r="AY232" s="1">
        <v>0</v>
      </c>
      <c r="AZ232" s="1">
        <v>0</v>
      </c>
      <c r="BA232" s="1">
        <v>1</v>
      </c>
      <c r="BB232" s="1" t="s">
        <v>83</v>
      </c>
      <c r="BC232" s="1">
        <v>0</v>
      </c>
      <c r="BD232" s="1" t="s">
        <v>503</v>
      </c>
      <c r="BE232" s="1" t="s">
        <v>503</v>
      </c>
      <c r="BF232" s="1" t="s">
        <v>503</v>
      </c>
      <c r="BG232" s="1" t="s">
        <v>83</v>
      </c>
    </row>
    <row r="233" spans="1:59" x14ac:dyDescent="0.35">
      <c r="A233" s="1">
        <v>232</v>
      </c>
      <c r="B233" s="1">
        <v>45842.377962962964</v>
      </c>
      <c r="C233" s="1" t="s">
        <v>1510</v>
      </c>
      <c r="D233" s="1" t="s">
        <v>1511</v>
      </c>
      <c r="E233" s="1" t="s">
        <v>63</v>
      </c>
      <c r="F233" s="1" t="s">
        <v>179</v>
      </c>
      <c r="G233" s="1" t="s">
        <v>1512</v>
      </c>
      <c r="H233" s="1" t="s">
        <v>517</v>
      </c>
      <c r="I233" s="1" t="s">
        <v>518</v>
      </c>
      <c r="J233" s="1" t="s">
        <v>1480</v>
      </c>
      <c r="K233" s="1" t="s">
        <v>1513</v>
      </c>
      <c r="L233" s="1" t="s">
        <v>69</v>
      </c>
      <c r="M233" s="1" t="s">
        <v>69</v>
      </c>
      <c r="N233" s="1" t="s">
        <v>69</v>
      </c>
      <c r="O233" s="1" t="s">
        <v>69</v>
      </c>
      <c r="P233" s="1" t="s">
        <v>106</v>
      </c>
      <c r="Q233" s="1" t="s">
        <v>107</v>
      </c>
      <c r="R233" s="1" t="s">
        <v>469</v>
      </c>
      <c r="S233" s="1">
        <v>58</v>
      </c>
      <c r="T233" s="1" t="s">
        <v>182</v>
      </c>
      <c r="U233" s="1" t="s">
        <v>273</v>
      </c>
      <c r="V233" s="1" t="s">
        <v>74</v>
      </c>
      <c r="W233" s="1" t="s">
        <v>74</v>
      </c>
      <c r="X233" s="1">
        <v>6</v>
      </c>
      <c r="Y233" s="1">
        <v>6</v>
      </c>
      <c r="Z233" s="1" t="s">
        <v>83</v>
      </c>
      <c r="AA233" s="1">
        <v>6</v>
      </c>
      <c r="AB233" s="1">
        <v>6</v>
      </c>
      <c r="AC233" s="1" t="s">
        <v>83</v>
      </c>
      <c r="AD233" s="1">
        <v>5</v>
      </c>
      <c r="AE233" s="1">
        <v>5</v>
      </c>
      <c r="AF233" s="1" t="s">
        <v>83</v>
      </c>
      <c r="AG233" s="1">
        <v>0</v>
      </c>
      <c r="AH233" s="1">
        <v>0</v>
      </c>
      <c r="AI233" s="1" t="s">
        <v>83</v>
      </c>
      <c r="AJ233" s="1">
        <v>5</v>
      </c>
      <c r="AK233" s="1">
        <v>5</v>
      </c>
      <c r="AL233" s="1" t="s">
        <v>83</v>
      </c>
      <c r="AM233" s="1">
        <v>5</v>
      </c>
      <c r="AN233" s="1">
        <v>5</v>
      </c>
      <c r="AO233" s="1" t="s">
        <v>83</v>
      </c>
      <c r="AP233" s="1">
        <v>5</v>
      </c>
      <c r="AQ233" s="1">
        <v>6</v>
      </c>
      <c r="AR233" s="1" t="s">
        <v>83</v>
      </c>
      <c r="AS233" s="1">
        <v>6</v>
      </c>
      <c r="AT233" s="1">
        <v>6</v>
      </c>
      <c r="AU233" s="1" t="s">
        <v>83</v>
      </c>
      <c r="AV233" s="1">
        <v>5</v>
      </c>
      <c r="AW233" s="1">
        <v>5</v>
      </c>
      <c r="AX233" s="1" t="s">
        <v>83</v>
      </c>
      <c r="AY233" s="1">
        <v>0</v>
      </c>
      <c r="AZ233" s="1">
        <v>0</v>
      </c>
      <c r="BA233" s="1">
        <v>0</v>
      </c>
      <c r="BB233" s="1" t="s">
        <v>1514</v>
      </c>
      <c r="BC233" s="1">
        <v>2</v>
      </c>
      <c r="BD233" s="1" t="s">
        <v>248</v>
      </c>
      <c r="BE233" s="1" t="s">
        <v>248</v>
      </c>
      <c r="BF233" s="1" t="s">
        <v>248</v>
      </c>
      <c r="BG233" s="1" t="s">
        <v>83</v>
      </c>
    </row>
    <row r="234" spans="1:59" x14ac:dyDescent="0.35">
      <c r="A234" s="1">
        <v>233</v>
      </c>
      <c r="B234" s="1">
        <v>45842.381203703706</v>
      </c>
      <c r="C234" s="1" t="s">
        <v>1516</v>
      </c>
      <c r="D234" s="1" t="s">
        <v>1517</v>
      </c>
      <c r="E234" s="1" t="s">
        <v>63</v>
      </c>
      <c r="F234" s="1" t="s">
        <v>1518</v>
      </c>
      <c r="G234" s="1" t="s">
        <v>1519</v>
      </c>
      <c r="H234" s="1" t="s">
        <v>517</v>
      </c>
      <c r="I234" s="1" t="s">
        <v>518</v>
      </c>
      <c r="J234" s="1" t="s">
        <v>1480</v>
      </c>
      <c r="K234" s="1" t="s">
        <v>1520</v>
      </c>
      <c r="L234" s="1" t="s">
        <v>69</v>
      </c>
      <c r="M234" s="1" t="s">
        <v>69</v>
      </c>
      <c r="N234" s="1" t="s">
        <v>69</v>
      </c>
      <c r="O234" s="1" t="s">
        <v>69</v>
      </c>
      <c r="P234" s="1" t="s">
        <v>70</v>
      </c>
      <c r="Q234" s="1" t="s">
        <v>107</v>
      </c>
      <c r="R234" s="1" t="s">
        <v>1325</v>
      </c>
      <c r="S234" s="1">
        <v>50</v>
      </c>
      <c r="T234" s="1" t="s">
        <v>225</v>
      </c>
      <c r="U234" s="1" t="s">
        <v>273</v>
      </c>
      <c r="V234" s="1" t="s">
        <v>110</v>
      </c>
      <c r="W234" s="1" t="s">
        <v>110</v>
      </c>
      <c r="X234" s="1">
        <v>6</v>
      </c>
      <c r="Y234" s="1">
        <v>6</v>
      </c>
      <c r="Z234" s="1" t="s">
        <v>83</v>
      </c>
      <c r="AA234" s="1">
        <v>6</v>
      </c>
      <c r="AB234" s="1">
        <v>6</v>
      </c>
      <c r="AC234" s="1" t="s">
        <v>83</v>
      </c>
      <c r="AD234" s="1">
        <v>6</v>
      </c>
      <c r="AE234" s="1">
        <v>6</v>
      </c>
      <c r="AF234" s="1" t="s">
        <v>83</v>
      </c>
      <c r="AG234" s="1">
        <v>0</v>
      </c>
      <c r="AH234" s="1">
        <v>0</v>
      </c>
      <c r="AI234" s="1" t="s">
        <v>83</v>
      </c>
      <c r="AJ234" s="1">
        <v>6</v>
      </c>
      <c r="AK234" s="1">
        <v>6</v>
      </c>
      <c r="AL234" s="1" t="s">
        <v>83</v>
      </c>
      <c r="AM234" s="1">
        <v>6</v>
      </c>
      <c r="AN234" s="1">
        <v>6</v>
      </c>
      <c r="AO234" s="1" t="s">
        <v>83</v>
      </c>
      <c r="AP234" s="1">
        <v>6</v>
      </c>
      <c r="AQ234" s="1">
        <v>6</v>
      </c>
      <c r="AR234" s="1" t="s">
        <v>83</v>
      </c>
      <c r="AS234" s="1">
        <v>6</v>
      </c>
      <c r="AT234" s="1">
        <v>6</v>
      </c>
      <c r="AU234" s="1" t="s">
        <v>83</v>
      </c>
      <c r="AV234" s="1">
        <v>6</v>
      </c>
      <c r="AW234" s="1">
        <v>6</v>
      </c>
      <c r="AX234" s="1" t="s">
        <v>83</v>
      </c>
      <c r="AY234" s="1">
        <v>0</v>
      </c>
      <c r="AZ234" s="1">
        <v>0</v>
      </c>
      <c r="BA234" s="1">
        <v>0</v>
      </c>
      <c r="BB234" s="1" t="s">
        <v>293</v>
      </c>
      <c r="BC234" s="1">
        <v>1</v>
      </c>
      <c r="BD234" s="1" t="s">
        <v>1521</v>
      </c>
      <c r="BE234" s="1" t="s">
        <v>248</v>
      </c>
      <c r="BF234" s="1" t="s">
        <v>248</v>
      </c>
      <c r="BG234" s="1" t="s">
        <v>83</v>
      </c>
    </row>
    <row r="235" spans="1:59" x14ac:dyDescent="0.35">
      <c r="A235" s="1">
        <v>234</v>
      </c>
      <c r="B235" s="1">
        <v>45842.385185185187</v>
      </c>
      <c r="C235" s="1" t="s">
        <v>1522</v>
      </c>
      <c r="D235" s="1" t="s">
        <v>1523</v>
      </c>
      <c r="E235" s="1" t="s">
        <v>63</v>
      </c>
      <c r="F235" s="1" t="s">
        <v>179</v>
      </c>
      <c r="G235" s="1" t="s">
        <v>1524</v>
      </c>
      <c r="H235" s="1" t="s">
        <v>517</v>
      </c>
      <c r="I235" s="1" t="s">
        <v>518</v>
      </c>
      <c r="J235" s="1" t="s">
        <v>1480</v>
      </c>
      <c r="K235" s="1" t="s">
        <v>1525</v>
      </c>
      <c r="L235" s="1" t="s">
        <v>69</v>
      </c>
      <c r="M235" s="1" t="s">
        <v>69</v>
      </c>
      <c r="N235" s="1" t="s">
        <v>69</v>
      </c>
      <c r="O235" s="1" t="s">
        <v>69</v>
      </c>
      <c r="P235" s="1" t="s">
        <v>106</v>
      </c>
      <c r="Q235" s="1" t="s">
        <v>107</v>
      </c>
      <c r="R235" s="1" t="s">
        <v>217</v>
      </c>
      <c r="S235" s="1">
        <v>20</v>
      </c>
      <c r="T235" s="1" t="s">
        <v>131</v>
      </c>
      <c r="U235" s="1" t="s">
        <v>73</v>
      </c>
      <c r="V235" s="1" t="s">
        <v>94</v>
      </c>
      <c r="W235" s="1" t="s">
        <v>95</v>
      </c>
      <c r="X235" s="1">
        <v>6</v>
      </c>
      <c r="Y235" s="1">
        <v>5</v>
      </c>
      <c r="Z235" s="1" t="s">
        <v>83</v>
      </c>
      <c r="AA235" s="1">
        <v>5</v>
      </c>
      <c r="AB235" s="1">
        <v>5</v>
      </c>
      <c r="AC235" s="1" t="s">
        <v>83</v>
      </c>
      <c r="AD235" s="1">
        <v>6</v>
      </c>
      <c r="AE235" s="1">
        <v>6</v>
      </c>
      <c r="AF235" s="1" t="s">
        <v>83</v>
      </c>
      <c r="AG235" s="1">
        <v>0</v>
      </c>
      <c r="AH235" s="1">
        <v>0</v>
      </c>
      <c r="AI235" s="1" t="s">
        <v>83</v>
      </c>
      <c r="AJ235" s="1">
        <v>5</v>
      </c>
      <c r="AK235" s="1">
        <v>5</v>
      </c>
      <c r="AL235" s="1" t="s">
        <v>83</v>
      </c>
      <c r="AM235" s="1">
        <v>6</v>
      </c>
      <c r="AN235" s="1">
        <v>5</v>
      </c>
      <c r="AO235" s="1" t="s">
        <v>83</v>
      </c>
      <c r="AP235" s="1">
        <v>6</v>
      </c>
      <c r="AQ235" s="1">
        <v>6</v>
      </c>
      <c r="AR235" s="1" t="s">
        <v>83</v>
      </c>
      <c r="AS235" s="1">
        <v>5</v>
      </c>
      <c r="AT235" s="1">
        <v>5</v>
      </c>
      <c r="AU235" s="1" t="s">
        <v>83</v>
      </c>
      <c r="AV235" s="1">
        <v>6</v>
      </c>
      <c r="AW235" s="1">
        <v>6</v>
      </c>
      <c r="AX235" s="1" t="s">
        <v>83</v>
      </c>
      <c r="AY235" s="1">
        <v>0</v>
      </c>
      <c r="AZ235" s="1">
        <v>0</v>
      </c>
      <c r="BA235" s="1">
        <v>0</v>
      </c>
      <c r="BB235" s="1" t="s">
        <v>77</v>
      </c>
      <c r="BC235" s="1">
        <v>2</v>
      </c>
      <c r="BD235" s="1" t="s">
        <v>248</v>
      </c>
      <c r="BE235" s="1" t="s">
        <v>462</v>
      </c>
      <c r="BF235" s="1" t="s">
        <v>248</v>
      </c>
      <c r="BG235" s="1" t="s">
        <v>83</v>
      </c>
    </row>
    <row r="236" spans="1:59" x14ac:dyDescent="0.35">
      <c r="A236" s="1">
        <v>235</v>
      </c>
      <c r="B236" s="1">
        <v>45842.390185185184</v>
      </c>
      <c r="C236" s="1" t="s">
        <v>1526</v>
      </c>
      <c r="D236" s="1" t="s">
        <v>1527</v>
      </c>
      <c r="E236" s="1" t="s">
        <v>63</v>
      </c>
      <c r="F236" s="1" t="s">
        <v>136</v>
      </c>
      <c r="G236" s="1" t="s">
        <v>1528</v>
      </c>
      <c r="H236" s="1" t="s">
        <v>138</v>
      </c>
      <c r="I236" s="1" t="s">
        <v>139</v>
      </c>
      <c r="J236" s="1" t="s">
        <v>1480</v>
      </c>
      <c r="K236" s="1" t="s">
        <v>1529</v>
      </c>
      <c r="L236" s="1" t="s">
        <v>69</v>
      </c>
      <c r="M236" s="1" t="s">
        <v>69</v>
      </c>
      <c r="N236" s="1" t="s">
        <v>69</v>
      </c>
      <c r="O236" s="1" t="s">
        <v>69</v>
      </c>
      <c r="P236" s="1" t="s">
        <v>106</v>
      </c>
      <c r="Q236" s="1" t="s">
        <v>107</v>
      </c>
      <c r="R236" s="1" t="s">
        <v>2436</v>
      </c>
      <c r="S236" s="1">
        <v>24</v>
      </c>
      <c r="T236" s="1" t="s">
        <v>72</v>
      </c>
      <c r="U236" s="1" t="s">
        <v>73</v>
      </c>
      <c r="V236" s="1" t="s">
        <v>110</v>
      </c>
      <c r="W236" s="1" t="s">
        <v>110</v>
      </c>
      <c r="X236" s="1">
        <v>5</v>
      </c>
      <c r="Y236" s="1">
        <v>6</v>
      </c>
      <c r="Z236" s="1" t="s">
        <v>83</v>
      </c>
      <c r="AA236" s="1">
        <v>5</v>
      </c>
      <c r="AB236" s="1">
        <v>6</v>
      </c>
      <c r="AC236" s="1" t="s">
        <v>83</v>
      </c>
      <c r="AD236" s="1">
        <v>6</v>
      </c>
      <c r="AE236" s="1">
        <v>6</v>
      </c>
      <c r="AF236" s="1" t="s">
        <v>83</v>
      </c>
      <c r="AG236" s="1">
        <v>6</v>
      </c>
      <c r="AH236" s="1">
        <v>6</v>
      </c>
      <c r="AI236" s="1" t="s">
        <v>83</v>
      </c>
      <c r="AJ236" s="1">
        <v>4</v>
      </c>
      <c r="AK236" s="1">
        <v>5</v>
      </c>
      <c r="AL236" s="1" t="s">
        <v>83</v>
      </c>
      <c r="AM236" s="1">
        <v>6</v>
      </c>
      <c r="AN236" s="1">
        <v>6</v>
      </c>
      <c r="AO236" s="1" t="s">
        <v>83</v>
      </c>
      <c r="AP236" s="1">
        <v>5</v>
      </c>
      <c r="AQ236" s="1">
        <v>5</v>
      </c>
      <c r="AR236" s="1" t="s">
        <v>83</v>
      </c>
      <c r="AS236" s="1">
        <v>6</v>
      </c>
      <c r="AT236" s="1">
        <v>5</v>
      </c>
      <c r="AU236" s="1" t="s">
        <v>83</v>
      </c>
      <c r="AV236" s="1">
        <v>6</v>
      </c>
      <c r="AW236" s="1">
        <v>6</v>
      </c>
      <c r="AX236" s="1" t="s">
        <v>83</v>
      </c>
      <c r="AY236" s="1">
        <v>0</v>
      </c>
      <c r="AZ236" s="1">
        <v>0</v>
      </c>
      <c r="BA236" s="1">
        <v>0</v>
      </c>
      <c r="BB236" s="1" t="s">
        <v>293</v>
      </c>
      <c r="BC236" s="1">
        <v>1</v>
      </c>
      <c r="BD236" s="1" t="s">
        <v>98</v>
      </c>
      <c r="BE236" s="1" t="s">
        <v>98</v>
      </c>
      <c r="BF236" s="1" t="s">
        <v>98</v>
      </c>
      <c r="BG236" s="1" t="s">
        <v>1530</v>
      </c>
    </row>
    <row r="237" spans="1:59" x14ac:dyDescent="0.35">
      <c r="A237" s="1">
        <v>236</v>
      </c>
      <c r="B237" s="1">
        <v>45842.393379629626</v>
      </c>
      <c r="C237" s="1" t="s">
        <v>1531</v>
      </c>
      <c r="D237" s="1" t="s">
        <v>1532</v>
      </c>
      <c r="E237" s="1" t="s">
        <v>63</v>
      </c>
      <c r="F237" s="1" t="s">
        <v>136</v>
      </c>
      <c r="G237" s="1" t="s">
        <v>1533</v>
      </c>
      <c r="H237" s="1" t="s">
        <v>138</v>
      </c>
      <c r="I237" s="1" t="s">
        <v>139</v>
      </c>
      <c r="J237" s="1" t="s">
        <v>1480</v>
      </c>
      <c r="K237" s="1" t="s">
        <v>1534</v>
      </c>
      <c r="L237" s="1" t="s">
        <v>69</v>
      </c>
      <c r="M237" s="1" t="s">
        <v>69</v>
      </c>
      <c r="N237" s="1" t="s">
        <v>69</v>
      </c>
      <c r="O237" s="1" t="s">
        <v>69</v>
      </c>
      <c r="P237" s="1" t="s">
        <v>70</v>
      </c>
      <c r="Q237" s="1" t="s">
        <v>107</v>
      </c>
      <c r="R237" s="1" t="s">
        <v>2498</v>
      </c>
      <c r="S237" s="1">
        <v>26</v>
      </c>
      <c r="T237" s="1" t="s">
        <v>92</v>
      </c>
      <c r="U237" s="1" t="s">
        <v>73</v>
      </c>
      <c r="V237" s="1" t="s">
        <v>110</v>
      </c>
      <c r="W237" s="1" t="s">
        <v>110</v>
      </c>
      <c r="X237" s="1">
        <v>6</v>
      </c>
      <c r="Y237" s="1">
        <v>6</v>
      </c>
      <c r="Z237" s="1" t="s">
        <v>83</v>
      </c>
      <c r="AA237" s="1">
        <v>6</v>
      </c>
      <c r="AB237" s="1">
        <v>6</v>
      </c>
      <c r="AC237" s="1" t="s">
        <v>83</v>
      </c>
      <c r="AD237" s="1">
        <v>6</v>
      </c>
      <c r="AE237" s="1">
        <v>6</v>
      </c>
      <c r="AF237" s="1" t="s">
        <v>83</v>
      </c>
      <c r="AG237" s="1">
        <v>6</v>
      </c>
      <c r="AH237" s="1">
        <v>6</v>
      </c>
      <c r="AI237" s="1" t="s">
        <v>83</v>
      </c>
      <c r="AJ237" s="1">
        <v>6</v>
      </c>
      <c r="AK237" s="1">
        <v>6</v>
      </c>
      <c r="AL237" s="1" t="s">
        <v>83</v>
      </c>
      <c r="AM237" s="1">
        <v>6</v>
      </c>
      <c r="AN237" s="1">
        <v>6</v>
      </c>
      <c r="AO237" s="1" t="s">
        <v>83</v>
      </c>
      <c r="AP237" s="1">
        <v>6</v>
      </c>
      <c r="AQ237" s="1">
        <v>6</v>
      </c>
      <c r="AR237" s="1" t="s">
        <v>83</v>
      </c>
      <c r="AS237" s="1">
        <v>6</v>
      </c>
      <c r="AT237" s="1">
        <v>6</v>
      </c>
      <c r="AU237" s="1" t="s">
        <v>83</v>
      </c>
      <c r="AV237" s="1">
        <v>6</v>
      </c>
      <c r="AW237" s="1">
        <v>6</v>
      </c>
      <c r="AX237" s="1" t="s">
        <v>83</v>
      </c>
      <c r="AY237" s="1">
        <v>0</v>
      </c>
      <c r="AZ237" s="1">
        <v>0</v>
      </c>
      <c r="BA237" s="1">
        <v>0</v>
      </c>
      <c r="BB237" s="1" t="s">
        <v>144</v>
      </c>
      <c r="BC237" s="1">
        <v>2</v>
      </c>
      <c r="BD237" s="1" t="s">
        <v>98</v>
      </c>
      <c r="BE237" s="1" t="s">
        <v>98</v>
      </c>
      <c r="BF237" s="1" t="s">
        <v>98</v>
      </c>
      <c r="BG237" s="1" t="s">
        <v>98</v>
      </c>
    </row>
    <row r="238" spans="1:59" x14ac:dyDescent="0.35">
      <c r="A238" s="1">
        <v>237</v>
      </c>
      <c r="B238" s="1">
        <v>45842.396458333336</v>
      </c>
      <c r="C238" s="1" t="s">
        <v>1535</v>
      </c>
      <c r="D238" s="1" t="s">
        <v>1536</v>
      </c>
      <c r="E238" s="1" t="s">
        <v>63</v>
      </c>
      <c r="F238" s="1" t="s">
        <v>136</v>
      </c>
      <c r="G238" s="1" t="s">
        <v>1537</v>
      </c>
      <c r="H238" s="1" t="s">
        <v>138</v>
      </c>
      <c r="I238" s="1" t="s">
        <v>139</v>
      </c>
      <c r="J238" s="1" t="s">
        <v>1480</v>
      </c>
      <c r="K238" s="1" t="s">
        <v>1538</v>
      </c>
      <c r="L238" s="1" t="s">
        <v>69</v>
      </c>
      <c r="M238" s="1" t="s">
        <v>69</v>
      </c>
      <c r="N238" s="1" t="s">
        <v>69</v>
      </c>
      <c r="O238" s="1" t="s">
        <v>69</v>
      </c>
      <c r="P238" s="1" t="s">
        <v>70</v>
      </c>
      <c r="Q238" s="1" t="s">
        <v>107</v>
      </c>
      <c r="R238" s="1" t="s">
        <v>2474</v>
      </c>
      <c r="S238" s="1">
        <v>20</v>
      </c>
      <c r="T238" s="1" t="s">
        <v>131</v>
      </c>
      <c r="U238" s="1" t="s">
        <v>73</v>
      </c>
      <c r="V238" s="1" t="s">
        <v>94</v>
      </c>
      <c r="W238" s="1" t="s">
        <v>95</v>
      </c>
      <c r="X238" s="1">
        <v>6</v>
      </c>
      <c r="Y238" s="1">
        <v>6</v>
      </c>
      <c r="Z238" s="1" t="s">
        <v>83</v>
      </c>
      <c r="AA238" s="1">
        <v>6</v>
      </c>
      <c r="AB238" s="1">
        <v>6</v>
      </c>
      <c r="AC238" s="1" t="s">
        <v>83</v>
      </c>
      <c r="AD238" s="1">
        <v>6</v>
      </c>
      <c r="AE238" s="1">
        <v>6</v>
      </c>
      <c r="AF238" s="1" t="s">
        <v>83</v>
      </c>
      <c r="AG238" s="1">
        <v>6</v>
      </c>
      <c r="AH238" s="1">
        <v>6</v>
      </c>
      <c r="AI238" s="1" t="s">
        <v>83</v>
      </c>
      <c r="AJ238" s="1">
        <v>6</v>
      </c>
      <c r="AK238" s="1">
        <v>6</v>
      </c>
      <c r="AL238" s="1" t="s">
        <v>83</v>
      </c>
      <c r="AM238" s="1">
        <v>6</v>
      </c>
      <c r="AN238" s="1">
        <v>6</v>
      </c>
      <c r="AO238" s="1" t="s">
        <v>83</v>
      </c>
      <c r="AP238" s="1">
        <v>6</v>
      </c>
      <c r="AQ238" s="1">
        <v>6</v>
      </c>
      <c r="AR238" s="1" t="s">
        <v>83</v>
      </c>
      <c r="AS238" s="1">
        <v>6</v>
      </c>
      <c r="AT238" s="1">
        <v>6</v>
      </c>
      <c r="AU238" s="1" t="s">
        <v>83</v>
      </c>
      <c r="AV238" s="1">
        <v>6</v>
      </c>
      <c r="AW238" s="1">
        <v>6</v>
      </c>
      <c r="AX238" s="1" t="s">
        <v>83</v>
      </c>
      <c r="AY238" s="1">
        <v>0</v>
      </c>
      <c r="AZ238" s="1">
        <v>0</v>
      </c>
      <c r="BA238" s="1">
        <v>0</v>
      </c>
      <c r="BB238" s="1" t="s">
        <v>144</v>
      </c>
      <c r="BC238" s="1">
        <v>2</v>
      </c>
      <c r="BD238" s="1" t="s">
        <v>98</v>
      </c>
      <c r="BE238" s="1" t="s">
        <v>98</v>
      </c>
      <c r="BF238" s="1" t="s">
        <v>98</v>
      </c>
      <c r="BG238" s="1" t="s">
        <v>98</v>
      </c>
    </row>
    <row r="239" spans="1:59" x14ac:dyDescent="0.35">
      <c r="A239" s="1">
        <v>238</v>
      </c>
      <c r="B239" s="1">
        <v>45842.404594907406</v>
      </c>
      <c r="C239" s="1" t="s">
        <v>1539</v>
      </c>
      <c r="D239" s="1" t="s">
        <v>772</v>
      </c>
      <c r="E239" s="1" t="s">
        <v>772</v>
      </c>
      <c r="F239" s="1" t="s">
        <v>772</v>
      </c>
      <c r="G239" s="1" t="s">
        <v>1540</v>
      </c>
      <c r="H239" s="1" t="s">
        <v>578</v>
      </c>
      <c r="I239" s="1" t="s">
        <v>588</v>
      </c>
      <c r="J239" s="1" t="s">
        <v>1541</v>
      </c>
      <c r="K239" s="1" t="s">
        <v>1542</v>
      </c>
      <c r="L239" s="1" t="s">
        <v>69</v>
      </c>
      <c r="M239" s="1" t="s">
        <v>69</v>
      </c>
      <c r="N239" s="1" t="s">
        <v>69</v>
      </c>
      <c r="O239" s="1" t="s">
        <v>69</v>
      </c>
      <c r="P239" s="1" t="s">
        <v>106</v>
      </c>
      <c r="Q239" s="1" t="s">
        <v>1180</v>
      </c>
      <c r="R239" s="1" t="s">
        <v>1543</v>
      </c>
      <c r="S239" s="1">
        <v>47</v>
      </c>
      <c r="T239" s="1" t="s">
        <v>225</v>
      </c>
      <c r="U239" s="1" t="s">
        <v>93</v>
      </c>
      <c r="V239" s="1" t="s">
        <v>74</v>
      </c>
      <c r="W239" s="1" t="s">
        <v>74</v>
      </c>
      <c r="X239" s="1">
        <v>6</v>
      </c>
      <c r="Y239" s="1">
        <v>6</v>
      </c>
      <c r="Z239" s="1" t="s">
        <v>83</v>
      </c>
      <c r="AA239" s="1">
        <v>5</v>
      </c>
      <c r="AB239" s="1">
        <v>6</v>
      </c>
      <c r="AC239" s="1" t="s">
        <v>83</v>
      </c>
      <c r="AD239" s="1">
        <v>6</v>
      </c>
      <c r="AE239" s="1">
        <v>6</v>
      </c>
      <c r="AF239" s="1" t="s">
        <v>83</v>
      </c>
      <c r="AG239" s="1">
        <v>0</v>
      </c>
      <c r="AH239" s="1">
        <v>0</v>
      </c>
      <c r="AI239" s="1" t="s">
        <v>83</v>
      </c>
      <c r="AJ239" s="1">
        <v>6</v>
      </c>
      <c r="AK239" s="1">
        <v>6</v>
      </c>
      <c r="AL239" s="1" t="s">
        <v>83</v>
      </c>
      <c r="AM239" s="1">
        <v>6</v>
      </c>
      <c r="AN239" s="1">
        <v>6</v>
      </c>
      <c r="AO239" s="1" t="s">
        <v>83</v>
      </c>
      <c r="AP239" s="1">
        <v>6</v>
      </c>
      <c r="AQ239" s="1">
        <v>6</v>
      </c>
      <c r="AR239" s="1" t="s">
        <v>83</v>
      </c>
      <c r="AS239" s="1">
        <v>5</v>
      </c>
      <c r="AT239" s="1">
        <v>5</v>
      </c>
      <c r="AU239" s="1" t="s">
        <v>83</v>
      </c>
      <c r="AV239" s="1">
        <v>6</v>
      </c>
      <c r="AW239" s="1">
        <v>6</v>
      </c>
      <c r="AX239" s="1" t="s">
        <v>83</v>
      </c>
      <c r="AY239" s="1">
        <v>0</v>
      </c>
      <c r="AZ239" s="1">
        <v>0</v>
      </c>
      <c r="BA239" s="1">
        <v>0</v>
      </c>
      <c r="BB239" s="1" t="s">
        <v>144</v>
      </c>
      <c r="BC239" s="1">
        <v>1</v>
      </c>
      <c r="BD239" s="1" t="s">
        <v>1544</v>
      </c>
      <c r="BE239" s="1" t="s">
        <v>1545</v>
      </c>
      <c r="BF239" s="1" t="s">
        <v>1546</v>
      </c>
      <c r="BG239" s="1" t="s">
        <v>1547</v>
      </c>
    </row>
    <row r="240" spans="1:59" x14ac:dyDescent="0.35">
      <c r="A240" s="1">
        <v>239</v>
      </c>
      <c r="B240" s="1">
        <v>45842.407164351855</v>
      </c>
      <c r="C240" s="1" t="s">
        <v>1548</v>
      </c>
      <c r="D240" s="1" t="s">
        <v>1549</v>
      </c>
      <c r="E240" s="1" t="s">
        <v>63</v>
      </c>
      <c r="F240" s="1" t="s">
        <v>136</v>
      </c>
      <c r="G240" s="1" t="s">
        <v>1550</v>
      </c>
      <c r="H240" s="1" t="s">
        <v>138</v>
      </c>
      <c r="I240" s="1" t="s">
        <v>139</v>
      </c>
      <c r="J240" s="1" t="s">
        <v>1480</v>
      </c>
      <c r="K240" s="1" t="s">
        <v>1551</v>
      </c>
      <c r="L240" s="1" t="s">
        <v>69</v>
      </c>
      <c r="M240" s="1" t="s">
        <v>69</v>
      </c>
      <c r="N240" s="1" t="s">
        <v>69</v>
      </c>
      <c r="O240" s="1" t="s">
        <v>69</v>
      </c>
      <c r="P240" s="1" t="s">
        <v>106</v>
      </c>
      <c r="Q240" s="1" t="s">
        <v>107</v>
      </c>
      <c r="R240" s="1" t="s">
        <v>2501</v>
      </c>
      <c r="S240" s="1">
        <v>50</v>
      </c>
      <c r="T240" s="1" t="s">
        <v>225</v>
      </c>
      <c r="U240" s="1" t="s">
        <v>254</v>
      </c>
      <c r="V240" s="1" t="s">
        <v>74</v>
      </c>
      <c r="W240" s="1" t="s">
        <v>74</v>
      </c>
      <c r="X240" s="1">
        <v>6</v>
      </c>
      <c r="Y240" s="1">
        <v>6</v>
      </c>
      <c r="Z240" s="1" t="s">
        <v>83</v>
      </c>
      <c r="AA240" s="1">
        <v>6</v>
      </c>
      <c r="AB240" s="1">
        <v>6</v>
      </c>
      <c r="AC240" s="1" t="s">
        <v>83</v>
      </c>
      <c r="AD240" s="1">
        <v>6</v>
      </c>
      <c r="AE240" s="1">
        <v>6</v>
      </c>
      <c r="AF240" s="1" t="s">
        <v>83</v>
      </c>
      <c r="AG240" s="1">
        <v>6</v>
      </c>
      <c r="AH240" s="1">
        <v>6</v>
      </c>
      <c r="AI240" s="1" t="s">
        <v>83</v>
      </c>
      <c r="AJ240" s="1">
        <v>6</v>
      </c>
      <c r="AK240" s="1">
        <v>6</v>
      </c>
      <c r="AL240" s="1" t="s">
        <v>83</v>
      </c>
      <c r="AM240" s="1">
        <v>6</v>
      </c>
      <c r="AN240" s="1">
        <v>6</v>
      </c>
      <c r="AO240" s="1" t="s">
        <v>83</v>
      </c>
      <c r="AP240" s="1">
        <v>6</v>
      </c>
      <c r="AQ240" s="1">
        <v>6</v>
      </c>
      <c r="AR240" s="1" t="s">
        <v>83</v>
      </c>
      <c r="AS240" s="1">
        <v>6</v>
      </c>
      <c r="AT240" s="1">
        <v>6</v>
      </c>
      <c r="AU240" s="1" t="s">
        <v>83</v>
      </c>
      <c r="AV240" s="1">
        <v>6</v>
      </c>
      <c r="AW240" s="1">
        <v>6</v>
      </c>
      <c r="AX240" s="1" t="s">
        <v>83</v>
      </c>
      <c r="AY240" s="1">
        <v>1</v>
      </c>
      <c r="AZ240" s="1">
        <v>0</v>
      </c>
      <c r="BA240" s="1">
        <v>0</v>
      </c>
      <c r="BB240" s="1" t="s">
        <v>83</v>
      </c>
      <c r="BC240" s="1">
        <v>0</v>
      </c>
      <c r="BD240" s="1" t="s">
        <v>98</v>
      </c>
      <c r="BE240" s="1" t="s">
        <v>98</v>
      </c>
      <c r="BF240" s="1" t="s">
        <v>98</v>
      </c>
      <c r="BG240" s="1" t="s">
        <v>1552</v>
      </c>
    </row>
    <row r="241" spans="1:59" x14ac:dyDescent="0.35">
      <c r="A241" s="1">
        <v>240</v>
      </c>
      <c r="B241" s="1">
        <v>45842.407997685186</v>
      </c>
      <c r="C241" s="1" t="s">
        <v>1553</v>
      </c>
      <c r="D241" s="1" t="s">
        <v>1554</v>
      </c>
      <c r="E241" s="1" t="s">
        <v>63</v>
      </c>
      <c r="F241" s="1" t="s">
        <v>1555</v>
      </c>
      <c r="G241" s="1" t="s">
        <v>1556</v>
      </c>
      <c r="H241" s="1" t="s">
        <v>578</v>
      </c>
      <c r="I241" s="1" t="s">
        <v>588</v>
      </c>
      <c r="J241" s="1" t="s">
        <v>1432</v>
      </c>
      <c r="K241" s="1" t="s">
        <v>1432</v>
      </c>
      <c r="L241" s="1" t="s">
        <v>69</v>
      </c>
      <c r="M241" s="1" t="s">
        <v>69</v>
      </c>
      <c r="N241" s="1" t="s">
        <v>69</v>
      </c>
      <c r="O241" s="1" t="s">
        <v>69</v>
      </c>
      <c r="P241" s="1" t="s">
        <v>70</v>
      </c>
      <c r="Q241" s="1" t="s">
        <v>292</v>
      </c>
      <c r="R241" s="1" t="s">
        <v>598</v>
      </c>
      <c r="S241" s="1">
        <v>18</v>
      </c>
      <c r="T241" s="1" t="s">
        <v>131</v>
      </c>
      <c r="U241" s="1" t="s">
        <v>73</v>
      </c>
      <c r="V241" s="1" t="s">
        <v>94</v>
      </c>
      <c r="W241" s="1" t="s">
        <v>95</v>
      </c>
      <c r="X241" s="1">
        <v>5</v>
      </c>
      <c r="Y241" s="1">
        <v>6</v>
      </c>
      <c r="Z241" s="1" t="s">
        <v>83</v>
      </c>
      <c r="AA241" s="1">
        <v>6</v>
      </c>
      <c r="AB241" s="1">
        <v>6</v>
      </c>
      <c r="AC241" s="1" t="s">
        <v>83</v>
      </c>
      <c r="AD241" s="1">
        <v>6</v>
      </c>
      <c r="AE241" s="1">
        <v>6</v>
      </c>
      <c r="AF241" s="1" t="s">
        <v>83</v>
      </c>
      <c r="AG241" s="1">
        <v>5</v>
      </c>
      <c r="AH241" s="1">
        <v>5</v>
      </c>
      <c r="AI241" s="1" t="s">
        <v>83</v>
      </c>
      <c r="AJ241" s="1">
        <v>6</v>
      </c>
      <c r="AK241" s="1">
        <v>6</v>
      </c>
      <c r="AL241" s="1" t="s">
        <v>83</v>
      </c>
      <c r="AM241" s="1">
        <v>6</v>
      </c>
      <c r="AN241" s="1">
        <v>6</v>
      </c>
      <c r="AO241" s="1" t="s">
        <v>83</v>
      </c>
      <c r="AP241" s="1">
        <v>5</v>
      </c>
      <c r="AQ241" s="1">
        <v>6</v>
      </c>
      <c r="AR241" s="1" t="s">
        <v>83</v>
      </c>
      <c r="AS241" s="1">
        <v>6</v>
      </c>
      <c r="AT241" s="1">
        <v>6</v>
      </c>
      <c r="AU241" s="1" t="s">
        <v>83</v>
      </c>
      <c r="AV241" s="1">
        <v>5</v>
      </c>
      <c r="AW241" s="1">
        <v>5</v>
      </c>
      <c r="AX241" s="1" t="s">
        <v>83</v>
      </c>
      <c r="AY241" s="1">
        <v>0</v>
      </c>
      <c r="AZ241" s="1">
        <v>2</v>
      </c>
      <c r="BA241" s="1">
        <v>0</v>
      </c>
      <c r="BB241" s="1" t="s">
        <v>83</v>
      </c>
      <c r="BC241" s="1">
        <v>0</v>
      </c>
      <c r="BD241" s="1" t="s">
        <v>98</v>
      </c>
      <c r="BE241" s="1" t="s">
        <v>98</v>
      </c>
      <c r="BF241" s="1" t="s">
        <v>98</v>
      </c>
      <c r="BG241" s="1" t="s">
        <v>83</v>
      </c>
    </row>
    <row r="242" spans="1:59" x14ac:dyDescent="0.35">
      <c r="A242" s="1">
        <v>241</v>
      </c>
      <c r="B242" s="1">
        <v>45842.410960648151</v>
      </c>
      <c r="C242" s="1" t="s">
        <v>1557</v>
      </c>
      <c r="D242" s="1" t="s">
        <v>1558</v>
      </c>
      <c r="E242" s="1" t="s">
        <v>63</v>
      </c>
      <c r="F242" s="1" t="s">
        <v>136</v>
      </c>
      <c r="G242" s="1" t="s">
        <v>1559</v>
      </c>
      <c r="H242" s="1" t="s">
        <v>138</v>
      </c>
      <c r="I242" s="1" t="s">
        <v>139</v>
      </c>
      <c r="J242" s="1" t="s">
        <v>1480</v>
      </c>
      <c r="K242" s="1" t="s">
        <v>1560</v>
      </c>
      <c r="L242" s="1" t="s">
        <v>69</v>
      </c>
      <c r="M242" s="1" t="s">
        <v>69</v>
      </c>
      <c r="N242" s="1" t="s">
        <v>69</v>
      </c>
      <c r="O242" s="1" t="s">
        <v>69</v>
      </c>
      <c r="P242" s="1" t="s">
        <v>106</v>
      </c>
      <c r="Q242" s="1" t="s">
        <v>107</v>
      </c>
      <c r="R242" s="1" t="s">
        <v>2502</v>
      </c>
      <c r="S242" s="1">
        <v>29</v>
      </c>
      <c r="T242" s="1" t="s">
        <v>92</v>
      </c>
      <c r="U242" s="1" t="s">
        <v>73</v>
      </c>
      <c r="V242" s="1" t="s">
        <v>74</v>
      </c>
      <c r="W242" s="1" t="s">
        <v>74</v>
      </c>
      <c r="X242" s="1">
        <v>6</v>
      </c>
      <c r="Y242" s="1">
        <v>6</v>
      </c>
      <c r="Z242" s="1" t="s">
        <v>83</v>
      </c>
      <c r="AA242" s="1">
        <v>6</v>
      </c>
      <c r="AB242" s="1">
        <v>6</v>
      </c>
      <c r="AC242" s="1" t="s">
        <v>83</v>
      </c>
      <c r="AD242" s="1">
        <v>6</v>
      </c>
      <c r="AE242" s="1">
        <v>6</v>
      </c>
      <c r="AF242" s="1" t="s">
        <v>83</v>
      </c>
      <c r="AG242" s="1">
        <v>6</v>
      </c>
      <c r="AH242" s="1">
        <v>6</v>
      </c>
      <c r="AI242" s="1" t="s">
        <v>83</v>
      </c>
      <c r="AJ242" s="1">
        <v>5</v>
      </c>
      <c r="AK242" s="1">
        <v>5</v>
      </c>
      <c r="AL242" s="1" t="s">
        <v>83</v>
      </c>
      <c r="AM242" s="1">
        <v>6</v>
      </c>
      <c r="AN242" s="1">
        <v>6</v>
      </c>
      <c r="AO242" s="1" t="s">
        <v>83</v>
      </c>
      <c r="AP242" s="1">
        <v>6</v>
      </c>
      <c r="AQ242" s="1">
        <v>6</v>
      </c>
      <c r="AR242" s="1" t="s">
        <v>83</v>
      </c>
      <c r="AS242" s="1">
        <v>6</v>
      </c>
      <c r="AT242" s="1">
        <v>6</v>
      </c>
      <c r="AU242" s="1" t="s">
        <v>83</v>
      </c>
      <c r="AV242" s="1">
        <v>5</v>
      </c>
      <c r="AW242" s="1">
        <v>5</v>
      </c>
      <c r="AX242" s="1" t="s">
        <v>83</v>
      </c>
      <c r="AY242" s="1">
        <v>0</v>
      </c>
      <c r="AZ242" s="1">
        <v>0</v>
      </c>
      <c r="BA242" s="1">
        <v>0</v>
      </c>
      <c r="BB242" s="1" t="s">
        <v>384</v>
      </c>
      <c r="BC242" s="1">
        <v>1</v>
      </c>
      <c r="BD242" s="1" t="s">
        <v>98</v>
      </c>
      <c r="BE242" s="1" t="s">
        <v>98</v>
      </c>
      <c r="BF242" s="1" t="s">
        <v>98</v>
      </c>
      <c r="BG242" s="1" t="s">
        <v>98</v>
      </c>
    </row>
    <row r="243" spans="1:59" x14ac:dyDescent="0.35">
      <c r="A243" s="1">
        <v>242</v>
      </c>
      <c r="B243" s="1">
        <v>45842.411446759259</v>
      </c>
      <c r="C243" s="1" t="s">
        <v>1561</v>
      </c>
      <c r="D243" s="1" t="s">
        <v>1562</v>
      </c>
      <c r="E243" s="1" t="s">
        <v>63</v>
      </c>
      <c r="F243" s="1" t="s">
        <v>63</v>
      </c>
      <c r="G243" s="1" t="s">
        <v>1563</v>
      </c>
      <c r="H243" s="1" t="s">
        <v>578</v>
      </c>
      <c r="I243" s="1" t="s">
        <v>588</v>
      </c>
      <c r="J243" s="1" t="s">
        <v>1432</v>
      </c>
      <c r="K243" s="1" t="s">
        <v>940</v>
      </c>
      <c r="L243" s="1" t="s">
        <v>69</v>
      </c>
      <c r="M243" s="1" t="s">
        <v>69</v>
      </c>
      <c r="N243" s="1" t="s">
        <v>69</v>
      </c>
      <c r="O243" s="1" t="s">
        <v>69</v>
      </c>
      <c r="P243" s="1" t="s">
        <v>106</v>
      </c>
      <c r="Q243" s="1" t="s">
        <v>292</v>
      </c>
      <c r="R243" s="1" t="s">
        <v>598</v>
      </c>
      <c r="S243" s="1">
        <v>18</v>
      </c>
      <c r="T243" s="1" t="s">
        <v>131</v>
      </c>
      <c r="U243" s="1" t="s">
        <v>73</v>
      </c>
      <c r="V243" s="1" t="s">
        <v>94</v>
      </c>
      <c r="W243" s="1" t="s">
        <v>95</v>
      </c>
      <c r="X243" s="1">
        <v>6</v>
      </c>
      <c r="Y243" s="1">
        <v>6</v>
      </c>
      <c r="Z243" s="1" t="s">
        <v>83</v>
      </c>
      <c r="AA243" s="1">
        <v>6</v>
      </c>
      <c r="AB243" s="1">
        <v>6</v>
      </c>
      <c r="AC243" s="1" t="s">
        <v>83</v>
      </c>
      <c r="AD243" s="1">
        <v>6</v>
      </c>
      <c r="AE243" s="1">
        <v>6</v>
      </c>
      <c r="AF243" s="1" t="s">
        <v>83</v>
      </c>
      <c r="AG243" s="1">
        <v>6</v>
      </c>
      <c r="AH243" s="1">
        <v>6</v>
      </c>
      <c r="AI243" s="1" t="s">
        <v>83</v>
      </c>
      <c r="AJ243" s="1">
        <v>6</v>
      </c>
      <c r="AK243" s="1">
        <v>6</v>
      </c>
      <c r="AL243" s="1" t="s">
        <v>83</v>
      </c>
      <c r="AM243" s="1">
        <v>6</v>
      </c>
      <c r="AN243" s="1">
        <v>6</v>
      </c>
      <c r="AO243" s="1" t="s">
        <v>83</v>
      </c>
      <c r="AP243" s="1">
        <v>6</v>
      </c>
      <c r="AQ243" s="1">
        <v>6</v>
      </c>
      <c r="AR243" s="1" t="s">
        <v>83</v>
      </c>
      <c r="AS243" s="1">
        <v>6</v>
      </c>
      <c r="AT243" s="1">
        <v>6</v>
      </c>
      <c r="AU243" s="1" t="s">
        <v>83</v>
      </c>
      <c r="AV243" s="1">
        <v>6</v>
      </c>
      <c r="AW243" s="1">
        <v>6</v>
      </c>
      <c r="AX243" s="1" t="s">
        <v>83</v>
      </c>
      <c r="AY243" s="1">
        <v>0</v>
      </c>
      <c r="AZ243" s="1">
        <v>1</v>
      </c>
      <c r="BA243" s="1">
        <v>0</v>
      </c>
      <c r="BB243" s="1" t="s">
        <v>83</v>
      </c>
      <c r="BC243" s="1">
        <v>0</v>
      </c>
      <c r="BD243" s="1" t="s">
        <v>98</v>
      </c>
      <c r="BE243" s="1" t="s">
        <v>1564</v>
      </c>
      <c r="BF243" s="1" t="s">
        <v>1465</v>
      </c>
      <c r="BG243" s="1" t="s">
        <v>83</v>
      </c>
    </row>
    <row r="244" spans="1:59" x14ac:dyDescent="0.35">
      <c r="A244" s="1">
        <v>243</v>
      </c>
      <c r="B244" s="1">
        <v>45842.415659722225</v>
      </c>
      <c r="C244" s="1" t="s">
        <v>1565</v>
      </c>
      <c r="D244" s="1" t="s">
        <v>1566</v>
      </c>
      <c r="E244" s="1" t="s">
        <v>904</v>
      </c>
      <c r="F244" s="1" t="s">
        <v>1566</v>
      </c>
      <c r="G244" s="1" t="s">
        <v>1567</v>
      </c>
      <c r="H244" s="1" t="s">
        <v>578</v>
      </c>
      <c r="I244" s="1" t="s">
        <v>588</v>
      </c>
      <c r="J244" s="1" t="s">
        <v>1432</v>
      </c>
      <c r="K244" s="1" t="s">
        <v>369</v>
      </c>
      <c r="L244" s="1" t="s">
        <v>69</v>
      </c>
      <c r="M244" s="1" t="s">
        <v>69</v>
      </c>
      <c r="N244" s="1" t="s">
        <v>69</v>
      </c>
      <c r="O244" s="1" t="s">
        <v>69</v>
      </c>
      <c r="P244" s="1" t="s">
        <v>106</v>
      </c>
      <c r="Q244" s="1" t="s">
        <v>292</v>
      </c>
      <c r="R244" s="1" t="s">
        <v>598</v>
      </c>
      <c r="S244" s="1">
        <v>18</v>
      </c>
      <c r="T244" s="1" t="s">
        <v>131</v>
      </c>
      <c r="U244" s="1" t="s">
        <v>73</v>
      </c>
      <c r="V244" s="1" t="s">
        <v>94</v>
      </c>
      <c r="W244" s="1" t="s">
        <v>95</v>
      </c>
      <c r="X244" s="1">
        <v>6</v>
      </c>
      <c r="Y244" s="1">
        <v>6</v>
      </c>
      <c r="Z244" s="1" t="s">
        <v>83</v>
      </c>
      <c r="AA244" s="1">
        <v>6</v>
      </c>
      <c r="AB244" s="1">
        <v>6</v>
      </c>
      <c r="AC244" s="1" t="s">
        <v>83</v>
      </c>
      <c r="AD244" s="1">
        <v>6</v>
      </c>
      <c r="AE244" s="1">
        <v>6</v>
      </c>
      <c r="AF244" s="1" t="s">
        <v>83</v>
      </c>
      <c r="AG244" s="1">
        <v>6</v>
      </c>
      <c r="AH244" s="1">
        <v>6</v>
      </c>
      <c r="AI244" s="1" t="s">
        <v>83</v>
      </c>
      <c r="AJ244" s="1">
        <v>6</v>
      </c>
      <c r="AK244" s="1">
        <v>6</v>
      </c>
      <c r="AL244" s="1" t="s">
        <v>83</v>
      </c>
      <c r="AM244" s="1">
        <v>6</v>
      </c>
      <c r="AN244" s="1">
        <v>6</v>
      </c>
      <c r="AO244" s="1" t="s">
        <v>83</v>
      </c>
      <c r="AP244" s="1">
        <v>6</v>
      </c>
      <c r="AQ244" s="1">
        <v>6</v>
      </c>
      <c r="AR244" s="1" t="s">
        <v>83</v>
      </c>
      <c r="AS244" s="1">
        <v>6</v>
      </c>
      <c r="AT244" s="1">
        <v>6</v>
      </c>
      <c r="AU244" s="1" t="s">
        <v>83</v>
      </c>
      <c r="AV244" s="1">
        <v>5</v>
      </c>
      <c r="AW244" s="1">
        <v>6</v>
      </c>
      <c r="AX244" s="1" t="s">
        <v>83</v>
      </c>
      <c r="AY244" s="1">
        <v>0</v>
      </c>
      <c r="AZ244" s="1">
        <v>0</v>
      </c>
      <c r="BA244" s="1">
        <v>0</v>
      </c>
      <c r="BB244" s="1" t="s">
        <v>532</v>
      </c>
      <c r="BC244" s="1">
        <v>2</v>
      </c>
      <c r="BD244" s="1" t="s">
        <v>802</v>
      </c>
      <c r="BE244" s="1" t="s">
        <v>1564</v>
      </c>
      <c r="BF244" s="1" t="s">
        <v>555</v>
      </c>
      <c r="BG244" s="1" t="s">
        <v>83</v>
      </c>
    </row>
    <row r="245" spans="1:59" x14ac:dyDescent="0.35">
      <c r="A245" s="1">
        <v>244</v>
      </c>
      <c r="B245" s="1">
        <v>45842.41951388889</v>
      </c>
      <c r="C245" s="1" t="s">
        <v>1568</v>
      </c>
      <c r="D245" s="1" t="s">
        <v>1569</v>
      </c>
      <c r="E245" s="1" t="s">
        <v>63</v>
      </c>
      <c r="F245" s="1" t="s">
        <v>136</v>
      </c>
      <c r="G245" s="1" t="s">
        <v>1570</v>
      </c>
      <c r="H245" s="1" t="s">
        <v>578</v>
      </c>
      <c r="I245" s="1" t="s">
        <v>588</v>
      </c>
      <c r="J245" s="1" t="s">
        <v>1432</v>
      </c>
      <c r="K245" s="1" t="s">
        <v>1571</v>
      </c>
      <c r="L245" s="1" t="s">
        <v>69</v>
      </c>
      <c r="M245" s="1" t="s">
        <v>69</v>
      </c>
      <c r="N245" s="1" t="s">
        <v>69</v>
      </c>
      <c r="O245" s="1" t="s">
        <v>69</v>
      </c>
      <c r="P245" s="1" t="s">
        <v>70</v>
      </c>
      <c r="Q245" s="1" t="s">
        <v>292</v>
      </c>
      <c r="R245" s="1" t="s">
        <v>598</v>
      </c>
      <c r="S245" s="1">
        <v>18</v>
      </c>
      <c r="T245" s="1" t="s">
        <v>131</v>
      </c>
      <c r="U245" s="1" t="s">
        <v>93</v>
      </c>
      <c r="V245" s="1" t="s">
        <v>94</v>
      </c>
      <c r="W245" s="1" t="s">
        <v>95</v>
      </c>
      <c r="X245" s="1">
        <v>4</v>
      </c>
      <c r="Y245" s="1">
        <v>4</v>
      </c>
      <c r="Z245" s="1" t="s">
        <v>83</v>
      </c>
      <c r="AA245" s="1">
        <v>5</v>
      </c>
      <c r="AB245" s="1">
        <v>5</v>
      </c>
      <c r="AC245" s="1" t="s">
        <v>83</v>
      </c>
      <c r="AD245" s="1">
        <v>5</v>
      </c>
      <c r="AE245" s="1">
        <v>5</v>
      </c>
      <c r="AF245" s="1" t="s">
        <v>83</v>
      </c>
      <c r="AG245" s="1">
        <v>5</v>
      </c>
      <c r="AH245" s="1">
        <v>5</v>
      </c>
      <c r="AI245" s="1" t="s">
        <v>83</v>
      </c>
      <c r="AJ245" s="1">
        <v>5</v>
      </c>
      <c r="AK245" s="1">
        <v>5</v>
      </c>
      <c r="AL245" s="1" t="s">
        <v>83</v>
      </c>
      <c r="AM245" s="1">
        <v>4</v>
      </c>
      <c r="AN245" s="1">
        <v>4</v>
      </c>
      <c r="AO245" s="1" t="s">
        <v>83</v>
      </c>
      <c r="AP245" s="1">
        <v>4</v>
      </c>
      <c r="AQ245" s="1">
        <v>5</v>
      </c>
      <c r="AR245" s="1" t="s">
        <v>83</v>
      </c>
      <c r="AS245" s="1">
        <v>5</v>
      </c>
      <c r="AT245" s="1">
        <v>5</v>
      </c>
      <c r="AU245" s="1" t="s">
        <v>83</v>
      </c>
      <c r="AV245" s="1">
        <v>4</v>
      </c>
      <c r="AW245" s="1">
        <v>5</v>
      </c>
      <c r="AX245" s="1" t="s">
        <v>83</v>
      </c>
      <c r="AY245" s="1">
        <v>0</v>
      </c>
      <c r="AZ245" s="1">
        <v>0</v>
      </c>
      <c r="BA245" s="1">
        <v>0</v>
      </c>
      <c r="BB245" s="1" t="s">
        <v>1572</v>
      </c>
      <c r="BC245" s="1">
        <v>2</v>
      </c>
      <c r="BD245" s="1" t="s">
        <v>1573</v>
      </c>
      <c r="BE245" s="1" t="s">
        <v>98</v>
      </c>
      <c r="BF245" s="1" t="s">
        <v>1574</v>
      </c>
      <c r="BG245" s="1" t="s">
        <v>83</v>
      </c>
    </row>
    <row r="246" spans="1:59" x14ac:dyDescent="0.35">
      <c r="A246" s="1">
        <v>245</v>
      </c>
      <c r="B246" s="1">
        <v>45842.423495370371</v>
      </c>
      <c r="C246" s="1" t="s">
        <v>1575</v>
      </c>
      <c r="D246" s="1" t="s">
        <v>1576</v>
      </c>
      <c r="E246" s="1" t="s">
        <v>63</v>
      </c>
      <c r="F246" s="1" t="s">
        <v>125</v>
      </c>
      <c r="G246" s="1" t="s">
        <v>1577</v>
      </c>
      <c r="H246" s="1" t="s">
        <v>578</v>
      </c>
      <c r="I246" s="1" t="s">
        <v>588</v>
      </c>
      <c r="J246" s="1" t="s">
        <v>1432</v>
      </c>
      <c r="K246" s="1" t="s">
        <v>1578</v>
      </c>
      <c r="L246" s="1" t="s">
        <v>69</v>
      </c>
      <c r="M246" s="1" t="s">
        <v>69</v>
      </c>
      <c r="N246" s="1" t="s">
        <v>69</v>
      </c>
      <c r="O246" s="1" t="s">
        <v>69</v>
      </c>
      <c r="P246" s="1" t="s">
        <v>70</v>
      </c>
      <c r="Q246" s="1" t="s">
        <v>292</v>
      </c>
      <c r="R246" s="1" t="s">
        <v>1006</v>
      </c>
      <c r="S246" s="1">
        <v>26</v>
      </c>
      <c r="T246" s="1" t="s">
        <v>92</v>
      </c>
      <c r="U246" s="1" t="s">
        <v>93</v>
      </c>
      <c r="V246" s="1" t="s">
        <v>74</v>
      </c>
      <c r="W246" s="1" t="s">
        <v>74</v>
      </c>
      <c r="X246" s="1">
        <v>5</v>
      </c>
      <c r="Y246" s="1">
        <v>5</v>
      </c>
      <c r="Z246" s="1" t="s">
        <v>83</v>
      </c>
      <c r="AA246" s="1">
        <v>6</v>
      </c>
      <c r="AB246" s="1">
        <v>5</v>
      </c>
      <c r="AC246" s="1" t="s">
        <v>83</v>
      </c>
      <c r="AD246" s="1">
        <v>6</v>
      </c>
      <c r="AE246" s="1">
        <v>5</v>
      </c>
      <c r="AF246" s="1" t="s">
        <v>83</v>
      </c>
      <c r="AG246" s="1">
        <v>5</v>
      </c>
      <c r="AH246" s="1">
        <v>5</v>
      </c>
      <c r="AI246" s="1" t="s">
        <v>83</v>
      </c>
      <c r="AJ246" s="1">
        <v>5</v>
      </c>
      <c r="AK246" s="1">
        <v>6</v>
      </c>
      <c r="AL246" s="1" t="s">
        <v>83</v>
      </c>
      <c r="AM246" s="1">
        <v>6</v>
      </c>
      <c r="AN246" s="1">
        <v>5</v>
      </c>
      <c r="AO246" s="1" t="s">
        <v>83</v>
      </c>
      <c r="AP246" s="1">
        <v>5</v>
      </c>
      <c r="AQ246" s="1">
        <v>4</v>
      </c>
      <c r="AR246" s="1" t="s">
        <v>83</v>
      </c>
      <c r="AS246" s="1">
        <v>5</v>
      </c>
      <c r="AT246" s="1">
        <v>6</v>
      </c>
      <c r="AU246" s="1" t="s">
        <v>83</v>
      </c>
      <c r="AV246" s="1">
        <v>6</v>
      </c>
      <c r="AW246" s="1">
        <v>6</v>
      </c>
      <c r="AX246" s="1" t="s">
        <v>83</v>
      </c>
      <c r="AY246" s="1">
        <v>0</v>
      </c>
      <c r="AZ246" s="1">
        <v>2</v>
      </c>
      <c r="BA246" s="1">
        <v>0</v>
      </c>
      <c r="BB246" s="1" t="s">
        <v>83</v>
      </c>
      <c r="BC246" s="1">
        <v>0</v>
      </c>
      <c r="BD246" s="1" t="s">
        <v>98</v>
      </c>
      <c r="BE246" s="1" t="s">
        <v>1579</v>
      </c>
      <c r="BF246" s="1" t="s">
        <v>503</v>
      </c>
      <c r="BG246" s="1" t="s">
        <v>83</v>
      </c>
    </row>
    <row r="247" spans="1:59" x14ac:dyDescent="0.35">
      <c r="A247" s="1">
        <v>246</v>
      </c>
      <c r="B247" s="1">
        <v>45842.426747685182</v>
      </c>
      <c r="C247" s="1" t="s">
        <v>1580</v>
      </c>
      <c r="D247" s="1" t="s">
        <v>1581</v>
      </c>
      <c r="E247" s="1" t="s">
        <v>904</v>
      </c>
      <c r="F247" s="1" t="s">
        <v>1582</v>
      </c>
      <c r="G247" s="1" t="s">
        <v>1583</v>
      </c>
      <c r="H247" s="1" t="s">
        <v>578</v>
      </c>
      <c r="I247" s="1" t="s">
        <v>596</v>
      </c>
      <c r="J247" s="1" t="s">
        <v>1432</v>
      </c>
      <c r="K247" s="1" t="s">
        <v>1584</v>
      </c>
      <c r="L247" s="1" t="s">
        <v>69</v>
      </c>
      <c r="M247" s="1" t="s">
        <v>69</v>
      </c>
      <c r="N247" s="1" t="s">
        <v>69</v>
      </c>
      <c r="O247" s="1" t="s">
        <v>69</v>
      </c>
      <c r="P247" s="1" t="s">
        <v>70</v>
      </c>
      <c r="Q247" s="1" t="s">
        <v>292</v>
      </c>
      <c r="R247" s="1" t="s">
        <v>217</v>
      </c>
      <c r="S247" s="1">
        <v>20</v>
      </c>
      <c r="T247" s="1" t="s">
        <v>131</v>
      </c>
      <c r="U247" s="1" t="s">
        <v>93</v>
      </c>
      <c r="V247" s="1" t="s">
        <v>94</v>
      </c>
      <c r="W247" s="1" t="s">
        <v>95</v>
      </c>
      <c r="X247" s="1">
        <v>6</v>
      </c>
      <c r="Y247" s="1">
        <v>6</v>
      </c>
      <c r="Z247" s="1" t="s">
        <v>83</v>
      </c>
      <c r="AA247" s="1">
        <v>6</v>
      </c>
      <c r="AB247" s="1">
        <v>6</v>
      </c>
      <c r="AC247" s="1" t="s">
        <v>83</v>
      </c>
      <c r="AD247" s="1">
        <v>6</v>
      </c>
      <c r="AE247" s="1">
        <v>6</v>
      </c>
      <c r="AF247" s="1" t="s">
        <v>83</v>
      </c>
      <c r="AG247" s="1">
        <v>6</v>
      </c>
      <c r="AH247" s="1">
        <v>6</v>
      </c>
      <c r="AI247" s="1" t="s">
        <v>83</v>
      </c>
      <c r="AJ247" s="1">
        <v>6</v>
      </c>
      <c r="AK247" s="1">
        <v>6</v>
      </c>
      <c r="AL247" s="1" t="s">
        <v>83</v>
      </c>
      <c r="AM247" s="1">
        <v>6</v>
      </c>
      <c r="AN247" s="1">
        <v>6</v>
      </c>
      <c r="AO247" s="1" t="s">
        <v>83</v>
      </c>
      <c r="AP247" s="1">
        <v>6</v>
      </c>
      <c r="AQ247" s="1">
        <v>6</v>
      </c>
      <c r="AR247" s="1" t="s">
        <v>83</v>
      </c>
      <c r="AS247" s="1">
        <v>6</v>
      </c>
      <c r="AT247" s="1">
        <v>6</v>
      </c>
      <c r="AU247" s="1" t="s">
        <v>83</v>
      </c>
      <c r="AV247" s="1">
        <v>5</v>
      </c>
      <c r="AW247" s="1">
        <v>6</v>
      </c>
      <c r="AX247" s="1" t="s">
        <v>83</v>
      </c>
      <c r="AY247" s="1">
        <v>2</v>
      </c>
      <c r="AZ247" s="1">
        <v>0</v>
      </c>
      <c r="BA247" s="1">
        <v>0</v>
      </c>
      <c r="BB247" s="1" t="s">
        <v>83</v>
      </c>
      <c r="BC247" s="1">
        <v>0</v>
      </c>
      <c r="BD247" s="1" t="s">
        <v>98</v>
      </c>
      <c r="BE247" s="1" t="s">
        <v>98</v>
      </c>
      <c r="BF247" s="1" t="s">
        <v>1585</v>
      </c>
      <c r="BG247" s="1" t="s">
        <v>83</v>
      </c>
    </row>
    <row r="248" spans="1:59" x14ac:dyDescent="0.35">
      <c r="A248" s="1">
        <v>247</v>
      </c>
      <c r="B248" s="1">
        <v>45842.429085648146</v>
      </c>
      <c r="C248" s="1" t="s">
        <v>1586</v>
      </c>
      <c r="D248" s="1" t="s">
        <v>1587</v>
      </c>
      <c r="E248" s="1" t="s">
        <v>1588</v>
      </c>
      <c r="F248" s="1" t="s">
        <v>1589</v>
      </c>
      <c r="G248" s="1" t="s">
        <v>1590</v>
      </c>
      <c r="H248" s="1" t="s">
        <v>138</v>
      </c>
      <c r="I248" s="1" t="s">
        <v>139</v>
      </c>
      <c r="J248" s="1" t="s">
        <v>1480</v>
      </c>
      <c r="K248" s="1" t="s">
        <v>1591</v>
      </c>
      <c r="L248" s="1" t="s">
        <v>69</v>
      </c>
      <c r="M248" s="1" t="s">
        <v>69</v>
      </c>
      <c r="N248" s="1" t="s">
        <v>69</v>
      </c>
      <c r="O248" s="1" t="s">
        <v>69</v>
      </c>
      <c r="P248" s="1" t="s">
        <v>106</v>
      </c>
      <c r="Q248" s="1" t="s">
        <v>271</v>
      </c>
      <c r="R248" s="1" t="s">
        <v>2503</v>
      </c>
      <c r="S248" s="1">
        <v>31</v>
      </c>
      <c r="T248" s="1" t="s">
        <v>109</v>
      </c>
      <c r="U248" s="1" t="s">
        <v>73</v>
      </c>
      <c r="V248" s="1" t="s">
        <v>1592</v>
      </c>
      <c r="W248" s="1" t="s">
        <v>133</v>
      </c>
      <c r="X248" s="1">
        <v>5</v>
      </c>
      <c r="Y248" s="1">
        <v>5</v>
      </c>
      <c r="Z248" s="1" t="s">
        <v>83</v>
      </c>
      <c r="AA248" s="1">
        <v>5</v>
      </c>
      <c r="AB248" s="1">
        <v>5</v>
      </c>
      <c r="AC248" s="1" t="s">
        <v>83</v>
      </c>
      <c r="AD248" s="1">
        <v>5</v>
      </c>
      <c r="AE248" s="1">
        <v>5</v>
      </c>
      <c r="AF248" s="1" t="s">
        <v>83</v>
      </c>
      <c r="AG248" s="1">
        <v>5</v>
      </c>
      <c r="AH248" s="1">
        <v>5</v>
      </c>
      <c r="AI248" s="1" t="s">
        <v>83</v>
      </c>
      <c r="AJ248" s="1">
        <v>5</v>
      </c>
      <c r="AK248" s="1">
        <v>5</v>
      </c>
      <c r="AL248" s="1" t="s">
        <v>83</v>
      </c>
      <c r="AM248" s="1">
        <v>5</v>
      </c>
      <c r="AN248" s="1">
        <v>5</v>
      </c>
      <c r="AO248" s="1" t="s">
        <v>83</v>
      </c>
      <c r="AP248" s="1">
        <v>6</v>
      </c>
      <c r="AQ248" s="1">
        <v>5</v>
      </c>
      <c r="AR248" s="1" t="s">
        <v>83</v>
      </c>
      <c r="AS248" s="1">
        <v>6</v>
      </c>
      <c r="AT248" s="1">
        <v>5</v>
      </c>
      <c r="AU248" s="1" t="s">
        <v>83</v>
      </c>
      <c r="AV248" s="1">
        <v>5</v>
      </c>
      <c r="AW248" s="1">
        <v>5</v>
      </c>
      <c r="AX248" s="1" t="s">
        <v>83</v>
      </c>
      <c r="AY248" s="1">
        <v>2</v>
      </c>
      <c r="AZ248" s="1">
        <v>0</v>
      </c>
      <c r="BA248" s="1">
        <v>0</v>
      </c>
      <c r="BB248" s="1" t="s">
        <v>83</v>
      </c>
      <c r="BC248" s="1">
        <v>0</v>
      </c>
      <c r="BD248" s="1" t="s">
        <v>98</v>
      </c>
      <c r="BE248" s="1" t="s">
        <v>1593</v>
      </c>
      <c r="BF248" s="1" t="s">
        <v>98</v>
      </c>
      <c r="BG248" s="1" t="s">
        <v>98</v>
      </c>
    </row>
    <row r="249" spans="1:59" x14ac:dyDescent="0.35">
      <c r="A249" s="1">
        <v>248</v>
      </c>
      <c r="B249" s="1">
        <v>45842.433749999997</v>
      </c>
      <c r="C249" s="1" t="s">
        <v>881</v>
      </c>
      <c r="D249" s="1" t="s">
        <v>1594</v>
      </c>
      <c r="E249" s="1" t="s">
        <v>63</v>
      </c>
      <c r="F249" s="1" t="s">
        <v>63</v>
      </c>
      <c r="G249" s="1" t="s">
        <v>1595</v>
      </c>
      <c r="H249" s="1" t="s">
        <v>517</v>
      </c>
      <c r="I249" s="1" t="s">
        <v>518</v>
      </c>
      <c r="J249" s="1" t="s">
        <v>1596</v>
      </c>
      <c r="K249" s="1" t="s">
        <v>1597</v>
      </c>
      <c r="L249" s="1" t="s">
        <v>69</v>
      </c>
      <c r="M249" s="1" t="s">
        <v>69</v>
      </c>
      <c r="N249" s="1" t="s">
        <v>69</v>
      </c>
      <c r="O249" s="1" t="s">
        <v>69</v>
      </c>
      <c r="P249" s="1" t="s">
        <v>70</v>
      </c>
      <c r="Q249" s="1" t="s">
        <v>1180</v>
      </c>
      <c r="R249" s="1" t="s">
        <v>272</v>
      </c>
      <c r="S249" s="1">
        <v>43</v>
      </c>
      <c r="T249" s="1" t="s">
        <v>197</v>
      </c>
      <c r="U249" s="1" t="s">
        <v>93</v>
      </c>
      <c r="V249" s="1" t="s">
        <v>110</v>
      </c>
      <c r="W249" s="1" t="s">
        <v>110</v>
      </c>
      <c r="X249" s="1">
        <v>6</v>
      </c>
      <c r="Y249" s="1">
        <v>6</v>
      </c>
      <c r="Z249" s="1" t="s">
        <v>83</v>
      </c>
      <c r="AA249" s="1">
        <v>6</v>
      </c>
      <c r="AB249" s="1">
        <v>6</v>
      </c>
      <c r="AC249" s="1" t="s">
        <v>83</v>
      </c>
      <c r="AD249" s="1">
        <v>6</v>
      </c>
      <c r="AE249" s="1">
        <v>6</v>
      </c>
      <c r="AF249" s="1" t="s">
        <v>83</v>
      </c>
      <c r="AG249" s="1">
        <v>0</v>
      </c>
      <c r="AH249" s="1">
        <v>0</v>
      </c>
      <c r="AI249" s="1" t="s">
        <v>83</v>
      </c>
      <c r="AJ249" s="1">
        <v>6</v>
      </c>
      <c r="AK249" s="1">
        <v>6</v>
      </c>
      <c r="AL249" s="1" t="s">
        <v>83</v>
      </c>
      <c r="AM249" s="1">
        <v>6</v>
      </c>
      <c r="AN249" s="1">
        <v>6</v>
      </c>
      <c r="AO249" s="1" t="s">
        <v>83</v>
      </c>
      <c r="AP249" s="1">
        <v>6</v>
      </c>
      <c r="AQ249" s="1">
        <v>6</v>
      </c>
      <c r="AR249" s="1" t="s">
        <v>83</v>
      </c>
      <c r="AS249" s="1">
        <v>6</v>
      </c>
      <c r="AT249" s="1">
        <v>6</v>
      </c>
      <c r="AU249" s="1" t="s">
        <v>83</v>
      </c>
      <c r="AV249" s="1">
        <v>6</v>
      </c>
      <c r="AW249" s="1">
        <v>6</v>
      </c>
      <c r="AX249" s="1" t="s">
        <v>83</v>
      </c>
      <c r="AY249" s="1">
        <v>1</v>
      </c>
      <c r="AZ249" s="1">
        <v>0</v>
      </c>
      <c r="BA249" s="1">
        <v>0</v>
      </c>
      <c r="BB249" s="1" t="s">
        <v>83</v>
      </c>
      <c r="BC249" s="1">
        <v>0</v>
      </c>
      <c r="BD249" s="1" t="s">
        <v>1598</v>
      </c>
      <c r="BE249" s="1" t="s">
        <v>1599</v>
      </c>
      <c r="BF249" s="1" t="s">
        <v>528</v>
      </c>
      <c r="BG249" s="1" t="s">
        <v>83</v>
      </c>
    </row>
    <row r="250" spans="1:59" x14ac:dyDescent="0.35">
      <c r="A250" s="1">
        <v>249</v>
      </c>
      <c r="B250" s="1">
        <v>45842.440104166664</v>
      </c>
      <c r="C250" s="1" t="s">
        <v>1601</v>
      </c>
      <c r="D250" s="1" t="s">
        <v>1602</v>
      </c>
      <c r="E250" s="1" t="s">
        <v>1603</v>
      </c>
      <c r="F250" s="1" t="s">
        <v>1604</v>
      </c>
      <c r="G250" s="1" t="s">
        <v>1605</v>
      </c>
      <c r="H250" s="1" t="s">
        <v>138</v>
      </c>
      <c r="I250" s="1" t="s">
        <v>139</v>
      </c>
      <c r="J250" s="1" t="s">
        <v>1480</v>
      </c>
      <c r="K250" s="1" t="s">
        <v>1606</v>
      </c>
      <c r="L250" s="1" t="s">
        <v>69</v>
      </c>
      <c r="M250" s="1" t="s">
        <v>69</v>
      </c>
      <c r="N250" s="1" t="s">
        <v>69</v>
      </c>
      <c r="O250" s="1" t="s">
        <v>69</v>
      </c>
      <c r="P250" s="1" t="s">
        <v>106</v>
      </c>
      <c r="Q250" s="1" t="s">
        <v>271</v>
      </c>
      <c r="R250" s="1" t="s">
        <v>2474</v>
      </c>
      <c r="S250" s="1">
        <v>20</v>
      </c>
      <c r="T250" s="1" t="s">
        <v>131</v>
      </c>
      <c r="U250" s="1" t="s">
        <v>73</v>
      </c>
      <c r="V250" s="1" t="s">
        <v>94</v>
      </c>
      <c r="W250" s="1" t="s">
        <v>95</v>
      </c>
      <c r="X250" s="1">
        <v>4</v>
      </c>
      <c r="Y250" s="1">
        <v>4</v>
      </c>
      <c r="Z250" s="1" t="s">
        <v>83</v>
      </c>
      <c r="AA250" s="1">
        <v>5</v>
      </c>
      <c r="AB250" s="1">
        <v>5</v>
      </c>
      <c r="AC250" s="1" t="s">
        <v>83</v>
      </c>
      <c r="AD250" s="1">
        <v>5</v>
      </c>
      <c r="AE250" s="1">
        <v>5</v>
      </c>
      <c r="AF250" s="1" t="s">
        <v>83</v>
      </c>
      <c r="AG250" s="1">
        <v>5</v>
      </c>
      <c r="AH250" s="1">
        <v>5</v>
      </c>
      <c r="AI250" s="1" t="s">
        <v>83</v>
      </c>
      <c r="AJ250" s="1">
        <v>5</v>
      </c>
      <c r="AK250" s="1">
        <v>5</v>
      </c>
      <c r="AL250" s="1" t="s">
        <v>83</v>
      </c>
      <c r="AM250" s="1">
        <v>6</v>
      </c>
      <c r="AN250" s="1">
        <v>6</v>
      </c>
      <c r="AO250" s="1" t="s">
        <v>83</v>
      </c>
      <c r="AP250" s="1">
        <v>5</v>
      </c>
      <c r="AQ250" s="1">
        <v>4</v>
      </c>
      <c r="AR250" s="1" t="s">
        <v>83</v>
      </c>
      <c r="AS250" s="1">
        <v>5</v>
      </c>
      <c r="AT250" s="1">
        <v>5</v>
      </c>
      <c r="AU250" s="1" t="s">
        <v>83</v>
      </c>
      <c r="AV250" s="1">
        <v>5</v>
      </c>
      <c r="AW250" s="1">
        <v>6</v>
      </c>
      <c r="AX250" s="1" t="s">
        <v>83</v>
      </c>
      <c r="AY250" s="1">
        <v>2</v>
      </c>
      <c r="AZ250" s="1">
        <v>0</v>
      </c>
      <c r="BA250" s="1">
        <v>0</v>
      </c>
      <c r="BB250" s="1" t="s">
        <v>83</v>
      </c>
      <c r="BC250" s="1">
        <v>0</v>
      </c>
      <c r="BD250" s="1" t="s">
        <v>98</v>
      </c>
      <c r="BE250" s="1" t="s">
        <v>1607</v>
      </c>
      <c r="BF250" s="1" t="s">
        <v>98</v>
      </c>
      <c r="BG250" s="1" t="s">
        <v>98</v>
      </c>
    </row>
    <row r="251" spans="1:59" x14ac:dyDescent="0.35">
      <c r="A251" s="1">
        <v>250</v>
      </c>
      <c r="B251" s="1">
        <v>45842.447314814817</v>
      </c>
      <c r="C251" s="1" t="s">
        <v>1608</v>
      </c>
      <c r="D251" s="1" t="s">
        <v>1609</v>
      </c>
      <c r="E251" s="1" t="s">
        <v>63</v>
      </c>
      <c r="F251" s="1" t="s">
        <v>397</v>
      </c>
      <c r="G251" s="1" t="s">
        <v>1610</v>
      </c>
      <c r="H251" s="1" t="s">
        <v>138</v>
      </c>
      <c r="I251" s="1" t="s">
        <v>139</v>
      </c>
      <c r="J251" s="1" t="s">
        <v>1480</v>
      </c>
      <c r="K251" s="1" t="s">
        <v>1611</v>
      </c>
      <c r="L251" s="1" t="s">
        <v>69</v>
      </c>
      <c r="M251" s="1" t="s">
        <v>69</v>
      </c>
      <c r="N251" s="1" t="s">
        <v>69</v>
      </c>
      <c r="O251" s="1" t="s">
        <v>69</v>
      </c>
      <c r="P251" s="1" t="s">
        <v>106</v>
      </c>
      <c r="Q251" s="1" t="s">
        <v>271</v>
      </c>
      <c r="R251" s="1" t="s">
        <v>2443</v>
      </c>
      <c r="S251" s="1">
        <v>25</v>
      </c>
      <c r="T251" s="1" t="s">
        <v>72</v>
      </c>
      <c r="U251" s="1" t="s">
        <v>93</v>
      </c>
      <c r="V251" s="1" t="s">
        <v>74</v>
      </c>
      <c r="W251" s="1" t="s">
        <v>74</v>
      </c>
      <c r="X251" s="1">
        <v>4</v>
      </c>
      <c r="Y251" s="1">
        <v>5</v>
      </c>
      <c r="Z251" s="1" t="s">
        <v>83</v>
      </c>
      <c r="AA251" s="1">
        <v>5</v>
      </c>
      <c r="AB251" s="1">
        <v>5</v>
      </c>
      <c r="AC251" s="1" t="s">
        <v>83</v>
      </c>
      <c r="AD251" s="1">
        <v>3</v>
      </c>
      <c r="AE251" s="1">
        <v>4</v>
      </c>
      <c r="AF251" s="1" t="s">
        <v>2504</v>
      </c>
      <c r="AG251" s="1">
        <v>5</v>
      </c>
      <c r="AH251" s="1">
        <v>5</v>
      </c>
      <c r="AI251" s="1" t="s">
        <v>83</v>
      </c>
      <c r="AJ251" s="1">
        <v>5</v>
      </c>
      <c r="AK251" s="1">
        <v>5</v>
      </c>
      <c r="AL251" s="1" t="s">
        <v>83</v>
      </c>
      <c r="AM251" s="1">
        <v>5</v>
      </c>
      <c r="AN251" s="1">
        <v>5</v>
      </c>
      <c r="AO251" s="1" t="s">
        <v>83</v>
      </c>
      <c r="AP251" s="1">
        <v>5</v>
      </c>
      <c r="AQ251" s="1">
        <v>5</v>
      </c>
      <c r="AR251" s="1" t="s">
        <v>83</v>
      </c>
      <c r="AS251" s="1">
        <v>5</v>
      </c>
      <c r="AT251" s="1">
        <v>5</v>
      </c>
      <c r="AU251" s="1" t="s">
        <v>83</v>
      </c>
      <c r="AV251" s="1">
        <v>5</v>
      </c>
      <c r="AW251" s="1">
        <v>5</v>
      </c>
      <c r="AX251" s="1" t="s">
        <v>83</v>
      </c>
      <c r="AY251" s="1">
        <v>2</v>
      </c>
      <c r="AZ251" s="1">
        <v>0</v>
      </c>
      <c r="BA251" s="1">
        <v>0</v>
      </c>
      <c r="BB251" s="1" t="s">
        <v>83</v>
      </c>
      <c r="BC251" s="1">
        <v>0</v>
      </c>
      <c r="BD251" s="1" t="s">
        <v>98</v>
      </c>
      <c r="BE251" s="1" t="s">
        <v>1612</v>
      </c>
      <c r="BF251" s="1" t="s">
        <v>99</v>
      </c>
      <c r="BG251" s="1" t="s">
        <v>98</v>
      </c>
    </row>
    <row r="252" spans="1:59" x14ac:dyDescent="0.35">
      <c r="A252" s="1">
        <v>251</v>
      </c>
      <c r="B252" s="1">
        <v>45842.452060185184</v>
      </c>
      <c r="C252" s="1" t="s">
        <v>1613</v>
      </c>
      <c r="D252" s="1" t="s">
        <v>1614</v>
      </c>
      <c r="E252" s="1" t="s">
        <v>63</v>
      </c>
      <c r="F252" s="1" t="s">
        <v>240</v>
      </c>
      <c r="G252" s="1" t="s">
        <v>1615</v>
      </c>
      <c r="H252" s="1" t="s">
        <v>138</v>
      </c>
      <c r="I252" s="1" t="s">
        <v>139</v>
      </c>
      <c r="J252" s="1" t="s">
        <v>1480</v>
      </c>
      <c r="K252" s="1" t="s">
        <v>1616</v>
      </c>
      <c r="L252" s="1" t="s">
        <v>69</v>
      </c>
      <c r="M252" s="1" t="s">
        <v>69</v>
      </c>
      <c r="N252" s="1" t="s">
        <v>69</v>
      </c>
      <c r="O252" s="1" t="s">
        <v>69</v>
      </c>
      <c r="P252" s="1" t="s">
        <v>106</v>
      </c>
      <c r="Q252" s="1" t="s">
        <v>271</v>
      </c>
      <c r="R252" s="1" t="s">
        <v>2463</v>
      </c>
      <c r="S252" s="1">
        <v>33</v>
      </c>
      <c r="T252" s="1" t="s">
        <v>109</v>
      </c>
      <c r="U252" s="1" t="s">
        <v>73</v>
      </c>
      <c r="V252" s="1" t="s">
        <v>1617</v>
      </c>
      <c r="W252" s="1" t="s">
        <v>74</v>
      </c>
      <c r="X252" s="1">
        <v>5</v>
      </c>
      <c r="Y252" s="1">
        <v>6</v>
      </c>
      <c r="Z252" s="1" t="s">
        <v>83</v>
      </c>
      <c r="AA252" s="1">
        <v>5</v>
      </c>
      <c r="AB252" s="1">
        <v>5</v>
      </c>
      <c r="AC252" s="1" t="s">
        <v>83</v>
      </c>
      <c r="AD252" s="1">
        <v>6</v>
      </c>
      <c r="AE252" s="1">
        <v>5</v>
      </c>
      <c r="AF252" s="1" t="s">
        <v>83</v>
      </c>
      <c r="AG252" s="1">
        <v>5</v>
      </c>
      <c r="AH252" s="1">
        <v>5</v>
      </c>
      <c r="AI252" s="1" t="s">
        <v>83</v>
      </c>
      <c r="AJ252" s="1">
        <v>6</v>
      </c>
      <c r="AK252" s="1">
        <v>6</v>
      </c>
      <c r="AL252" s="1" t="s">
        <v>83</v>
      </c>
      <c r="AM252" s="1">
        <v>5</v>
      </c>
      <c r="AN252" s="1">
        <v>5</v>
      </c>
      <c r="AO252" s="1" t="s">
        <v>83</v>
      </c>
      <c r="AP252" s="1">
        <v>5</v>
      </c>
      <c r="AQ252" s="1">
        <v>5</v>
      </c>
      <c r="AR252" s="1" t="s">
        <v>83</v>
      </c>
      <c r="AS252" s="1">
        <v>6</v>
      </c>
      <c r="AT252" s="1">
        <v>6</v>
      </c>
      <c r="AU252" s="1" t="s">
        <v>83</v>
      </c>
      <c r="AV252" s="1">
        <v>6</v>
      </c>
      <c r="AW252" s="1">
        <v>5</v>
      </c>
      <c r="AX252" s="1" t="s">
        <v>83</v>
      </c>
      <c r="AY252" s="1">
        <v>0</v>
      </c>
      <c r="AZ252" s="1">
        <v>0</v>
      </c>
      <c r="BA252" s="1">
        <v>0</v>
      </c>
      <c r="BB252" s="1" t="s">
        <v>144</v>
      </c>
      <c r="BC252" s="1">
        <v>1</v>
      </c>
      <c r="BD252" s="1" t="s">
        <v>98</v>
      </c>
      <c r="BE252" s="1" t="s">
        <v>1618</v>
      </c>
      <c r="BF252" s="1" t="s">
        <v>98</v>
      </c>
      <c r="BG252" s="1" t="s">
        <v>98</v>
      </c>
    </row>
    <row r="253" spans="1:59" x14ac:dyDescent="0.35">
      <c r="A253" s="1">
        <v>252</v>
      </c>
      <c r="B253" s="1">
        <v>45842.455335648148</v>
      </c>
      <c r="C253" s="1" t="s">
        <v>1619</v>
      </c>
      <c r="D253" s="1" t="s">
        <v>1620</v>
      </c>
      <c r="E253" s="1" t="s">
        <v>1621</v>
      </c>
      <c r="F253" s="1" t="s">
        <v>1622</v>
      </c>
      <c r="G253" s="1" t="s">
        <v>1623</v>
      </c>
      <c r="H253" s="1" t="s">
        <v>138</v>
      </c>
      <c r="I253" s="1" t="s">
        <v>139</v>
      </c>
      <c r="J253" s="1" t="s">
        <v>1480</v>
      </c>
      <c r="K253" s="1" t="s">
        <v>1624</v>
      </c>
      <c r="L253" s="1" t="s">
        <v>69</v>
      </c>
      <c r="M253" s="1" t="s">
        <v>69</v>
      </c>
      <c r="N253" s="1" t="s">
        <v>69</v>
      </c>
      <c r="O253" s="1" t="s">
        <v>69</v>
      </c>
      <c r="P253" s="1" t="s">
        <v>106</v>
      </c>
      <c r="Q253" s="1" t="s">
        <v>271</v>
      </c>
      <c r="R253" s="1" t="s">
        <v>2443</v>
      </c>
      <c r="S253" s="1">
        <v>25</v>
      </c>
      <c r="T253" s="1" t="s">
        <v>72</v>
      </c>
      <c r="U253" s="1" t="s">
        <v>73</v>
      </c>
      <c r="V253" s="1" t="s">
        <v>74</v>
      </c>
      <c r="W253" s="1" t="s">
        <v>74</v>
      </c>
      <c r="X253" s="1">
        <v>5</v>
      </c>
      <c r="Y253" s="1">
        <v>5</v>
      </c>
      <c r="Z253" s="1" t="s">
        <v>83</v>
      </c>
      <c r="AA253" s="1">
        <v>5</v>
      </c>
      <c r="AB253" s="1">
        <v>5</v>
      </c>
      <c r="AC253" s="1" t="s">
        <v>83</v>
      </c>
      <c r="AD253" s="1">
        <v>5</v>
      </c>
      <c r="AE253" s="1">
        <v>5</v>
      </c>
      <c r="AF253" s="1" t="s">
        <v>83</v>
      </c>
      <c r="AG253" s="1">
        <v>5</v>
      </c>
      <c r="AH253" s="1">
        <v>5</v>
      </c>
      <c r="AI253" s="1" t="s">
        <v>83</v>
      </c>
      <c r="AJ253" s="1">
        <v>5</v>
      </c>
      <c r="AK253" s="1">
        <v>5</v>
      </c>
      <c r="AL253" s="1" t="s">
        <v>83</v>
      </c>
      <c r="AM253" s="1">
        <v>5</v>
      </c>
      <c r="AN253" s="1">
        <v>5</v>
      </c>
      <c r="AO253" s="1" t="s">
        <v>83</v>
      </c>
      <c r="AP253" s="1">
        <v>5</v>
      </c>
      <c r="AQ253" s="1">
        <v>5</v>
      </c>
      <c r="AR253" s="1" t="s">
        <v>83</v>
      </c>
      <c r="AS253" s="1">
        <v>5</v>
      </c>
      <c r="AT253" s="1">
        <v>5</v>
      </c>
      <c r="AU253" s="1" t="s">
        <v>83</v>
      </c>
      <c r="AV253" s="1">
        <v>5</v>
      </c>
      <c r="AW253" s="1">
        <v>5</v>
      </c>
      <c r="AX253" s="1" t="s">
        <v>83</v>
      </c>
      <c r="AY253" s="1">
        <v>2</v>
      </c>
      <c r="AZ253" s="1">
        <v>0</v>
      </c>
      <c r="BA253" s="1">
        <v>0</v>
      </c>
      <c r="BB253" s="1" t="s">
        <v>83</v>
      </c>
      <c r="BC253" s="1">
        <v>0</v>
      </c>
      <c r="BD253" s="1" t="s">
        <v>98</v>
      </c>
      <c r="BE253" s="1" t="s">
        <v>98</v>
      </c>
      <c r="BF253" s="1" t="s">
        <v>98</v>
      </c>
      <c r="BG253" s="1" t="s">
        <v>98</v>
      </c>
    </row>
    <row r="254" spans="1:59" x14ac:dyDescent="0.35">
      <c r="A254" s="1">
        <v>253</v>
      </c>
      <c r="B254" s="1">
        <v>45842.45853009259</v>
      </c>
      <c r="C254" s="1" t="s">
        <v>1625</v>
      </c>
      <c r="D254" s="1" t="s">
        <v>1626</v>
      </c>
      <c r="E254" s="1" t="s">
        <v>63</v>
      </c>
      <c r="F254" s="1" t="s">
        <v>63</v>
      </c>
      <c r="G254" s="1" t="s">
        <v>1627</v>
      </c>
      <c r="H254" s="1" t="s">
        <v>138</v>
      </c>
      <c r="I254" s="1" t="s">
        <v>139</v>
      </c>
      <c r="J254" s="1" t="s">
        <v>1480</v>
      </c>
      <c r="K254" s="1" t="s">
        <v>1628</v>
      </c>
      <c r="L254" s="1" t="s">
        <v>69</v>
      </c>
      <c r="M254" s="1" t="s">
        <v>69</v>
      </c>
      <c r="N254" s="1" t="s">
        <v>69</v>
      </c>
      <c r="O254" s="1" t="s">
        <v>69</v>
      </c>
      <c r="P254" s="1" t="s">
        <v>106</v>
      </c>
      <c r="Q254" s="1" t="s">
        <v>271</v>
      </c>
      <c r="R254" s="1" t="s">
        <v>2438</v>
      </c>
      <c r="S254" s="1">
        <v>18</v>
      </c>
      <c r="T254" s="1" t="s">
        <v>131</v>
      </c>
      <c r="U254" s="1" t="s">
        <v>73</v>
      </c>
      <c r="V254" s="1" t="s">
        <v>94</v>
      </c>
      <c r="W254" s="1" t="s">
        <v>95</v>
      </c>
      <c r="X254" s="1">
        <v>6</v>
      </c>
      <c r="Y254" s="1">
        <v>6</v>
      </c>
      <c r="Z254" s="1" t="s">
        <v>83</v>
      </c>
      <c r="AA254" s="1">
        <v>6</v>
      </c>
      <c r="AB254" s="1">
        <v>6</v>
      </c>
      <c r="AC254" s="1" t="s">
        <v>83</v>
      </c>
      <c r="AD254" s="1">
        <v>5</v>
      </c>
      <c r="AE254" s="1">
        <v>5</v>
      </c>
      <c r="AF254" s="1" t="s">
        <v>83</v>
      </c>
      <c r="AG254" s="1">
        <v>5</v>
      </c>
      <c r="AH254" s="1">
        <v>6</v>
      </c>
      <c r="AI254" s="1" t="s">
        <v>83</v>
      </c>
      <c r="AJ254" s="1">
        <v>6</v>
      </c>
      <c r="AK254" s="1">
        <v>6</v>
      </c>
      <c r="AL254" s="1" t="s">
        <v>83</v>
      </c>
      <c r="AM254" s="1">
        <v>6</v>
      </c>
      <c r="AN254" s="1">
        <v>6</v>
      </c>
      <c r="AO254" s="1" t="s">
        <v>83</v>
      </c>
      <c r="AP254" s="1">
        <v>6</v>
      </c>
      <c r="AQ254" s="1">
        <v>6</v>
      </c>
      <c r="AR254" s="1" t="s">
        <v>83</v>
      </c>
      <c r="AS254" s="1">
        <v>6</v>
      </c>
      <c r="AT254" s="1">
        <v>6</v>
      </c>
      <c r="AU254" s="1" t="s">
        <v>83</v>
      </c>
      <c r="AV254" s="1">
        <v>6</v>
      </c>
      <c r="AW254" s="1">
        <v>6</v>
      </c>
      <c r="AX254" s="1" t="s">
        <v>83</v>
      </c>
      <c r="AY254" s="1">
        <v>0</v>
      </c>
      <c r="AZ254" s="1">
        <v>0</v>
      </c>
      <c r="BA254" s="1">
        <v>0</v>
      </c>
      <c r="BB254" s="1" t="s">
        <v>379</v>
      </c>
      <c r="BC254" s="1">
        <v>1</v>
      </c>
      <c r="BD254" s="1" t="s">
        <v>98</v>
      </c>
      <c r="BE254" s="1" t="s">
        <v>1629</v>
      </c>
      <c r="BF254" s="1" t="s">
        <v>98</v>
      </c>
      <c r="BG254" s="1" t="s">
        <v>98</v>
      </c>
    </row>
    <row r="255" spans="1:59" x14ac:dyDescent="0.35">
      <c r="A255" s="1">
        <v>254</v>
      </c>
      <c r="B255" s="1">
        <v>45842.475462962961</v>
      </c>
      <c r="C255" s="1" t="s">
        <v>1630</v>
      </c>
      <c r="D255" s="1" t="s">
        <v>1631</v>
      </c>
      <c r="E255" s="1" t="s">
        <v>904</v>
      </c>
      <c r="F255" s="1" t="s">
        <v>1632</v>
      </c>
      <c r="G255" s="1" t="s">
        <v>1633</v>
      </c>
      <c r="H255" s="1" t="s">
        <v>578</v>
      </c>
      <c r="I255" s="1" t="s">
        <v>588</v>
      </c>
      <c r="J255" s="1" t="s">
        <v>1634</v>
      </c>
      <c r="K255" s="1" t="s">
        <v>1635</v>
      </c>
      <c r="L255" s="1" t="s">
        <v>69</v>
      </c>
      <c r="M255" s="1" t="s">
        <v>69</v>
      </c>
      <c r="N255" s="1" t="s">
        <v>69</v>
      </c>
      <c r="O255" s="1" t="s">
        <v>69</v>
      </c>
      <c r="P255" s="1" t="s">
        <v>106</v>
      </c>
      <c r="Q255" s="1" t="s">
        <v>1168</v>
      </c>
      <c r="R255" s="1" t="s">
        <v>873</v>
      </c>
      <c r="S255" s="1">
        <v>37</v>
      </c>
      <c r="T255" s="1" t="s">
        <v>153</v>
      </c>
      <c r="U255" s="1" t="s">
        <v>73</v>
      </c>
      <c r="V255" s="1" t="s">
        <v>74</v>
      </c>
      <c r="W255" s="1" t="s">
        <v>74</v>
      </c>
      <c r="X255" s="1">
        <v>6</v>
      </c>
      <c r="Y255" s="1">
        <v>6</v>
      </c>
      <c r="Z255" s="1" t="s">
        <v>83</v>
      </c>
      <c r="AA255" s="1">
        <v>6</v>
      </c>
      <c r="AB255" s="1">
        <v>6</v>
      </c>
      <c r="AC255" s="1" t="s">
        <v>83</v>
      </c>
      <c r="AD255" s="1">
        <v>5</v>
      </c>
      <c r="AE255" s="1">
        <v>5</v>
      </c>
      <c r="AF255" s="1" t="s">
        <v>83</v>
      </c>
      <c r="AG255" s="1">
        <v>0</v>
      </c>
      <c r="AH255" s="1">
        <v>0</v>
      </c>
      <c r="AI255" s="1" t="s">
        <v>83</v>
      </c>
      <c r="AJ255" s="1">
        <v>6</v>
      </c>
      <c r="AK255" s="1">
        <v>6</v>
      </c>
      <c r="AL255" s="1" t="s">
        <v>83</v>
      </c>
      <c r="AM255" s="1">
        <v>6</v>
      </c>
      <c r="AN255" s="1">
        <v>6</v>
      </c>
      <c r="AO255" s="1" t="s">
        <v>83</v>
      </c>
      <c r="AP255" s="1">
        <v>6</v>
      </c>
      <c r="AQ255" s="1">
        <v>6</v>
      </c>
      <c r="AR255" s="1" t="s">
        <v>83</v>
      </c>
      <c r="AS255" s="1">
        <v>6</v>
      </c>
      <c r="AT255" s="1">
        <v>6</v>
      </c>
      <c r="AU255" s="1" t="s">
        <v>83</v>
      </c>
      <c r="AV255" s="1">
        <v>6</v>
      </c>
      <c r="AW255" s="1">
        <v>6</v>
      </c>
      <c r="AX255" s="1" t="s">
        <v>83</v>
      </c>
      <c r="AY255" s="1">
        <v>1</v>
      </c>
      <c r="AZ255" s="1">
        <v>0</v>
      </c>
      <c r="BA255" s="1">
        <v>0</v>
      </c>
      <c r="BB255" s="1" t="s">
        <v>83</v>
      </c>
      <c r="BC255" s="1">
        <v>0</v>
      </c>
      <c r="BD255" s="1" t="s">
        <v>1636</v>
      </c>
      <c r="BE255" s="1" t="s">
        <v>1637</v>
      </c>
      <c r="BF255" s="1" t="s">
        <v>1638</v>
      </c>
      <c r="BG255" s="1" t="s">
        <v>83</v>
      </c>
    </row>
    <row r="256" spans="1:59" x14ac:dyDescent="0.35">
      <c r="A256" s="1">
        <v>255</v>
      </c>
      <c r="B256" s="1">
        <v>45842.527997685182</v>
      </c>
      <c r="C256" s="1" t="s">
        <v>1639</v>
      </c>
      <c r="D256" s="1" t="s">
        <v>1640</v>
      </c>
      <c r="E256" s="1" t="s">
        <v>63</v>
      </c>
      <c r="F256" s="1" t="s">
        <v>179</v>
      </c>
      <c r="G256" s="1" t="s">
        <v>1641</v>
      </c>
      <c r="H256" s="1" t="s">
        <v>657</v>
      </c>
      <c r="I256" s="1" t="s">
        <v>66</v>
      </c>
      <c r="J256" s="1" t="s">
        <v>989</v>
      </c>
      <c r="K256" s="1" t="s">
        <v>1642</v>
      </c>
      <c r="L256" s="1" t="s">
        <v>69</v>
      </c>
      <c r="M256" s="1" t="s">
        <v>69</v>
      </c>
      <c r="N256" s="1" t="s">
        <v>69</v>
      </c>
      <c r="O256" s="1" t="s">
        <v>69</v>
      </c>
      <c r="P256" s="1" t="s">
        <v>106</v>
      </c>
      <c r="Q256" s="1" t="s">
        <v>292</v>
      </c>
      <c r="R256" s="1" t="s">
        <v>2497</v>
      </c>
      <c r="S256" s="1">
        <v>20</v>
      </c>
      <c r="T256" s="1" t="s">
        <v>131</v>
      </c>
      <c r="U256" s="1" t="s">
        <v>73</v>
      </c>
      <c r="V256" s="1" t="s">
        <v>246</v>
      </c>
      <c r="W256" s="1" t="s">
        <v>246</v>
      </c>
      <c r="X256" s="1">
        <v>5</v>
      </c>
      <c r="Y256" s="1">
        <v>6</v>
      </c>
      <c r="Z256" s="1" t="s">
        <v>83</v>
      </c>
      <c r="AA256" s="1">
        <v>5</v>
      </c>
      <c r="AB256" s="1">
        <v>5</v>
      </c>
      <c r="AC256" s="1" t="s">
        <v>83</v>
      </c>
      <c r="AD256" s="1">
        <v>5</v>
      </c>
      <c r="AE256" s="1">
        <v>5</v>
      </c>
      <c r="AF256" s="1" t="s">
        <v>83</v>
      </c>
      <c r="AG256" s="1">
        <v>4</v>
      </c>
      <c r="AH256" s="1">
        <v>4</v>
      </c>
      <c r="AI256" s="1" t="s">
        <v>83</v>
      </c>
      <c r="AJ256" s="1">
        <v>5</v>
      </c>
      <c r="AK256" s="1">
        <v>5</v>
      </c>
      <c r="AL256" s="1" t="s">
        <v>83</v>
      </c>
      <c r="AM256" s="1">
        <v>6</v>
      </c>
      <c r="AN256" s="1">
        <v>6</v>
      </c>
      <c r="AO256" s="1" t="s">
        <v>83</v>
      </c>
      <c r="AP256" s="1">
        <v>6</v>
      </c>
      <c r="AQ256" s="1">
        <v>6</v>
      </c>
      <c r="AR256" s="1" t="s">
        <v>83</v>
      </c>
      <c r="AS256" s="1">
        <v>5</v>
      </c>
      <c r="AT256" s="1">
        <v>5</v>
      </c>
      <c r="AU256" s="1" t="s">
        <v>83</v>
      </c>
      <c r="AV256" s="1">
        <v>5</v>
      </c>
      <c r="AW256" s="1">
        <v>5</v>
      </c>
      <c r="AX256" s="1" t="s">
        <v>83</v>
      </c>
      <c r="AY256" s="1">
        <v>1</v>
      </c>
      <c r="AZ256" s="1">
        <v>0</v>
      </c>
      <c r="BA256" s="1">
        <v>0</v>
      </c>
      <c r="BB256" s="1" t="s">
        <v>83</v>
      </c>
      <c r="BC256" s="1">
        <v>0</v>
      </c>
      <c r="BD256" s="1" t="s">
        <v>1643</v>
      </c>
      <c r="BE256" s="1" t="s">
        <v>624</v>
      </c>
      <c r="BF256" s="1" t="s">
        <v>624</v>
      </c>
      <c r="BG256" s="1" t="s">
        <v>83</v>
      </c>
    </row>
    <row r="257" spans="1:59" x14ac:dyDescent="0.35">
      <c r="A257" s="1">
        <v>256</v>
      </c>
      <c r="B257" s="1">
        <v>45842.57671296296</v>
      </c>
      <c r="C257" s="1" t="s">
        <v>1644</v>
      </c>
      <c r="D257" s="1" t="s">
        <v>1645</v>
      </c>
      <c r="E257" s="1" t="s">
        <v>63</v>
      </c>
      <c r="F257" s="1" t="s">
        <v>480</v>
      </c>
      <c r="G257" s="1" t="s">
        <v>1646</v>
      </c>
      <c r="H257" s="1" t="s">
        <v>138</v>
      </c>
      <c r="I257" s="1" t="s">
        <v>139</v>
      </c>
      <c r="J257" s="1" t="s">
        <v>1480</v>
      </c>
      <c r="K257" s="1" t="s">
        <v>1647</v>
      </c>
      <c r="L257" s="1" t="s">
        <v>69</v>
      </c>
      <c r="M257" s="1" t="s">
        <v>69</v>
      </c>
      <c r="N257" s="1" t="s">
        <v>69</v>
      </c>
      <c r="O257" s="1" t="s">
        <v>69</v>
      </c>
      <c r="P257" s="1" t="s">
        <v>70</v>
      </c>
      <c r="Q257" s="1" t="s">
        <v>292</v>
      </c>
      <c r="R257" s="1" t="s">
        <v>2438</v>
      </c>
      <c r="S257" s="1">
        <v>18</v>
      </c>
      <c r="T257" s="1" t="s">
        <v>131</v>
      </c>
      <c r="U257" s="1" t="s">
        <v>73</v>
      </c>
      <c r="V257" s="1" t="s">
        <v>94</v>
      </c>
      <c r="W257" s="1" t="s">
        <v>95</v>
      </c>
      <c r="X257" s="1">
        <v>5</v>
      </c>
      <c r="Y257" s="1">
        <v>6</v>
      </c>
      <c r="Z257" s="1" t="s">
        <v>83</v>
      </c>
      <c r="AA257" s="1">
        <v>5</v>
      </c>
      <c r="AB257" s="1">
        <v>4</v>
      </c>
      <c r="AC257" s="1" t="s">
        <v>83</v>
      </c>
      <c r="AD257" s="1">
        <v>5</v>
      </c>
      <c r="AE257" s="1">
        <v>5</v>
      </c>
      <c r="AF257" s="1" t="s">
        <v>83</v>
      </c>
      <c r="AG257" s="1">
        <v>5</v>
      </c>
      <c r="AH257" s="1">
        <v>5</v>
      </c>
      <c r="AI257" s="1" t="s">
        <v>83</v>
      </c>
      <c r="AJ257" s="1">
        <v>6</v>
      </c>
      <c r="AK257" s="1">
        <v>6</v>
      </c>
      <c r="AL257" s="1" t="s">
        <v>83</v>
      </c>
      <c r="AM257" s="1">
        <v>5</v>
      </c>
      <c r="AN257" s="1">
        <v>5</v>
      </c>
      <c r="AO257" s="1" t="s">
        <v>83</v>
      </c>
      <c r="AP257" s="1">
        <v>5</v>
      </c>
      <c r="AQ257" s="1">
        <v>5</v>
      </c>
      <c r="AR257" s="1" t="s">
        <v>83</v>
      </c>
      <c r="AS257" s="1">
        <v>5</v>
      </c>
      <c r="AT257" s="1">
        <v>5</v>
      </c>
      <c r="AU257" s="1" t="s">
        <v>83</v>
      </c>
      <c r="AV257" s="1">
        <v>5</v>
      </c>
      <c r="AW257" s="1">
        <v>5</v>
      </c>
      <c r="AX257" s="1" t="s">
        <v>83</v>
      </c>
      <c r="AY257" s="1">
        <v>0</v>
      </c>
      <c r="AZ257" s="1">
        <v>0</v>
      </c>
      <c r="BA257" s="1">
        <v>0</v>
      </c>
      <c r="BB257" s="1" t="s">
        <v>76</v>
      </c>
      <c r="BC257" s="1">
        <v>2</v>
      </c>
      <c r="BD257" s="1" t="s">
        <v>98</v>
      </c>
      <c r="BE257" s="1" t="s">
        <v>98</v>
      </c>
      <c r="BF257" s="1" t="s">
        <v>98</v>
      </c>
      <c r="BG257" s="1" t="s">
        <v>98</v>
      </c>
    </row>
    <row r="258" spans="1:59" x14ac:dyDescent="0.35">
      <c r="A258" s="1">
        <v>257</v>
      </c>
      <c r="B258" s="1">
        <v>45842.579965277779</v>
      </c>
      <c r="C258" s="1" t="s">
        <v>1648</v>
      </c>
      <c r="D258" s="1" t="s">
        <v>1649</v>
      </c>
      <c r="E258" s="1" t="s">
        <v>63</v>
      </c>
      <c r="F258" s="1" t="s">
        <v>416</v>
      </c>
      <c r="G258" s="1" t="s">
        <v>1650</v>
      </c>
      <c r="H258" s="1" t="s">
        <v>138</v>
      </c>
      <c r="I258" s="1" t="s">
        <v>139</v>
      </c>
      <c r="J258" s="1" t="s">
        <v>1480</v>
      </c>
      <c r="K258" s="1" t="s">
        <v>1651</v>
      </c>
      <c r="L258" s="1" t="s">
        <v>69</v>
      </c>
      <c r="M258" s="1" t="s">
        <v>69</v>
      </c>
      <c r="N258" s="1" t="s">
        <v>69</v>
      </c>
      <c r="O258" s="1" t="s">
        <v>69</v>
      </c>
      <c r="P258" s="1" t="s">
        <v>106</v>
      </c>
      <c r="Q258" s="1" t="s">
        <v>292</v>
      </c>
      <c r="R258" s="1" t="s">
        <v>2438</v>
      </c>
      <c r="S258" s="1">
        <v>18</v>
      </c>
      <c r="T258" s="1" t="s">
        <v>131</v>
      </c>
      <c r="U258" s="1" t="s">
        <v>73</v>
      </c>
      <c r="V258" s="1" t="s">
        <v>94</v>
      </c>
      <c r="W258" s="1" t="s">
        <v>95</v>
      </c>
      <c r="X258" s="1">
        <v>6</v>
      </c>
      <c r="Y258" s="1">
        <v>6</v>
      </c>
      <c r="Z258" s="1" t="s">
        <v>83</v>
      </c>
      <c r="AA258" s="1">
        <v>6</v>
      </c>
      <c r="AB258" s="1">
        <v>6</v>
      </c>
      <c r="AC258" s="1" t="s">
        <v>83</v>
      </c>
      <c r="AD258" s="1">
        <v>6</v>
      </c>
      <c r="AE258" s="1">
        <v>6</v>
      </c>
      <c r="AF258" s="1" t="s">
        <v>83</v>
      </c>
      <c r="AG258" s="1">
        <v>6</v>
      </c>
      <c r="AH258" s="1">
        <v>6</v>
      </c>
      <c r="AI258" s="1" t="s">
        <v>83</v>
      </c>
      <c r="AJ258" s="1">
        <v>5</v>
      </c>
      <c r="AK258" s="1">
        <v>6</v>
      </c>
      <c r="AL258" s="1" t="s">
        <v>83</v>
      </c>
      <c r="AM258" s="1">
        <v>6</v>
      </c>
      <c r="AN258" s="1">
        <v>6</v>
      </c>
      <c r="AO258" s="1" t="s">
        <v>83</v>
      </c>
      <c r="AP258" s="1">
        <v>6</v>
      </c>
      <c r="AQ258" s="1">
        <v>6</v>
      </c>
      <c r="AR258" s="1" t="s">
        <v>83</v>
      </c>
      <c r="AS258" s="1">
        <v>6</v>
      </c>
      <c r="AT258" s="1">
        <v>6</v>
      </c>
      <c r="AU258" s="1" t="s">
        <v>83</v>
      </c>
      <c r="AV258" s="1">
        <v>6</v>
      </c>
      <c r="AW258" s="1">
        <v>6</v>
      </c>
      <c r="AX258" s="1" t="s">
        <v>83</v>
      </c>
      <c r="AY258" s="1">
        <v>0</v>
      </c>
      <c r="AZ258" s="1">
        <v>0</v>
      </c>
      <c r="BA258" s="1">
        <v>0</v>
      </c>
      <c r="BB258" s="1" t="s">
        <v>144</v>
      </c>
      <c r="BC258" s="1">
        <v>2</v>
      </c>
      <c r="BD258" s="1" t="s">
        <v>98</v>
      </c>
      <c r="BE258" s="1" t="s">
        <v>98</v>
      </c>
      <c r="BF258" s="1" t="s">
        <v>98</v>
      </c>
      <c r="BG258" s="1" t="s">
        <v>98</v>
      </c>
    </row>
    <row r="259" spans="1:59" x14ac:dyDescent="0.35">
      <c r="A259" s="1">
        <v>258</v>
      </c>
      <c r="B259" s="1">
        <v>45842.585706018515</v>
      </c>
      <c r="C259" s="1" t="s">
        <v>1652</v>
      </c>
      <c r="D259" s="1" t="s">
        <v>1653</v>
      </c>
      <c r="E259" s="1" t="s">
        <v>63</v>
      </c>
      <c r="F259" s="1" t="s">
        <v>338</v>
      </c>
      <c r="G259" s="1" t="s">
        <v>1654</v>
      </c>
      <c r="H259" s="1" t="s">
        <v>138</v>
      </c>
      <c r="I259" s="1" t="s">
        <v>139</v>
      </c>
      <c r="J259" s="1" t="s">
        <v>1480</v>
      </c>
      <c r="K259" s="1" t="s">
        <v>1655</v>
      </c>
      <c r="L259" s="1" t="s">
        <v>69</v>
      </c>
      <c r="M259" s="1" t="s">
        <v>69</v>
      </c>
      <c r="N259" s="1" t="s">
        <v>69</v>
      </c>
      <c r="O259" s="1" t="s">
        <v>69</v>
      </c>
      <c r="P259" s="1" t="s">
        <v>106</v>
      </c>
      <c r="Q259" s="1" t="s">
        <v>292</v>
      </c>
      <c r="R259" s="1" t="s">
        <v>2438</v>
      </c>
      <c r="S259" s="1">
        <v>18</v>
      </c>
      <c r="T259" s="1" t="s">
        <v>131</v>
      </c>
      <c r="U259" s="1" t="s">
        <v>73</v>
      </c>
      <c r="V259" s="1" t="s">
        <v>94</v>
      </c>
      <c r="W259" s="1" t="s">
        <v>95</v>
      </c>
      <c r="X259" s="1">
        <v>5</v>
      </c>
      <c r="Y259" s="1">
        <v>5</v>
      </c>
      <c r="Z259" s="1" t="s">
        <v>83</v>
      </c>
      <c r="AA259" s="1">
        <v>4</v>
      </c>
      <c r="AB259" s="1">
        <v>4</v>
      </c>
      <c r="AC259" s="1" t="s">
        <v>83</v>
      </c>
      <c r="AD259" s="1">
        <v>5</v>
      </c>
      <c r="AE259" s="1">
        <v>5</v>
      </c>
      <c r="AF259" s="1" t="s">
        <v>83</v>
      </c>
      <c r="AG259" s="1">
        <v>4</v>
      </c>
      <c r="AH259" s="1">
        <v>5</v>
      </c>
      <c r="AI259" s="1" t="s">
        <v>83</v>
      </c>
      <c r="AJ259" s="1">
        <v>6</v>
      </c>
      <c r="AK259" s="1">
        <v>6</v>
      </c>
      <c r="AL259" s="1" t="s">
        <v>83</v>
      </c>
      <c r="AM259" s="1">
        <v>5</v>
      </c>
      <c r="AN259" s="1">
        <v>5</v>
      </c>
      <c r="AO259" s="1" t="s">
        <v>83</v>
      </c>
      <c r="AP259" s="1">
        <v>5</v>
      </c>
      <c r="AQ259" s="1">
        <v>5</v>
      </c>
      <c r="AR259" s="1" t="s">
        <v>83</v>
      </c>
      <c r="AS259" s="1">
        <v>6</v>
      </c>
      <c r="AT259" s="1">
        <v>6</v>
      </c>
      <c r="AU259" s="1" t="s">
        <v>83</v>
      </c>
      <c r="AV259" s="1">
        <v>5</v>
      </c>
      <c r="AW259" s="1">
        <v>6</v>
      </c>
      <c r="AX259" s="1" t="s">
        <v>83</v>
      </c>
      <c r="AY259" s="1">
        <v>2</v>
      </c>
      <c r="AZ259" s="1">
        <v>0</v>
      </c>
      <c r="BA259" s="1">
        <v>0</v>
      </c>
      <c r="BB259" s="1" t="s">
        <v>83</v>
      </c>
      <c r="BC259" s="1">
        <v>0</v>
      </c>
      <c r="BD259" s="1" t="s">
        <v>98</v>
      </c>
      <c r="BE259" s="1" t="s">
        <v>98</v>
      </c>
      <c r="BF259" s="1" t="s">
        <v>1656</v>
      </c>
      <c r="BG259" s="1" t="s">
        <v>98</v>
      </c>
    </row>
    <row r="260" spans="1:59" x14ac:dyDescent="0.35">
      <c r="A260" s="1">
        <v>259</v>
      </c>
      <c r="B260" s="1">
        <v>45842.59165509259</v>
      </c>
      <c r="C260" s="1" t="s">
        <v>1657</v>
      </c>
      <c r="D260" s="1" t="s">
        <v>1555</v>
      </c>
      <c r="E260" s="1" t="s">
        <v>63</v>
      </c>
      <c r="F260" s="1" t="s">
        <v>63</v>
      </c>
      <c r="G260" s="1" t="s">
        <v>1658</v>
      </c>
      <c r="H260" s="1" t="s">
        <v>138</v>
      </c>
      <c r="I260" s="1" t="s">
        <v>139</v>
      </c>
      <c r="J260" s="1" t="s">
        <v>1480</v>
      </c>
      <c r="K260" s="1" t="s">
        <v>1659</v>
      </c>
      <c r="L260" s="1" t="s">
        <v>69</v>
      </c>
      <c r="M260" s="1" t="s">
        <v>69</v>
      </c>
      <c r="N260" s="1" t="s">
        <v>69</v>
      </c>
      <c r="O260" s="1" t="s">
        <v>69</v>
      </c>
      <c r="P260" s="1" t="s">
        <v>70</v>
      </c>
      <c r="Q260" s="1" t="s">
        <v>292</v>
      </c>
      <c r="R260" s="1" t="s">
        <v>2443</v>
      </c>
      <c r="S260" s="1">
        <v>25</v>
      </c>
      <c r="T260" s="1" t="s">
        <v>72</v>
      </c>
      <c r="U260" s="1" t="s">
        <v>93</v>
      </c>
      <c r="V260" s="1" t="s">
        <v>142</v>
      </c>
      <c r="W260" s="1" t="s">
        <v>143</v>
      </c>
      <c r="X260" s="1">
        <v>5</v>
      </c>
      <c r="Y260" s="1">
        <v>5</v>
      </c>
      <c r="Z260" s="1" t="s">
        <v>83</v>
      </c>
      <c r="AA260" s="1">
        <v>6</v>
      </c>
      <c r="AB260" s="1">
        <v>5</v>
      </c>
      <c r="AC260" s="1" t="s">
        <v>83</v>
      </c>
      <c r="AD260" s="1">
        <v>6</v>
      </c>
      <c r="AE260" s="1">
        <v>6</v>
      </c>
      <c r="AF260" s="1" t="s">
        <v>83</v>
      </c>
      <c r="AG260" s="1">
        <v>5</v>
      </c>
      <c r="AH260" s="1">
        <v>6</v>
      </c>
      <c r="AI260" s="1" t="s">
        <v>83</v>
      </c>
      <c r="AJ260" s="1">
        <v>6</v>
      </c>
      <c r="AK260" s="1">
        <v>6</v>
      </c>
      <c r="AL260" s="1" t="s">
        <v>83</v>
      </c>
      <c r="AM260" s="1">
        <v>6</v>
      </c>
      <c r="AN260" s="1">
        <v>5</v>
      </c>
      <c r="AO260" s="1" t="s">
        <v>83</v>
      </c>
      <c r="AP260" s="1">
        <v>6</v>
      </c>
      <c r="AQ260" s="1">
        <v>6</v>
      </c>
      <c r="AR260" s="1" t="s">
        <v>83</v>
      </c>
      <c r="AS260" s="1">
        <v>6</v>
      </c>
      <c r="AT260" s="1">
        <v>6</v>
      </c>
      <c r="AU260" s="1" t="s">
        <v>83</v>
      </c>
      <c r="AV260" s="1">
        <v>6</v>
      </c>
      <c r="AW260" s="1">
        <v>5</v>
      </c>
      <c r="AX260" s="1" t="s">
        <v>83</v>
      </c>
      <c r="AY260" s="1">
        <v>1</v>
      </c>
      <c r="AZ260" s="1">
        <v>0</v>
      </c>
      <c r="BA260" s="1">
        <v>0</v>
      </c>
      <c r="BB260" s="1" t="s">
        <v>83</v>
      </c>
      <c r="BC260" s="1">
        <v>0</v>
      </c>
      <c r="BD260" s="1" t="s">
        <v>98</v>
      </c>
      <c r="BE260" s="1" t="s">
        <v>98</v>
      </c>
      <c r="BF260" s="1" t="s">
        <v>263</v>
      </c>
      <c r="BG260" s="1" t="s">
        <v>1660</v>
      </c>
    </row>
    <row r="261" spans="1:59" x14ac:dyDescent="0.35">
      <c r="A261" s="1">
        <v>260</v>
      </c>
      <c r="B261" s="1">
        <v>45842.598078703704</v>
      </c>
      <c r="C261" s="1" t="s">
        <v>1661</v>
      </c>
      <c r="D261" s="1" t="s">
        <v>925</v>
      </c>
      <c r="E261" s="1" t="s">
        <v>63</v>
      </c>
      <c r="F261" s="1" t="s">
        <v>125</v>
      </c>
      <c r="G261" s="1" t="s">
        <v>1662</v>
      </c>
      <c r="H261" s="1" t="s">
        <v>138</v>
      </c>
      <c r="I261" s="1" t="s">
        <v>139</v>
      </c>
      <c r="J261" s="1" t="s">
        <v>1480</v>
      </c>
      <c r="K261" s="1" t="s">
        <v>1663</v>
      </c>
      <c r="L261" s="1" t="s">
        <v>69</v>
      </c>
      <c r="M261" s="1" t="s">
        <v>69</v>
      </c>
      <c r="N261" s="1" t="s">
        <v>69</v>
      </c>
      <c r="O261" s="1" t="s">
        <v>69</v>
      </c>
      <c r="P261" s="1" t="s">
        <v>106</v>
      </c>
      <c r="Q261" s="1" t="s">
        <v>292</v>
      </c>
      <c r="R261" s="1" t="s">
        <v>2438</v>
      </c>
      <c r="S261" s="1">
        <v>18</v>
      </c>
      <c r="T261" s="1" t="s">
        <v>131</v>
      </c>
      <c r="U261" s="1" t="s">
        <v>73</v>
      </c>
      <c r="V261" s="1" t="s">
        <v>1592</v>
      </c>
      <c r="W261" s="1" t="s">
        <v>133</v>
      </c>
      <c r="X261" s="1">
        <v>5</v>
      </c>
      <c r="Y261" s="1">
        <v>5</v>
      </c>
      <c r="Z261" s="1" t="s">
        <v>83</v>
      </c>
      <c r="AA261" s="1">
        <v>5</v>
      </c>
      <c r="AB261" s="1">
        <v>5</v>
      </c>
      <c r="AC261" s="1" t="s">
        <v>83</v>
      </c>
      <c r="AD261" s="1">
        <v>2</v>
      </c>
      <c r="AE261" s="1">
        <v>5</v>
      </c>
      <c r="AF261" s="1" t="s">
        <v>2505</v>
      </c>
      <c r="AG261" s="1">
        <v>5</v>
      </c>
      <c r="AH261" s="1">
        <v>5</v>
      </c>
      <c r="AI261" s="1" t="s">
        <v>83</v>
      </c>
      <c r="AJ261" s="1">
        <v>5</v>
      </c>
      <c r="AK261" s="1">
        <v>6</v>
      </c>
      <c r="AL261" s="1" t="s">
        <v>83</v>
      </c>
      <c r="AM261" s="1">
        <v>6</v>
      </c>
      <c r="AN261" s="1">
        <v>6</v>
      </c>
      <c r="AO261" s="1" t="s">
        <v>83</v>
      </c>
      <c r="AP261" s="1">
        <v>6</v>
      </c>
      <c r="AQ261" s="1">
        <v>6</v>
      </c>
      <c r="AR261" s="1" t="s">
        <v>83</v>
      </c>
      <c r="AS261" s="1">
        <v>5</v>
      </c>
      <c r="AT261" s="1">
        <v>6</v>
      </c>
      <c r="AU261" s="1" t="s">
        <v>83</v>
      </c>
      <c r="AV261" s="1">
        <v>5</v>
      </c>
      <c r="AW261" s="1">
        <v>5</v>
      </c>
      <c r="AX261" s="1" t="s">
        <v>83</v>
      </c>
      <c r="AY261" s="1">
        <v>0</v>
      </c>
      <c r="AZ261" s="1">
        <v>0</v>
      </c>
      <c r="BA261" s="1">
        <v>0</v>
      </c>
      <c r="BB261" s="1" t="s">
        <v>293</v>
      </c>
      <c r="BC261" s="1">
        <v>1</v>
      </c>
      <c r="BD261" s="1" t="s">
        <v>98</v>
      </c>
      <c r="BE261" s="1" t="s">
        <v>98</v>
      </c>
      <c r="BF261" s="1" t="s">
        <v>263</v>
      </c>
      <c r="BG261" s="1" t="s">
        <v>98</v>
      </c>
    </row>
    <row r="262" spans="1:59" x14ac:dyDescent="0.35">
      <c r="A262" s="1">
        <v>261</v>
      </c>
      <c r="B262" s="1">
        <v>45842.655023148145</v>
      </c>
      <c r="C262" s="1" t="s">
        <v>1664</v>
      </c>
      <c r="D262" s="1" t="s">
        <v>1665</v>
      </c>
      <c r="E262" s="1" t="s">
        <v>63</v>
      </c>
      <c r="F262" s="1" t="s">
        <v>63</v>
      </c>
      <c r="G262" s="1" t="s">
        <v>1666</v>
      </c>
      <c r="H262" s="1" t="s">
        <v>578</v>
      </c>
      <c r="I262" s="1" t="s">
        <v>588</v>
      </c>
      <c r="J262" s="1" t="s">
        <v>1667</v>
      </c>
      <c r="K262" s="1" t="s">
        <v>1668</v>
      </c>
      <c r="L262" s="1" t="s">
        <v>69</v>
      </c>
      <c r="M262" s="1" t="s">
        <v>69</v>
      </c>
      <c r="N262" s="1" t="s">
        <v>69</v>
      </c>
      <c r="O262" s="1" t="s">
        <v>69</v>
      </c>
      <c r="P262" s="1" t="s">
        <v>70</v>
      </c>
      <c r="Q262" s="1" t="s">
        <v>1168</v>
      </c>
      <c r="R262" s="1" t="s">
        <v>1153</v>
      </c>
      <c r="S262" s="1">
        <v>39</v>
      </c>
      <c r="T262" s="1" t="s">
        <v>153</v>
      </c>
      <c r="U262" s="1" t="s">
        <v>93</v>
      </c>
      <c r="V262" s="1" t="s">
        <v>74</v>
      </c>
      <c r="W262" s="1" t="s">
        <v>74</v>
      </c>
      <c r="X262" s="1">
        <v>5</v>
      </c>
      <c r="Y262" s="1">
        <v>5</v>
      </c>
      <c r="Z262" s="1" t="s">
        <v>83</v>
      </c>
      <c r="AA262" s="1">
        <v>5</v>
      </c>
      <c r="AB262" s="1">
        <v>5</v>
      </c>
      <c r="AC262" s="1" t="s">
        <v>83</v>
      </c>
      <c r="AD262" s="1">
        <v>5</v>
      </c>
      <c r="AE262" s="1">
        <v>5</v>
      </c>
      <c r="AF262" s="1" t="s">
        <v>83</v>
      </c>
      <c r="AG262" s="1">
        <v>0</v>
      </c>
      <c r="AH262" s="1">
        <v>0</v>
      </c>
      <c r="AI262" s="1" t="s">
        <v>83</v>
      </c>
      <c r="AJ262" s="1">
        <v>5</v>
      </c>
      <c r="AK262" s="1">
        <v>5</v>
      </c>
      <c r="AL262" s="1" t="s">
        <v>83</v>
      </c>
      <c r="AM262" s="1">
        <v>5</v>
      </c>
      <c r="AN262" s="1">
        <v>5</v>
      </c>
      <c r="AO262" s="1" t="s">
        <v>83</v>
      </c>
      <c r="AP262" s="1">
        <v>5</v>
      </c>
      <c r="AQ262" s="1">
        <v>5</v>
      </c>
      <c r="AR262" s="1" t="s">
        <v>83</v>
      </c>
      <c r="AS262" s="1">
        <v>5</v>
      </c>
      <c r="AT262" s="1">
        <v>5</v>
      </c>
      <c r="AU262" s="1" t="s">
        <v>83</v>
      </c>
      <c r="AV262" s="1">
        <v>6</v>
      </c>
      <c r="AW262" s="1">
        <v>6</v>
      </c>
      <c r="AX262" s="1" t="s">
        <v>83</v>
      </c>
      <c r="AY262" s="1">
        <v>0</v>
      </c>
      <c r="AZ262" s="1">
        <v>0</v>
      </c>
      <c r="BA262" s="1">
        <v>1</v>
      </c>
      <c r="BB262" s="1" t="s">
        <v>83</v>
      </c>
      <c r="BC262" s="1">
        <v>0</v>
      </c>
      <c r="BD262" s="1" t="s">
        <v>1669</v>
      </c>
      <c r="BE262" s="1" t="s">
        <v>462</v>
      </c>
      <c r="BF262" s="1" t="s">
        <v>442</v>
      </c>
      <c r="BG262" s="1" t="s">
        <v>83</v>
      </c>
    </row>
    <row r="263" spans="1:59" x14ac:dyDescent="0.35">
      <c r="A263" s="1">
        <v>262</v>
      </c>
      <c r="B263" s="1">
        <v>45842.679120370369</v>
      </c>
      <c r="C263" s="1" t="s">
        <v>1670</v>
      </c>
      <c r="D263" s="1" t="s">
        <v>1671</v>
      </c>
      <c r="E263" s="1" t="s">
        <v>904</v>
      </c>
      <c r="F263" s="1" t="s">
        <v>1672</v>
      </c>
      <c r="G263" s="1" t="s">
        <v>1673</v>
      </c>
      <c r="H263" s="1" t="s">
        <v>517</v>
      </c>
      <c r="I263" s="1" t="s">
        <v>518</v>
      </c>
      <c r="J263" s="1" t="s">
        <v>1596</v>
      </c>
      <c r="K263" s="1" t="s">
        <v>1143</v>
      </c>
      <c r="L263" s="1" t="s">
        <v>69</v>
      </c>
      <c r="M263" s="1" t="s">
        <v>69</v>
      </c>
      <c r="N263" s="1" t="s">
        <v>69</v>
      </c>
      <c r="O263" s="1" t="s">
        <v>69</v>
      </c>
      <c r="P263" s="1" t="s">
        <v>106</v>
      </c>
      <c r="Q263" s="1" t="s">
        <v>1168</v>
      </c>
      <c r="R263" s="1" t="s">
        <v>91</v>
      </c>
      <c r="S263" s="1">
        <v>27</v>
      </c>
      <c r="T263" s="1" t="s">
        <v>92</v>
      </c>
      <c r="U263" s="1" t="s">
        <v>1343</v>
      </c>
      <c r="V263" s="1" t="s">
        <v>74</v>
      </c>
      <c r="W263" s="1" t="s">
        <v>74</v>
      </c>
      <c r="X263" s="1">
        <v>6</v>
      </c>
      <c r="Y263" s="1">
        <v>4</v>
      </c>
      <c r="Z263" s="1" t="s">
        <v>83</v>
      </c>
      <c r="AA263" s="1">
        <v>4</v>
      </c>
      <c r="AB263" s="1">
        <v>5</v>
      </c>
      <c r="AC263" s="1" t="s">
        <v>83</v>
      </c>
      <c r="AD263" s="1">
        <v>3</v>
      </c>
      <c r="AE263" s="1">
        <v>5</v>
      </c>
      <c r="AF263" s="1" t="s">
        <v>2506</v>
      </c>
      <c r="AG263" s="1">
        <v>0</v>
      </c>
      <c r="AH263" s="1">
        <v>0</v>
      </c>
      <c r="AI263" s="1" t="s">
        <v>83</v>
      </c>
      <c r="AJ263" s="1">
        <v>6</v>
      </c>
      <c r="AK263" s="1">
        <v>6</v>
      </c>
      <c r="AL263" s="1" t="s">
        <v>83</v>
      </c>
      <c r="AM263" s="1">
        <v>6</v>
      </c>
      <c r="AN263" s="1">
        <v>6</v>
      </c>
      <c r="AO263" s="1" t="s">
        <v>83</v>
      </c>
      <c r="AP263" s="1">
        <v>6</v>
      </c>
      <c r="AQ263" s="1">
        <v>6</v>
      </c>
      <c r="AR263" s="1" t="s">
        <v>83</v>
      </c>
      <c r="AS263" s="1">
        <v>5</v>
      </c>
      <c r="AT263" s="1">
        <v>6</v>
      </c>
      <c r="AU263" s="1" t="s">
        <v>83</v>
      </c>
      <c r="AV263" s="1">
        <v>6</v>
      </c>
      <c r="AW263" s="1">
        <v>6</v>
      </c>
      <c r="AX263" s="1" t="s">
        <v>83</v>
      </c>
      <c r="AY263" s="1">
        <v>0</v>
      </c>
      <c r="AZ263" s="1">
        <v>0</v>
      </c>
      <c r="BA263" s="1">
        <v>0</v>
      </c>
      <c r="BB263" s="1" t="s">
        <v>1674</v>
      </c>
      <c r="BC263" s="1">
        <v>2</v>
      </c>
      <c r="BD263" s="1" t="s">
        <v>503</v>
      </c>
      <c r="BE263" s="1" t="s">
        <v>503</v>
      </c>
      <c r="BF263" s="1" t="s">
        <v>503</v>
      </c>
      <c r="BG263" s="1" t="s">
        <v>83</v>
      </c>
    </row>
    <row r="264" spans="1:59" x14ac:dyDescent="0.35">
      <c r="A264" s="1">
        <v>263</v>
      </c>
      <c r="B264" s="1">
        <v>45842.686168981483</v>
      </c>
      <c r="C264" s="1" t="s">
        <v>1675</v>
      </c>
      <c r="D264" s="1" t="s">
        <v>1676</v>
      </c>
      <c r="E264" s="1" t="s">
        <v>375</v>
      </c>
      <c r="F264" s="1" t="s">
        <v>1677</v>
      </c>
      <c r="G264" s="1" t="s">
        <v>1678</v>
      </c>
      <c r="H264" s="1" t="s">
        <v>1679</v>
      </c>
      <c r="I264" s="1" t="s">
        <v>439</v>
      </c>
      <c r="J264" s="1" t="s">
        <v>1634</v>
      </c>
      <c r="K264" s="1" t="s">
        <v>867</v>
      </c>
      <c r="L264" s="1" t="s">
        <v>69</v>
      </c>
      <c r="M264" s="1" t="s">
        <v>69</v>
      </c>
      <c r="N264" s="1" t="s">
        <v>69</v>
      </c>
      <c r="O264" s="1" t="s">
        <v>69</v>
      </c>
      <c r="P264" s="1" t="s">
        <v>106</v>
      </c>
      <c r="Q264" s="1" t="s">
        <v>1168</v>
      </c>
      <c r="R264" s="1" t="s">
        <v>566</v>
      </c>
      <c r="S264" s="1">
        <v>25</v>
      </c>
      <c r="T264" s="1" t="s">
        <v>72</v>
      </c>
      <c r="U264" s="1" t="s">
        <v>73</v>
      </c>
      <c r="V264" s="1" t="s">
        <v>110</v>
      </c>
      <c r="W264" s="1" t="s">
        <v>110</v>
      </c>
      <c r="X264" s="1">
        <v>6</v>
      </c>
      <c r="Y264" s="1">
        <v>6</v>
      </c>
      <c r="Z264" s="1" t="s">
        <v>83</v>
      </c>
      <c r="AA264" s="1">
        <v>6</v>
      </c>
      <c r="AB264" s="1">
        <v>6</v>
      </c>
      <c r="AC264" s="1" t="s">
        <v>83</v>
      </c>
      <c r="AD264" s="1">
        <v>6</v>
      </c>
      <c r="AE264" s="1">
        <v>6</v>
      </c>
      <c r="AF264" s="1" t="s">
        <v>83</v>
      </c>
      <c r="AG264" s="1">
        <v>0</v>
      </c>
      <c r="AH264" s="1">
        <v>0</v>
      </c>
      <c r="AI264" s="1" t="s">
        <v>83</v>
      </c>
      <c r="AJ264" s="1">
        <v>6</v>
      </c>
      <c r="AK264" s="1">
        <v>6</v>
      </c>
      <c r="AL264" s="1" t="s">
        <v>83</v>
      </c>
      <c r="AM264" s="1">
        <v>6</v>
      </c>
      <c r="AN264" s="1">
        <v>6</v>
      </c>
      <c r="AO264" s="1" t="s">
        <v>83</v>
      </c>
      <c r="AP264" s="1">
        <v>6</v>
      </c>
      <c r="AQ264" s="1">
        <v>6</v>
      </c>
      <c r="AR264" s="1" t="s">
        <v>83</v>
      </c>
      <c r="AS264" s="1">
        <v>6</v>
      </c>
      <c r="AT264" s="1">
        <v>6</v>
      </c>
      <c r="AU264" s="1" t="s">
        <v>83</v>
      </c>
      <c r="AV264" s="1">
        <v>6</v>
      </c>
      <c r="AW264" s="1">
        <v>6</v>
      </c>
      <c r="AX264" s="1" t="s">
        <v>83</v>
      </c>
      <c r="AY264" s="1">
        <v>0</v>
      </c>
      <c r="AZ264" s="1">
        <v>0</v>
      </c>
      <c r="BA264" s="1">
        <v>1</v>
      </c>
      <c r="BB264" s="1" t="s">
        <v>83</v>
      </c>
      <c r="BC264" s="1">
        <v>0</v>
      </c>
      <c r="BD264" s="1" t="s">
        <v>1680</v>
      </c>
      <c r="BE264" s="1" t="s">
        <v>442</v>
      </c>
      <c r="BF264" s="1" t="s">
        <v>442</v>
      </c>
      <c r="BG264" s="1" t="s">
        <v>83</v>
      </c>
    </row>
    <row r="265" spans="1:59" x14ac:dyDescent="0.35">
      <c r="A265" s="1">
        <v>264</v>
      </c>
      <c r="B265" s="1">
        <v>45842.689629629633</v>
      </c>
      <c r="C265" s="1" t="s">
        <v>1681</v>
      </c>
      <c r="D265" s="1" t="s">
        <v>1682</v>
      </c>
      <c r="E265" s="1" t="s">
        <v>63</v>
      </c>
      <c r="F265" s="1" t="s">
        <v>63</v>
      </c>
      <c r="G265" s="1" t="s">
        <v>1683</v>
      </c>
      <c r="H265" s="1" t="s">
        <v>1679</v>
      </c>
      <c r="I265" s="1" t="s">
        <v>439</v>
      </c>
      <c r="J265" s="1" t="s">
        <v>1634</v>
      </c>
      <c r="K265" s="1" t="s">
        <v>1684</v>
      </c>
      <c r="L265" s="1" t="s">
        <v>69</v>
      </c>
      <c r="M265" s="1" t="s">
        <v>69</v>
      </c>
      <c r="N265" s="1" t="s">
        <v>69</v>
      </c>
      <c r="O265" s="1" t="s">
        <v>69</v>
      </c>
      <c r="P265" s="1" t="s">
        <v>106</v>
      </c>
      <c r="Q265" s="1" t="s">
        <v>1168</v>
      </c>
      <c r="R265" s="1" t="s">
        <v>1045</v>
      </c>
      <c r="S265" s="1">
        <v>29</v>
      </c>
      <c r="T265" s="1" t="s">
        <v>92</v>
      </c>
      <c r="U265" s="1" t="s">
        <v>73</v>
      </c>
      <c r="V265" s="1" t="s">
        <v>110</v>
      </c>
      <c r="W265" s="1" t="s">
        <v>110</v>
      </c>
      <c r="X265" s="1">
        <v>6</v>
      </c>
      <c r="Y265" s="1">
        <v>6</v>
      </c>
      <c r="Z265" s="1" t="s">
        <v>83</v>
      </c>
      <c r="AA265" s="1">
        <v>6</v>
      </c>
      <c r="AB265" s="1">
        <v>6</v>
      </c>
      <c r="AC265" s="1" t="s">
        <v>83</v>
      </c>
      <c r="AD265" s="1">
        <v>6</v>
      </c>
      <c r="AE265" s="1">
        <v>6</v>
      </c>
      <c r="AF265" s="1" t="s">
        <v>83</v>
      </c>
      <c r="AG265" s="1">
        <v>0</v>
      </c>
      <c r="AH265" s="1">
        <v>0</v>
      </c>
      <c r="AI265" s="1" t="s">
        <v>83</v>
      </c>
      <c r="AJ265" s="1">
        <v>6</v>
      </c>
      <c r="AK265" s="1">
        <v>6</v>
      </c>
      <c r="AL265" s="1" t="s">
        <v>83</v>
      </c>
      <c r="AM265" s="1">
        <v>6</v>
      </c>
      <c r="AN265" s="1">
        <v>6</v>
      </c>
      <c r="AO265" s="1" t="s">
        <v>83</v>
      </c>
      <c r="AP265" s="1">
        <v>6</v>
      </c>
      <c r="AQ265" s="1">
        <v>6</v>
      </c>
      <c r="AR265" s="1" t="s">
        <v>83</v>
      </c>
      <c r="AS265" s="1">
        <v>6</v>
      </c>
      <c r="AT265" s="1">
        <v>6</v>
      </c>
      <c r="AU265" s="1" t="s">
        <v>83</v>
      </c>
      <c r="AV265" s="1">
        <v>6</v>
      </c>
      <c r="AW265" s="1">
        <v>6</v>
      </c>
      <c r="AX265" s="1" t="s">
        <v>83</v>
      </c>
      <c r="AY265" s="1">
        <v>0</v>
      </c>
      <c r="AZ265" s="1">
        <v>0</v>
      </c>
      <c r="BA265" s="1">
        <v>0</v>
      </c>
      <c r="BB265" s="1" t="s">
        <v>1278</v>
      </c>
      <c r="BC265" s="1">
        <v>1</v>
      </c>
      <c r="BD265" s="1" t="s">
        <v>503</v>
      </c>
      <c r="BE265" s="1" t="s">
        <v>503</v>
      </c>
      <c r="BF265" s="1" t="s">
        <v>1685</v>
      </c>
      <c r="BG265" s="1" t="s">
        <v>83</v>
      </c>
    </row>
    <row r="266" spans="1:59" x14ac:dyDescent="0.35">
      <c r="A266" s="1">
        <v>265</v>
      </c>
      <c r="B266" s="1">
        <v>45842.701886574076</v>
      </c>
      <c r="C266" s="1" t="s">
        <v>1686</v>
      </c>
      <c r="D266" s="1" t="s">
        <v>1687</v>
      </c>
      <c r="E266" s="1" t="s">
        <v>63</v>
      </c>
      <c r="F266" s="1" t="s">
        <v>1688</v>
      </c>
      <c r="G266" s="1" t="s">
        <v>1689</v>
      </c>
      <c r="H266" s="1" t="s">
        <v>517</v>
      </c>
      <c r="I266" s="1" t="s">
        <v>518</v>
      </c>
      <c r="J266" s="1" t="s">
        <v>1596</v>
      </c>
      <c r="K266" s="1" t="s">
        <v>1399</v>
      </c>
      <c r="L266" s="1" t="s">
        <v>69</v>
      </c>
      <c r="M266" s="1" t="s">
        <v>69</v>
      </c>
      <c r="N266" s="1" t="s">
        <v>69</v>
      </c>
      <c r="O266" s="1" t="s">
        <v>69</v>
      </c>
      <c r="P266" s="1" t="s">
        <v>106</v>
      </c>
      <c r="Q266" s="1" t="s">
        <v>1168</v>
      </c>
      <c r="R266" s="1" t="s">
        <v>1493</v>
      </c>
      <c r="S266" s="1">
        <v>53</v>
      </c>
      <c r="T266" s="1" t="s">
        <v>383</v>
      </c>
      <c r="U266" s="1" t="s">
        <v>273</v>
      </c>
      <c r="V266" s="1" t="s">
        <v>110</v>
      </c>
      <c r="W266" s="1" t="s">
        <v>110</v>
      </c>
      <c r="X266" s="1">
        <v>6</v>
      </c>
      <c r="Y266" s="1">
        <v>6</v>
      </c>
      <c r="Z266" s="1" t="s">
        <v>83</v>
      </c>
      <c r="AA266" s="1">
        <v>6</v>
      </c>
      <c r="AB266" s="1">
        <v>5</v>
      </c>
      <c r="AC266" s="1" t="s">
        <v>83</v>
      </c>
      <c r="AD266" s="1">
        <v>6</v>
      </c>
      <c r="AE266" s="1">
        <v>6</v>
      </c>
      <c r="AF266" s="1" t="s">
        <v>83</v>
      </c>
      <c r="AG266" s="1">
        <v>0</v>
      </c>
      <c r="AH266" s="1">
        <v>0</v>
      </c>
      <c r="AI266" s="1" t="s">
        <v>83</v>
      </c>
      <c r="AJ266" s="1">
        <v>6</v>
      </c>
      <c r="AK266" s="1">
        <v>5</v>
      </c>
      <c r="AL266" s="1" t="s">
        <v>83</v>
      </c>
      <c r="AM266" s="1">
        <v>6</v>
      </c>
      <c r="AN266" s="1">
        <v>6</v>
      </c>
      <c r="AO266" s="1" t="s">
        <v>83</v>
      </c>
      <c r="AP266" s="1">
        <v>6</v>
      </c>
      <c r="AQ266" s="1">
        <v>6</v>
      </c>
      <c r="AR266" s="1" t="s">
        <v>83</v>
      </c>
      <c r="AS266" s="1">
        <v>6</v>
      </c>
      <c r="AT266" s="1">
        <v>6</v>
      </c>
      <c r="AU266" s="1" t="s">
        <v>83</v>
      </c>
      <c r="AV266" s="1">
        <v>6</v>
      </c>
      <c r="AW266" s="1">
        <v>6</v>
      </c>
      <c r="AX266" s="1" t="s">
        <v>83</v>
      </c>
      <c r="AY266" s="1">
        <v>0</v>
      </c>
      <c r="AZ266" s="1">
        <v>0</v>
      </c>
      <c r="BA266" s="1">
        <v>0</v>
      </c>
      <c r="BB266" s="1" t="s">
        <v>77</v>
      </c>
      <c r="BC266" s="1">
        <v>1</v>
      </c>
      <c r="BD266" s="1" t="s">
        <v>503</v>
      </c>
      <c r="BE266" s="1" t="s">
        <v>248</v>
      </c>
      <c r="BF266" s="1" t="s">
        <v>503</v>
      </c>
      <c r="BG266" s="1" t="s">
        <v>83</v>
      </c>
    </row>
    <row r="267" spans="1:59" x14ac:dyDescent="0.35">
      <c r="A267" s="1">
        <v>266</v>
      </c>
      <c r="B267" s="1">
        <v>45842.706469907411</v>
      </c>
      <c r="C267" s="1" t="s">
        <v>1690</v>
      </c>
      <c r="D267" s="1" t="s">
        <v>1691</v>
      </c>
      <c r="E267" s="1" t="s">
        <v>63</v>
      </c>
      <c r="F267" s="1" t="s">
        <v>125</v>
      </c>
      <c r="G267" s="1" t="s">
        <v>1692</v>
      </c>
      <c r="H267" s="1" t="s">
        <v>517</v>
      </c>
      <c r="I267" s="1" t="s">
        <v>518</v>
      </c>
      <c r="J267" s="1" t="s">
        <v>1596</v>
      </c>
      <c r="K267" s="1" t="s">
        <v>1693</v>
      </c>
      <c r="L267" s="1" t="s">
        <v>69</v>
      </c>
      <c r="M267" s="1" t="s">
        <v>69</v>
      </c>
      <c r="N267" s="1" t="s">
        <v>69</v>
      </c>
      <c r="O267" s="1" t="s">
        <v>69</v>
      </c>
      <c r="P267" s="1" t="s">
        <v>70</v>
      </c>
      <c r="Q267" s="1" t="s">
        <v>1168</v>
      </c>
      <c r="R267" s="1" t="s">
        <v>1694</v>
      </c>
      <c r="S267" s="1">
        <v>40</v>
      </c>
      <c r="T267" s="1" t="s">
        <v>153</v>
      </c>
      <c r="U267" s="1" t="s">
        <v>73</v>
      </c>
      <c r="V267" s="1" t="s">
        <v>110</v>
      </c>
      <c r="W267" s="1" t="s">
        <v>110</v>
      </c>
      <c r="X267" s="1">
        <v>6</v>
      </c>
      <c r="Y267" s="1">
        <v>6</v>
      </c>
      <c r="Z267" s="1" t="s">
        <v>83</v>
      </c>
      <c r="AA267" s="1">
        <v>6</v>
      </c>
      <c r="AB267" s="1">
        <v>6</v>
      </c>
      <c r="AC267" s="1" t="s">
        <v>83</v>
      </c>
      <c r="AD267" s="1">
        <v>6</v>
      </c>
      <c r="AE267" s="1">
        <v>6</v>
      </c>
      <c r="AF267" s="1" t="s">
        <v>83</v>
      </c>
      <c r="AG267" s="1">
        <v>0</v>
      </c>
      <c r="AH267" s="1">
        <v>0</v>
      </c>
      <c r="AI267" s="1" t="s">
        <v>83</v>
      </c>
      <c r="AJ267" s="1">
        <v>6</v>
      </c>
      <c r="AK267" s="1">
        <v>6</v>
      </c>
      <c r="AL267" s="1" t="s">
        <v>83</v>
      </c>
      <c r="AM267" s="1">
        <v>6</v>
      </c>
      <c r="AN267" s="1">
        <v>6</v>
      </c>
      <c r="AO267" s="1" t="s">
        <v>83</v>
      </c>
      <c r="AP267" s="1">
        <v>6</v>
      </c>
      <c r="AQ267" s="1">
        <v>6</v>
      </c>
      <c r="AR267" s="1" t="s">
        <v>83</v>
      </c>
      <c r="AS267" s="1">
        <v>6</v>
      </c>
      <c r="AT267" s="1">
        <v>6</v>
      </c>
      <c r="AU267" s="1" t="s">
        <v>83</v>
      </c>
      <c r="AV267" s="1">
        <v>6</v>
      </c>
      <c r="AW267" s="1">
        <v>5</v>
      </c>
      <c r="AX267" s="1" t="s">
        <v>83</v>
      </c>
      <c r="AY267" s="1">
        <v>0</v>
      </c>
      <c r="AZ267" s="1">
        <v>0</v>
      </c>
      <c r="BA267" s="1">
        <v>0</v>
      </c>
      <c r="BB267" s="1" t="s">
        <v>1223</v>
      </c>
      <c r="BC267" s="1">
        <v>1</v>
      </c>
      <c r="BD267" s="1" t="s">
        <v>1695</v>
      </c>
      <c r="BE267" s="1" t="s">
        <v>503</v>
      </c>
      <c r="BF267" s="1" t="s">
        <v>961</v>
      </c>
      <c r="BG267" s="1" t="s">
        <v>83</v>
      </c>
    </row>
    <row r="268" spans="1:59" x14ac:dyDescent="0.35">
      <c r="A268" s="1">
        <v>267</v>
      </c>
      <c r="B268" s="1">
        <v>45842.707326388889</v>
      </c>
      <c r="C268" s="1" t="s">
        <v>1696</v>
      </c>
      <c r="D268" s="1" t="s">
        <v>1697</v>
      </c>
      <c r="E268" s="1" t="s">
        <v>63</v>
      </c>
      <c r="F268" s="1" t="s">
        <v>136</v>
      </c>
      <c r="G268" s="1" t="s">
        <v>1698</v>
      </c>
      <c r="H268" s="1" t="s">
        <v>210</v>
      </c>
      <c r="I268" s="1" t="s">
        <v>211</v>
      </c>
      <c r="J268" s="1" t="s">
        <v>1480</v>
      </c>
      <c r="K268" s="1" t="s">
        <v>1699</v>
      </c>
      <c r="L268" s="1" t="s">
        <v>69</v>
      </c>
      <c r="M268" s="1" t="s">
        <v>69</v>
      </c>
      <c r="N268" s="1" t="s">
        <v>69</v>
      </c>
      <c r="O268" s="1" t="s">
        <v>69</v>
      </c>
      <c r="P268" s="1" t="s">
        <v>70</v>
      </c>
      <c r="Q268" s="1" t="s">
        <v>107</v>
      </c>
      <c r="R268" s="1" t="s">
        <v>2507</v>
      </c>
      <c r="S268" s="1">
        <v>30</v>
      </c>
      <c r="T268" s="1" t="s">
        <v>92</v>
      </c>
      <c r="U268" s="1" t="s">
        <v>254</v>
      </c>
      <c r="V268" s="1" t="s">
        <v>74</v>
      </c>
      <c r="W268" s="1" t="s">
        <v>74</v>
      </c>
      <c r="X268" s="1">
        <v>6</v>
      </c>
      <c r="Y268" s="1">
        <v>6</v>
      </c>
      <c r="Z268" s="1" t="s">
        <v>83</v>
      </c>
      <c r="AA268" s="1">
        <v>6</v>
      </c>
      <c r="AB268" s="1">
        <v>6</v>
      </c>
      <c r="AC268" s="1" t="s">
        <v>83</v>
      </c>
      <c r="AD268" s="1">
        <v>6</v>
      </c>
      <c r="AE268" s="1">
        <v>6</v>
      </c>
      <c r="AF268" s="1" t="s">
        <v>83</v>
      </c>
      <c r="AG268" s="1">
        <v>6</v>
      </c>
      <c r="AH268" s="1">
        <v>6</v>
      </c>
      <c r="AI268" s="1" t="s">
        <v>83</v>
      </c>
      <c r="AJ268" s="1">
        <v>6</v>
      </c>
      <c r="AK268" s="1">
        <v>6</v>
      </c>
      <c r="AL268" s="1" t="s">
        <v>83</v>
      </c>
      <c r="AM268" s="1">
        <v>6</v>
      </c>
      <c r="AN268" s="1">
        <v>6</v>
      </c>
      <c r="AO268" s="1" t="s">
        <v>83</v>
      </c>
      <c r="AP268" s="1">
        <v>6</v>
      </c>
      <c r="AQ268" s="1">
        <v>6</v>
      </c>
      <c r="AR268" s="1" t="s">
        <v>83</v>
      </c>
      <c r="AS268" s="1">
        <v>6</v>
      </c>
      <c r="AT268" s="1">
        <v>6</v>
      </c>
      <c r="AU268" s="1" t="s">
        <v>83</v>
      </c>
      <c r="AV268" s="1">
        <v>6</v>
      </c>
      <c r="AW268" s="1">
        <v>6</v>
      </c>
      <c r="AX268" s="1" t="s">
        <v>83</v>
      </c>
      <c r="AY268" s="1">
        <v>0</v>
      </c>
      <c r="AZ268" s="1">
        <v>0</v>
      </c>
      <c r="BA268" s="1">
        <v>0</v>
      </c>
      <c r="BB268" s="1" t="s">
        <v>379</v>
      </c>
      <c r="BC268" s="1">
        <v>1</v>
      </c>
      <c r="BD268" s="1" t="s">
        <v>98</v>
      </c>
      <c r="BE268" s="1" t="s">
        <v>98</v>
      </c>
      <c r="BF268" s="1" t="s">
        <v>263</v>
      </c>
      <c r="BG268" s="1" t="s">
        <v>98</v>
      </c>
    </row>
    <row r="269" spans="1:59" x14ac:dyDescent="0.35">
      <c r="A269" s="1">
        <v>268</v>
      </c>
      <c r="B269" s="1">
        <v>45842.713472222225</v>
      </c>
      <c r="C269" s="1" t="s">
        <v>1700</v>
      </c>
      <c r="D269" s="1" t="s">
        <v>1701</v>
      </c>
      <c r="E269" s="1" t="s">
        <v>904</v>
      </c>
      <c r="F269" s="1" t="s">
        <v>1702</v>
      </c>
      <c r="G269" s="1" t="s">
        <v>1703</v>
      </c>
      <c r="H269" s="1" t="s">
        <v>210</v>
      </c>
      <c r="I269" s="1" t="s">
        <v>211</v>
      </c>
      <c r="J269" s="1" t="s">
        <v>1480</v>
      </c>
      <c r="K269" s="1" t="s">
        <v>1704</v>
      </c>
      <c r="L269" s="1" t="s">
        <v>69</v>
      </c>
      <c r="M269" s="1" t="s">
        <v>69</v>
      </c>
      <c r="N269" s="1" t="s">
        <v>69</v>
      </c>
      <c r="O269" s="1" t="s">
        <v>69</v>
      </c>
      <c r="P269" s="1" t="s">
        <v>70</v>
      </c>
      <c r="Q269" s="1" t="s">
        <v>107</v>
      </c>
      <c r="R269" s="1" t="s">
        <v>2508</v>
      </c>
      <c r="S269" s="1">
        <v>36</v>
      </c>
      <c r="T269" s="1" t="s">
        <v>153</v>
      </c>
      <c r="U269" s="1" t="s">
        <v>93</v>
      </c>
      <c r="V269" s="1" t="s">
        <v>232</v>
      </c>
      <c r="W269" s="1" t="s">
        <v>232</v>
      </c>
      <c r="X269" s="1">
        <v>6</v>
      </c>
      <c r="Y269" s="1">
        <v>6</v>
      </c>
      <c r="Z269" s="1" t="s">
        <v>83</v>
      </c>
      <c r="AA269" s="1">
        <v>4</v>
      </c>
      <c r="AB269" s="1">
        <v>5</v>
      </c>
      <c r="AC269" s="1" t="s">
        <v>83</v>
      </c>
      <c r="AD269" s="1">
        <v>5</v>
      </c>
      <c r="AE269" s="1">
        <v>5</v>
      </c>
      <c r="AF269" s="1" t="s">
        <v>83</v>
      </c>
      <c r="AG269" s="1">
        <v>6</v>
      </c>
      <c r="AH269" s="1">
        <v>6</v>
      </c>
      <c r="AI269" s="1" t="s">
        <v>83</v>
      </c>
      <c r="AJ269" s="1">
        <v>6</v>
      </c>
      <c r="AK269" s="1">
        <v>6</v>
      </c>
      <c r="AL269" s="1" t="s">
        <v>83</v>
      </c>
      <c r="AM269" s="1">
        <v>6</v>
      </c>
      <c r="AN269" s="1">
        <v>6</v>
      </c>
      <c r="AO269" s="1" t="s">
        <v>83</v>
      </c>
      <c r="AP269" s="1">
        <v>5</v>
      </c>
      <c r="AQ269" s="1">
        <v>5</v>
      </c>
      <c r="AR269" s="1" t="s">
        <v>83</v>
      </c>
      <c r="AS269" s="1">
        <v>6</v>
      </c>
      <c r="AT269" s="1">
        <v>6</v>
      </c>
      <c r="AU269" s="1" t="s">
        <v>83</v>
      </c>
      <c r="AV269" s="1">
        <v>6</v>
      </c>
      <c r="AW269" s="1">
        <v>6</v>
      </c>
      <c r="AX269" s="1" t="s">
        <v>83</v>
      </c>
      <c r="AY269" s="1">
        <v>2</v>
      </c>
      <c r="AZ269" s="1">
        <v>0</v>
      </c>
      <c r="BA269" s="1">
        <v>0</v>
      </c>
      <c r="BB269" s="1" t="s">
        <v>83</v>
      </c>
      <c r="BC269" s="1">
        <v>0</v>
      </c>
      <c r="BD269" s="1" t="s">
        <v>98</v>
      </c>
      <c r="BE269" s="1" t="s">
        <v>98</v>
      </c>
      <c r="BF269" s="1" t="s">
        <v>98</v>
      </c>
      <c r="BG269" s="1" t="s">
        <v>98</v>
      </c>
    </row>
    <row r="270" spans="1:59" x14ac:dyDescent="0.35">
      <c r="A270" s="1">
        <v>269</v>
      </c>
      <c r="B270" s="1">
        <v>45842.723182870373</v>
      </c>
      <c r="C270" s="1" t="s">
        <v>1705</v>
      </c>
      <c r="D270" s="1" t="s">
        <v>1706</v>
      </c>
      <c r="E270" s="1" t="s">
        <v>63</v>
      </c>
      <c r="F270" s="1" t="s">
        <v>1707</v>
      </c>
      <c r="G270" s="1" t="s">
        <v>1708</v>
      </c>
      <c r="H270" s="1" t="s">
        <v>210</v>
      </c>
      <c r="I270" s="1" t="s">
        <v>211</v>
      </c>
      <c r="J270" s="1" t="s">
        <v>1480</v>
      </c>
      <c r="K270" s="1" t="s">
        <v>1709</v>
      </c>
      <c r="L270" s="1" t="s">
        <v>69</v>
      </c>
      <c r="M270" s="1" t="s">
        <v>69</v>
      </c>
      <c r="N270" s="1" t="s">
        <v>69</v>
      </c>
      <c r="O270" s="1" t="s">
        <v>69</v>
      </c>
      <c r="P270" s="1" t="s">
        <v>70</v>
      </c>
      <c r="Q270" s="1" t="s">
        <v>271</v>
      </c>
      <c r="R270" s="1" t="s">
        <v>2474</v>
      </c>
      <c r="S270" s="1">
        <v>20</v>
      </c>
      <c r="T270" s="1" t="s">
        <v>131</v>
      </c>
      <c r="U270" s="1" t="s">
        <v>73</v>
      </c>
      <c r="V270" s="1" t="s">
        <v>94</v>
      </c>
      <c r="W270" s="1" t="s">
        <v>95</v>
      </c>
      <c r="X270" s="1">
        <v>5</v>
      </c>
      <c r="Y270" s="1">
        <v>5</v>
      </c>
      <c r="Z270" s="1" t="s">
        <v>83</v>
      </c>
      <c r="AA270" s="1">
        <v>5</v>
      </c>
      <c r="AB270" s="1">
        <v>5</v>
      </c>
      <c r="AC270" s="1" t="s">
        <v>83</v>
      </c>
      <c r="AD270" s="1">
        <v>5</v>
      </c>
      <c r="AE270" s="1">
        <v>5</v>
      </c>
      <c r="AF270" s="1" t="s">
        <v>83</v>
      </c>
      <c r="AG270" s="1">
        <v>5</v>
      </c>
      <c r="AH270" s="1">
        <v>5</v>
      </c>
      <c r="AI270" s="1" t="s">
        <v>83</v>
      </c>
      <c r="AJ270" s="1">
        <v>5</v>
      </c>
      <c r="AK270" s="1">
        <v>5</v>
      </c>
      <c r="AL270" s="1" t="s">
        <v>83</v>
      </c>
      <c r="AM270" s="1">
        <v>5</v>
      </c>
      <c r="AN270" s="1">
        <v>5</v>
      </c>
      <c r="AO270" s="1" t="s">
        <v>83</v>
      </c>
      <c r="AP270" s="1">
        <v>5</v>
      </c>
      <c r="AQ270" s="1">
        <v>5</v>
      </c>
      <c r="AR270" s="1" t="s">
        <v>83</v>
      </c>
      <c r="AS270" s="1">
        <v>5</v>
      </c>
      <c r="AT270" s="1">
        <v>5</v>
      </c>
      <c r="AU270" s="1" t="s">
        <v>83</v>
      </c>
      <c r="AV270" s="1">
        <v>5</v>
      </c>
      <c r="AW270" s="1">
        <v>5</v>
      </c>
      <c r="AX270" s="1" t="s">
        <v>83</v>
      </c>
      <c r="AY270" s="1">
        <v>0</v>
      </c>
      <c r="AZ270" s="1">
        <v>0</v>
      </c>
      <c r="BA270" s="1">
        <v>0</v>
      </c>
      <c r="BB270" s="1" t="s">
        <v>532</v>
      </c>
      <c r="BC270" s="1">
        <v>2</v>
      </c>
      <c r="BD270" s="1" t="s">
        <v>98</v>
      </c>
      <c r="BE270" s="1" t="s">
        <v>1295</v>
      </c>
      <c r="BF270" s="1" t="s">
        <v>98</v>
      </c>
      <c r="BG270" s="1" t="s">
        <v>263</v>
      </c>
    </row>
    <row r="271" spans="1:59" x14ac:dyDescent="0.35">
      <c r="A271" s="1">
        <v>270</v>
      </c>
      <c r="B271" s="1">
        <v>45842.727013888885</v>
      </c>
      <c r="C271" s="1" t="s">
        <v>1710</v>
      </c>
      <c r="D271" s="1" t="s">
        <v>1711</v>
      </c>
      <c r="E271" s="1" t="s">
        <v>63</v>
      </c>
      <c r="F271" s="1" t="s">
        <v>338</v>
      </c>
      <c r="G271" s="1" t="s">
        <v>1712</v>
      </c>
      <c r="H271" s="1" t="s">
        <v>210</v>
      </c>
      <c r="I271" s="1" t="s">
        <v>211</v>
      </c>
      <c r="J271" s="1" t="s">
        <v>1480</v>
      </c>
      <c r="K271" s="1" t="s">
        <v>1713</v>
      </c>
      <c r="L271" s="1" t="s">
        <v>69</v>
      </c>
      <c r="M271" s="1" t="s">
        <v>69</v>
      </c>
      <c r="N271" s="1" t="s">
        <v>69</v>
      </c>
      <c r="O271" s="1" t="s">
        <v>69</v>
      </c>
      <c r="P271" s="1" t="s">
        <v>106</v>
      </c>
      <c r="Q271" s="1" t="s">
        <v>271</v>
      </c>
      <c r="R271" s="1" t="s">
        <v>2498</v>
      </c>
      <c r="S271" s="1">
        <v>26</v>
      </c>
      <c r="T271" s="1" t="s">
        <v>92</v>
      </c>
      <c r="U271" s="1" t="s">
        <v>73</v>
      </c>
      <c r="V271" s="1" t="s">
        <v>74</v>
      </c>
      <c r="W271" s="1" t="s">
        <v>74</v>
      </c>
      <c r="X271" s="1">
        <v>5</v>
      </c>
      <c r="Y271" s="1">
        <v>5</v>
      </c>
      <c r="Z271" s="1" t="s">
        <v>83</v>
      </c>
      <c r="AA271" s="1">
        <v>5</v>
      </c>
      <c r="AB271" s="1">
        <v>5</v>
      </c>
      <c r="AC271" s="1" t="s">
        <v>83</v>
      </c>
      <c r="AD271" s="1">
        <v>5</v>
      </c>
      <c r="AE271" s="1">
        <v>5</v>
      </c>
      <c r="AF271" s="1" t="s">
        <v>83</v>
      </c>
      <c r="AG271" s="1">
        <v>5</v>
      </c>
      <c r="AH271" s="1">
        <v>5</v>
      </c>
      <c r="AI271" s="1" t="s">
        <v>83</v>
      </c>
      <c r="AJ271" s="1">
        <v>5</v>
      </c>
      <c r="AK271" s="1">
        <v>5</v>
      </c>
      <c r="AL271" s="1" t="s">
        <v>83</v>
      </c>
      <c r="AM271" s="1">
        <v>5</v>
      </c>
      <c r="AN271" s="1">
        <v>5</v>
      </c>
      <c r="AO271" s="1" t="s">
        <v>83</v>
      </c>
      <c r="AP271" s="1">
        <v>5</v>
      </c>
      <c r="AQ271" s="1">
        <v>5</v>
      </c>
      <c r="AR271" s="1" t="s">
        <v>83</v>
      </c>
      <c r="AS271" s="1">
        <v>5</v>
      </c>
      <c r="AT271" s="1">
        <v>5</v>
      </c>
      <c r="AU271" s="1" t="s">
        <v>83</v>
      </c>
      <c r="AV271" s="1">
        <v>5</v>
      </c>
      <c r="AW271" s="1">
        <v>5</v>
      </c>
      <c r="AX271" s="1" t="s">
        <v>83</v>
      </c>
      <c r="AY271" s="1">
        <v>0</v>
      </c>
      <c r="AZ271" s="1">
        <v>0</v>
      </c>
      <c r="BA271" s="1">
        <v>0</v>
      </c>
      <c r="BB271" s="1" t="s">
        <v>144</v>
      </c>
      <c r="BC271" s="1">
        <v>2</v>
      </c>
      <c r="BD271" s="1" t="s">
        <v>98</v>
      </c>
      <c r="BE271" s="1" t="s">
        <v>98</v>
      </c>
      <c r="BF271" s="1" t="s">
        <v>98</v>
      </c>
      <c r="BG271" s="1" t="s">
        <v>98</v>
      </c>
    </row>
    <row r="272" spans="1:59" x14ac:dyDescent="0.35">
      <c r="A272" s="1">
        <v>271</v>
      </c>
      <c r="B272" s="1">
        <v>45842.736458333333</v>
      </c>
      <c r="C272" s="1" t="s">
        <v>1714</v>
      </c>
      <c r="D272" s="1" t="s">
        <v>1715</v>
      </c>
      <c r="E272" s="1" t="s">
        <v>63</v>
      </c>
      <c r="F272" s="1" t="s">
        <v>757</v>
      </c>
      <c r="G272" s="1" t="s">
        <v>1716</v>
      </c>
      <c r="H272" s="1" t="s">
        <v>65</v>
      </c>
      <c r="I272" s="1" t="s">
        <v>66</v>
      </c>
      <c r="J272" s="1" t="s">
        <v>1541</v>
      </c>
      <c r="K272" s="1" t="s">
        <v>1717</v>
      </c>
      <c r="L272" s="1" t="s">
        <v>69</v>
      </c>
      <c r="M272" s="1" t="s">
        <v>69</v>
      </c>
      <c r="N272" s="1" t="s">
        <v>69</v>
      </c>
      <c r="O272" s="1" t="s">
        <v>69</v>
      </c>
      <c r="P272" s="1" t="s">
        <v>106</v>
      </c>
      <c r="Q272" s="1" t="s">
        <v>1180</v>
      </c>
      <c r="R272" s="1" t="s">
        <v>2509</v>
      </c>
      <c r="S272" s="1">
        <v>32</v>
      </c>
      <c r="T272" s="1" t="s">
        <v>109</v>
      </c>
      <c r="U272" s="1" t="s">
        <v>73</v>
      </c>
      <c r="V272" s="1" t="s">
        <v>74</v>
      </c>
      <c r="W272" s="1" t="s">
        <v>74</v>
      </c>
      <c r="X272" s="1">
        <v>6</v>
      </c>
      <c r="Y272" s="1">
        <v>6</v>
      </c>
      <c r="Z272" s="1" t="s">
        <v>83</v>
      </c>
      <c r="AA272" s="1">
        <v>6</v>
      </c>
      <c r="AB272" s="1">
        <v>6</v>
      </c>
      <c r="AC272" s="1" t="s">
        <v>83</v>
      </c>
      <c r="AD272" s="1">
        <v>6</v>
      </c>
      <c r="AE272" s="1">
        <v>6</v>
      </c>
      <c r="AF272" s="1" t="s">
        <v>83</v>
      </c>
      <c r="AG272" s="1">
        <v>0</v>
      </c>
      <c r="AH272" s="1">
        <v>0</v>
      </c>
      <c r="AI272" s="1" t="s">
        <v>83</v>
      </c>
      <c r="AJ272" s="1">
        <v>5</v>
      </c>
      <c r="AK272" s="1">
        <v>5</v>
      </c>
      <c r="AL272" s="1" t="s">
        <v>83</v>
      </c>
      <c r="AM272" s="1">
        <v>6</v>
      </c>
      <c r="AN272" s="1">
        <v>6</v>
      </c>
      <c r="AO272" s="1" t="s">
        <v>83</v>
      </c>
      <c r="AP272" s="1">
        <v>5</v>
      </c>
      <c r="AQ272" s="1">
        <v>5</v>
      </c>
      <c r="AR272" s="1" t="s">
        <v>83</v>
      </c>
      <c r="AS272" s="1">
        <v>5</v>
      </c>
      <c r="AT272" s="1">
        <v>5</v>
      </c>
      <c r="AU272" s="1" t="s">
        <v>83</v>
      </c>
      <c r="AV272" s="1">
        <v>6</v>
      </c>
      <c r="AW272" s="1">
        <v>6</v>
      </c>
      <c r="AX272" s="1" t="s">
        <v>83</v>
      </c>
      <c r="AY272" s="1">
        <v>0</v>
      </c>
      <c r="AZ272" s="1">
        <v>0</v>
      </c>
      <c r="BA272" s="1">
        <v>0</v>
      </c>
      <c r="BB272" s="1" t="s">
        <v>1718</v>
      </c>
      <c r="BC272" s="1">
        <v>1</v>
      </c>
      <c r="BD272" s="1" t="s">
        <v>1719</v>
      </c>
      <c r="BE272" s="1" t="s">
        <v>961</v>
      </c>
      <c r="BF272" s="1" t="s">
        <v>1720</v>
      </c>
      <c r="BG272" s="1" t="s">
        <v>83</v>
      </c>
    </row>
    <row r="273" spans="1:59" x14ac:dyDescent="0.35">
      <c r="A273" s="1">
        <v>272</v>
      </c>
      <c r="B273" s="1">
        <v>45842.739432870374</v>
      </c>
      <c r="C273" s="1" t="s">
        <v>1721</v>
      </c>
      <c r="D273" s="1" t="s">
        <v>1722</v>
      </c>
      <c r="E273" s="1" t="s">
        <v>1723</v>
      </c>
      <c r="F273" s="1" t="s">
        <v>1724</v>
      </c>
      <c r="G273" s="1" t="s">
        <v>1725</v>
      </c>
      <c r="H273" s="1" t="s">
        <v>517</v>
      </c>
      <c r="I273" s="1" t="s">
        <v>518</v>
      </c>
      <c r="J273" s="1" t="s">
        <v>1596</v>
      </c>
      <c r="K273" s="1" t="s">
        <v>1726</v>
      </c>
      <c r="L273" s="1" t="s">
        <v>69</v>
      </c>
      <c r="M273" s="1" t="s">
        <v>69</v>
      </c>
      <c r="N273" s="1" t="s">
        <v>69</v>
      </c>
      <c r="O273" s="1" t="s">
        <v>69</v>
      </c>
      <c r="P273" s="1" t="s">
        <v>106</v>
      </c>
      <c r="Q273" s="1" t="s">
        <v>1168</v>
      </c>
      <c r="R273" s="1" t="s">
        <v>873</v>
      </c>
      <c r="S273" s="1">
        <v>37</v>
      </c>
      <c r="T273" s="1" t="s">
        <v>153</v>
      </c>
      <c r="U273" s="1" t="s">
        <v>93</v>
      </c>
      <c r="V273" s="1" t="s">
        <v>74</v>
      </c>
      <c r="W273" s="1" t="s">
        <v>74</v>
      </c>
      <c r="X273" s="1">
        <v>5</v>
      </c>
      <c r="Y273" s="1">
        <v>5</v>
      </c>
      <c r="Z273" s="1" t="s">
        <v>83</v>
      </c>
      <c r="AA273" s="1">
        <v>6</v>
      </c>
      <c r="AB273" s="1">
        <v>6</v>
      </c>
      <c r="AC273" s="1" t="s">
        <v>83</v>
      </c>
      <c r="AD273" s="1">
        <v>6</v>
      </c>
      <c r="AE273" s="1">
        <v>5</v>
      </c>
      <c r="AF273" s="1" t="s">
        <v>83</v>
      </c>
      <c r="AG273" s="1">
        <v>0</v>
      </c>
      <c r="AH273" s="1">
        <v>0</v>
      </c>
      <c r="AI273" s="1" t="s">
        <v>83</v>
      </c>
      <c r="AJ273" s="1">
        <v>6</v>
      </c>
      <c r="AK273" s="1">
        <v>5</v>
      </c>
      <c r="AL273" s="1" t="s">
        <v>83</v>
      </c>
      <c r="AM273" s="1">
        <v>6</v>
      </c>
      <c r="AN273" s="1">
        <v>5</v>
      </c>
      <c r="AO273" s="1" t="s">
        <v>83</v>
      </c>
      <c r="AP273" s="1">
        <v>6</v>
      </c>
      <c r="AQ273" s="1">
        <v>5</v>
      </c>
      <c r="AR273" s="1" t="s">
        <v>83</v>
      </c>
      <c r="AS273" s="1">
        <v>5</v>
      </c>
      <c r="AT273" s="1">
        <v>5</v>
      </c>
      <c r="AU273" s="1" t="s">
        <v>83</v>
      </c>
      <c r="AV273" s="1">
        <v>5</v>
      </c>
      <c r="AW273" s="1">
        <v>5</v>
      </c>
      <c r="AX273" s="1" t="s">
        <v>83</v>
      </c>
      <c r="AY273" s="1">
        <v>0</v>
      </c>
      <c r="AZ273" s="1">
        <v>0</v>
      </c>
      <c r="BA273" s="1">
        <v>0</v>
      </c>
      <c r="BB273" s="1" t="s">
        <v>1727</v>
      </c>
      <c r="BC273" s="1">
        <v>2</v>
      </c>
      <c r="BD273" s="1" t="s">
        <v>1728</v>
      </c>
      <c r="BE273" s="1" t="s">
        <v>1729</v>
      </c>
      <c r="BF273" s="1" t="s">
        <v>1730</v>
      </c>
      <c r="BG273" s="1" t="s">
        <v>83</v>
      </c>
    </row>
    <row r="274" spans="1:59" x14ac:dyDescent="0.35">
      <c r="A274" s="1">
        <v>273</v>
      </c>
      <c r="B274" s="1">
        <v>45842.742222222223</v>
      </c>
      <c r="C274" s="1" t="s">
        <v>1731</v>
      </c>
      <c r="D274" s="1" t="s">
        <v>1732</v>
      </c>
      <c r="E274" s="1" t="s">
        <v>63</v>
      </c>
      <c r="F274" s="1" t="s">
        <v>312</v>
      </c>
      <c r="G274" s="1" t="s">
        <v>1733</v>
      </c>
      <c r="H274" s="1" t="s">
        <v>65</v>
      </c>
      <c r="I274" s="1" t="s">
        <v>66</v>
      </c>
      <c r="J274" s="1" t="s">
        <v>1541</v>
      </c>
      <c r="K274" s="1" t="s">
        <v>1734</v>
      </c>
      <c r="L274" s="1" t="s">
        <v>69</v>
      </c>
      <c r="M274" s="1" t="s">
        <v>69</v>
      </c>
      <c r="N274" s="1" t="s">
        <v>69</v>
      </c>
      <c r="O274" s="1" t="s">
        <v>69</v>
      </c>
      <c r="P274" s="1" t="s">
        <v>70</v>
      </c>
      <c r="Q274" s="1" t="s">
        <v>1168</v>
      </c>
      <c r="R274" s="1" t="s">
        <v>2510</v>
      </c>
      <c r="S274" s="1">
        <v>35</v>
      </c>
      <c r="T274" s="1" t="s">
        <v>109</v>
      </c>
      <c r="U274" s="1" t="s">
        <v>273</v>
      </c>
      <c r="V274" s="1" t="s">
        <v>110</v>
      </c>
      <c r="W274" s="1" t="s">
        <v>110</v>
      </c>
      <c r="X274" s="1">
        <v>5</v>
      </c>
      <c r="Y274" s="1">
        <v>5</v>
      </c>
      <c r="Z274" s="1" t="s">
        <v>83</v>
      </c>
      <c r="AA274" s="1">
        <v>5</v>
      </c>
      <c r="AB274" s="1">
        <v>5</v>
      </c>
      <c r="AC274" s="1" t="s">
        <v>83</v>
      </c>
      <c r="AD274" s="1">
        <v>5</v>
      </c>
      <c r="AE274" s="1">
        <v>5</v>
      </c>
      <c r="AF274" s="1" t="s">
        <v>83</v>
      </c>
      <c r="AG274" s="1">
        <v>0</v>
      </c>
      <c r="AH274" s="1">
        <v>0</v>
      </c>
      <c r="AI274" s="1" t="s">
        <v>83</v>
      </c>
      <c r="AJ274" s="1">
        <v>4</v>
      </c>
      <c r="AK274" s="1">
        <v>4</v>
      </c>
      <c r="AL274" s="1" t="s">
        <v>2511</v>
      </c>
      <c r="AM274" s="1">
        <v>5</v>
      </c>
      <c r="AN274" s="1">
        <v>5</v>
      </c>
      <c r="AO274" s="1" t="s">
        <v>83</v>
      </c>
      <c r="AP274" s="1">
        <v>5</v>
      </c>
      <c r="AQ274" s="1">
        <v>5</v>
      </c>
      <c r="AR274" s="1" t="s">
        <v>83</v>
      </c>
      <c r="AS274" s="1">
        <v>5</v>
      </c>
      <c r="AT274" s="1">
        <v>5</v>
      </c>
      <c r="AU274" s="1" t="s">
        <v>83</v>
      </c>
      <c r="AV274" s="1">
        <v>5</v>
      </c>
      <c r="AW274" s="1">
        <v>5</v>
      </c>
      <c r="AX274" s="1" t="s">
        <v>83</v>
      </c>
      <c r="AY274" s="1">
        <v>0</v>
      </c>
      <c r="AZ274" s="1">
        <v>0</v>
      </c>
      <c r="BA274" s="1">
        <v>0</v>
      </c>
      <c r="BB274" s="1" t="s">
        <v>1735</v>
      </c>
      <c r="BC274" s="1">
        <v>2</v>
      </c>
      <c r="BD274" s="1" t="s">
        <v>961</v>
      </c>
      <c r="BE274" s="1" t="s">
        <v>442</v>
      </c>
      <c r="BF274" s="1" t="s">
        <v>442</v>
      </c>
      <c r="BG274" s="1" t="s">
        <v>83</v>
      </c>
    </row>
    <row r="275" spans="1:59" x14ac:dyDescent="0.35">
      <c r="A275" s="1">
        <v>274</v>
      </c>
      <c r="B275" s="1">
        <v>45842.744143518517</v>
      </c>
      <c r="C275" s="1" t="s">
        <v>1736</v>
      </c>
      <c r="D275" s="1" t="s">
        <v>1737</v>
      </c>
      <c r="E275" s="1" t="s">
        <v>63</v>
      </c>
      <c r="F275" s="1" t="s">
        <v>312</v>
      </c>
      <c r="G275" s="1" t="s">
        <v>1738</v>
      </c>
      <c r="H275" s="1" t="s">
        <v>210</v>
      </c>
      <c r="I275" s="1" t="s">
        <v>211</v>
      </c>
      <c r="J275" s="1" t="s">
        <v>1480</v>
      </c>
      <c r="K275" s="1" t="s">
        <v>1739</v>
      </c>
      <c r="L275" s="1" t="s">
        <v>69</v>
      </c>
      <c r="M275" s="1" t="s">
        <v>69</v>
      </c>
      <c r="N275" s="1" t="s">
        <v>69</v>
      </c>
      <c r="O275" s="1" t="s">
        <v>69</v>
      </c>
      <c r="P275" s="1" t="s">
        <v>70</v>
      </c>
      <c r="Q275" s="1" t="s">
        <v>271</v>
      </c>
      <c r="R275" s="1" t="s">
        <v>2508</v>
      </c>
      <c r="S275" s="1">
        <v>36</v>
      </c>
      <c r="T275" s="1" t="s">
        <v>153</v>
      </c>
      <c r="U275" s="1" t="s">
        <v>73</v>
      </c>
      <c r="V275" s="1" t="s">
        <v>74</v>
      </c>
      <c r="W275" s="1" t="s">
        <v>74</v>
      </c>
      <c r="X275" s="1">
        <v>4</v>
      </c>
      <c r="Y275" s="1">
        <v>4</v>
      </c>
      <c r="Z275" s="1" t="s">
        <v>83</v>
      </c>
      <c r="AA275" s="1">
        <v>5</v>
      </c>
      <c r="AB275" s="1">
        <v>5</v>
      </c>
      <c r="AC275" s="1" t="s">
        <v>83</v>
      </c>
      <c r="AD275" s="1">
        <v>5</v>
      </c>
      <c r="AE275" s="1">
        <v>5</v>
      </c>
      <c r="AF275" s="1" t="s">
        <v>83</v>
      </c>
      <c r="AG275" s="1">
        <v>4</v>
      </c>
      <c r="AH275" s="1">
        <v>5</v>
      </c>
      <c r="AI275" s="1" t="s">
        <v>83</v>
      </c>
      <c r="AJ275" s="1">
        <v>5</v>
      </c>
      <c r="AK275" s="1">
        <v>5</v>
      </c>
      <c r="AL275" s="1" t="s">
        <v>83</v>
      </c>
      <c r="AM275" s="1">
        <v>5</v>
      </c>
      <c r="AN275" s="1">
        <v>5</v>
      </c>
      <c r="AO275" s="1" t="s">
        <v>83</v>
      </c>
      <c r="AP275" s="1">
        <v>5</v>
      </c>
      <c r="AQ275" s="1">
        <v>5</v>
      </c>
      <c r="AR275" s="1" t="s">
        <v>83</v>
      </c>
      <c r="AS275" s="1">
        <v>5</v>
      </c>
      <c r="AT275" s="1">
        <v>5</v>
      </c>
      <c r="AU275" s="1" t="s">
        <v>83</v>
      </c>
      <c r="AV275" s="1">
        <v>5</v>
      </c>
      <c r="AW275" s="1">
        <v>5</v>
      </c>
      <c r="AX275" s="1" t="s">
        <v>83</v>
      </c>
      <c r="AY275" s="1">
        <v>0</v>
      </c>
      <c r="AZ275" s="1">
        <v>0</v>
      </c>
      <c r="BA275" s="1">
        <v>0</v>
      </c>
      <c r="BB275" s="1" t="s">
        <v>1740</v>
      </c>
      <c r="BC275" s="1">
        <v>2</v>
      </c>
      <c r="BD275" s="1" t="s">
        <v>98</v>
      </c>
      <c r="BE275" s="1" t="s">
        <v>1741</v>
      </c>
      <c r="BF275" s="1" t="s">
        <v>98</v>
      </c>
      <c r="BG275" s="1" t="s">
        <v>98</v>
      </c>
    </row>
    <row r="276" spans="1:59" x14ac:dyDescent="0.35">
      <c r="A276" s="1">
        <v>275</v>
      </c>
      <c r="B276" s="1">
        <v>45842.745821759258</v>
      </c>
      <c r="C276" s="1" t="s">
        <v>1742</v>
      </c>
      <c r="D276" s="1" t="s">
        <v>1743</v>
      </c>
      <c r="E276" s="1" t="s">
        <v>63</v>
      </c>
      <c r="F276" s="1" t="s">
        <v>63</v>
      </c>
      <c r="G276" s="1" t="s">
        <v>1744</v>
      </c>
      <c r="H276" s="1" t="s">
        <v>517</v>
      </c>
      <c r="I276" s="1" t="s">
        <v>518</v>
      </c>
      <c r="J276" s="1" t="s">
        <v>1596</v>
      </c>
      <c r="K276" s="1" t="s">
        <v>1745</v>
      </c>
      <c r="L276" s="1" t="s">
        <v>69</v>
      </c>
      <c r="M276" s="1" t="s">
        <v>69</v>
      </c>
      <c r="N276" s="1" t="s">
        <v>69</v>
      </c>
      <c r="O276" s="1" t="s">
        <v>69</v>
      </c>
      <c r="P276" s="1" t="s">
        <v>106</v>
      </c>
      <c r="Q276" s="1" t="s">
        <v>1168</v>
      </c>
      <c r="R276" s="1" t="s">
        <v>1342</v>
      </c>
      <c r="S276" s="1">
        <v>30</v>
      </c>
      <c r="T276" s="1" t="s">
        <v>92</v>
      </c>
      <c r="U276" s="1" t="s">
        <v>93</v>
      </c>
      <c r="V276" s="1" t="s">
        <v>74</v>
      </c>
      <c r="W276" s="1" t="s">
        <v>74</v>
      </c>
      <c r="X276" s="1">
        <v>5</v>
      </c>
      <c r="Y276" s="1">
        <v>5</v>
      </c>
      <c r="Z276" s="1" t="s">
        <v>83</v>
      </c>
      <c r="AA276" s="1">
        <v>4</v>
      </c>
      <c r="AB276" s="1">
        <v>5</v>
      </c>
      <c r="AC276" s="1" t="s">
        <v>83</v>
      </c>
      <c r="AD276" s="1">
        <v>6</v>
      </c>
      <c r="AE276" s="1">
        <v>6</v>
      </c>
      <c r="AF276" s="1" t="s">
        <v>83</v>
      </c>
      <c r="AG276" s="1">
        <v>0</v>
      </c>
      <c r="AH276" s="1">
        <v>0</v>
      </c>
      <c r="AI276" s="1" t="s">
        <v>83</v>
      </c>
      <c r="AJ276" s="1">
        <v>6</v>
      </c>
      <c r="AK276" s="1">
        <v>6</v>
      </c>
      <c r="AL276" s="1" t="s">
        <v>83</v>
      </c>
      <c r="AM276" s="1">
        <v>4</v>
      </c>
      <c r="AN276" s="1">
        <v>6</v>
      </c>
      <c r="AO276" s="1" t="s">
        <v>83</v>
      </c>
      <c r="AP276" s="1">
        <v>5</v>
      </c>
      <c r="AQ276" s="1">
        <v>6</v>
      </c>
      <c r="AR276" s="1" t="s">
        <v>83</v>
      </c>
      <c r="AS276" s="1">
        <v>6</v>
      </c>
      <c r="AT276" s="1">
        <v>6</v>
      </c>
      <c r="AU276" s="1" t="s">
        <v>83</v>
      </c>
      <c r="AV276" s="1">
        <v>4</v>
      </c>
      <c r="AW276" s="1">
        <v>6</v>
      </c>
      <c r="AX276" s="1" t="s">
        <v>83</v>
      </c>
      <c r="AY276" s="1">
        <v>0</v>
      </c>
      <c r="AZ276" s="1">
        <v>0</v>
      </c>
      <c r="BA276" s="1">
        <v>0</v>
      </c>
      <c r="BB276" s="1" t="s">
        <v>1746</v>
      </c>
      <c r="BC276" s="1">
        <v>1</v>
      </c>
      <c r="BD276" s="1" t="s">
        <v>1747</v>
      </c>
      <c r="BE276" s="1" t="s">
        <v>1748</v>
      </c>
      <c r="BF276" s="1" t="s">
        <v>1749</v>
      </c>
      <c r="BG276" s="1" t="s">
        <v>83</v>
      </c>
    </row>
    <row r="277" spans="1:59" x14ac:dyDescent="0.35">
      <c r="A277" s="1">
        <v>276</v>
      </c>
      <c r="B277" s="1">
        <v>45842.748379629629</v>
      </c>
      <c r="C277" s="1" t="s">
        <v>1750</v>
      </c>
      <c r="D277" s="1" t="s">
        <v>1751</v>
      </c>
      <c r="E277" s="1" t="s">
        <v>63</v>
      </c>
      <c r="F277" s="1" t="s">
        <v>179</v>
      </c>
      <c r="G277" s="1" t="s">
        <v>1752</v>
      </c>
      <c r="H277" s="1" t="s">
        <v>657</v>
      </c>
      <c r="I277" s="1" t="s">
        <v>66</v>
      </c>
      <c r="J277" s="1" t="s">
        <v>1634</v>
      </c>
      <c r="K277" s="1" t="s">
        <v>1753</v>
      </c>
      <c r="L277" s="1" t="s">
        <v>69</v>
      </c>
      <c r="M277" s="1" t="s">
        <v>69</v>
      </c>
      <c r="N277" s="1" t="s">
        <v>69</v>
      </c>
      <c r="O277" s="1" t="s">
        <v>69</v>
      </c>
      <c r="P277" s="1" t="s">
        <v>106</v>
      </c>
      <c r="Q277" s="1" t="s">
        <v>1180</v>
      </c>
      <c r="R277" s="1" t="s">
        <v>2512</v>
      </c>
      <c r="S277" s="1">
        <v>36</v>
      </c>
      <c r="T277" s="1" t="s">
        <v>153</v>
      </c>
      <c r="U277" s="1" t="s">
        <v>73</v>
      </c>
      <c r="V277" s="1" t="s">
        <v>74</v>
      </c>
      <c r="W277" s="1" t="s">
        <v>74</v>
      </c>
      <c r="X277" s="1">
        <v>5</v>
      </c>
      <c r="Y277" s="1">
        <v>5</v>
      </c>
      <c r="Z277" s="1" t="s">
        <v>83</v>
      </c>
      <c r="AA277" s="1">
        <v>5</v>
      </c>
      <c r="AB277" s="1">
        <v>5</v>
      </c>
      <c r="AC277" s="1" t="s">
        <v>83</v>
      </c>
      <c r="AD277" s="1">
        <v>5</v>
      </c>
      <c r="AE277" s="1">
        <v>5</v>
      </c>
      <c r="AF277" s="1" t="s">
        <v>83</v>
      </c>
      <c r="AG277" s="1">
        <v>0</v>
      </c>
      <c r="AH277" s="1">
        <v>0</v>
      </c>
      <c r="AI277" s="1" t="s">
        <v>83</v>
      </c>
      <c r="AJ277" s="1">
        <v>5</v>
      </c>
      <c r="AK277" s="1">
        <v>5</v>
      </c>
      <c r="AL277" s="1" t="s">
        <v>83</v>
      </c>
      <c r="AM277" s="1">
        <v>5</v>
      </c>
      <c r="AN277" s="1">
        <v>5</v>
      </c>
      <c r="AO277" s="1" t="s">
        <v>83</v>
      </c>
      <c r="AP277" s="1">
        <v>5</v>
      </c>
      <c r="AQ277" s="1">
        <v>5</v>
      </c>
      <c r="AR277" s="1" t="s">
        <v>83</v>
      </c>
      <c r="AS277" s="1">
        <v>5</v>
      </c>
      <c r="AT277" s="1">
        <v>5</v>
      </c>
      <c r="AU277" s="1" t="s">
        <v>83</v>
      </c>
      <c r="AV277" s="1">
        <v>5</v>
      </c>
      <c r="AW277" s="1">
        <v>5</v>
      </c>
      <c r="AX277" s="1" t="s">
        <v>83</v>
      </c>
      <c r="AY277" s="1">
        <v>0</v>
      </c>
      <c r="AZ277" s="1">
        <v>0</v>
      </c>
      <c r="BA277" s="1">
        <v>1</v>
      </c>
      <c r="BB277" s="1" t="s">
        <v>83</v>
      </c>
      <c r="BC277" s="1">
        <v>0</v>
      </c>
      <c r="BD277" s="1" t="s">
        <v>442</v>
      </c>
      <c r="BE277" s="1" t="s">
        <v>1754</v>
      </c>
      <c r="BF277" s="1" t="s">
        <v>248</v>
      </c>
      <c r="BG277" s="1" t="s">
        <v>83</v>
      </c>
    </row>
    <row r="278" spans="1:59" x14ac:dyDescent="0.35">
      <c r="A278" s="1">
        <v>277</v>
      </c>
      <c r="B278" s="1">
        <v>45842.749502314815</v>
      </c>
      <c r="C278" s="1" t="s">
        <v>1756</v>
      </c>
      <c r="D278" s="1" t="s">
        <v>1757</v>
      </c>
      <c r="E278" s="1" t="s">
        <v>63</v>
      </c>
      <c r="F278" s="1" t="s">
        <v>149</v>
      </c>
      <c r="G278" s="1" t="s">
        <v>1758</v>
      </c>
      <c r="H278" s="1" t="s">
        <v>210</v>
      </c>
      <c r="I278" s="1" t="s">
        <v>211</v>
      </c>
      <c r="J278" s="1" t="s">
        <v>1480</v>
      </c>
      <c r="K278" s="1" t="s">
        <v>1651</v>
      </c>
      <c r="L278" s="1" t="s">
        <v>69</v>
      </c>
      <c r="M278" s="1" t="s">
        <v>69</v>
      </c>
      <c r="N278" s="1" t="s">
        <v>69</v>
      </c>
      <c r="O278" s="1" t="s">
        <v>69</v>
      </c>
      <c r="P278" s="1" t="s">
        <v>106</v>
      </c>
      <c r="Q278" s="1" t="s">
        <v>271</v>
      </c>
      <c r="R278" s="1" t="s">
        <v>2438</v>
      </c>
      <c r="S278" s="1">
        <v>18</v>
      </c>
      <c r="T278" s="1" t="s">
        <v>131</v>
      </c>
      <c r="U278" s="1" t="s">
        <v>73</v>
      </c>
      <c r="V278" s="1" t="s">
        <v>94</v>
      </c>
      <c r="W278" s="1" t="s">
        <v>95</v>
      </c>
      <c r="X278" s="1">
        <v>4</v>
      </c>
      <c r="Y278" s="1">
        <v>4</v>
      </c>
      <c r="Z278" s="1" t="s">
        <v>83</v>
      </c>
      <c r="AA278" s="1">
        <v>4</v>
      </c>
      <c r="AB278" s="1">
        <v>4</v>
      </c>
      <c r="AC278" s="1" t="s">
        <v>83</v>
      </c>
      <c r="AD278" s="1">
        <v>3</v>
      </c>
      <c r="AE278" s="1">
        <v>4</v>
      </c>
      <c r="AF278" s="1" t="s">
        <v>2513</v>
      </c>
      <c r="AG278" s="1">
        <v>5</v>
      </c>
      <c r="AH278" s="1">
        <v>4</v>
      </c>
      <c r="AI278" s="1" t="s">
        <v>83</v>
      </c>
      <c r="AJ278" s="1">
        <v>5</v>
      </c>
      <c r="AK278" s="1">
        <v>6</v>
      </c>
      <c r="AL278" s="1" t="s">
        <v>83</v>
      </c>
      <c r="AM278" s="1">
        <v>6</v>
      </c>
      <c r="AN278" s="1">
        <v>6</v>
      </c>
      <c r="AO278" s="1" t="s">
        <v>83</v>
      </c>
      <c r="AP278" s="1">
        <v>5</v>
      </c>
      <c r="AQ278" s="1">
        <v>5</v>
      </c>
      <c r="AR278" s="1" t="s">
        <v>83</v>
      </c>
      <c r="AS278" s="1">
        <v>6</v>
      </c>
      <c r="AT278" s="1">
        <v>6</v>
      </c>
      <c r="AU278" s="1" t="s">
        <v>83</v>
      </c>
      <c r="AV278" s="1">
        <v>5</v>
      </c>
      <c r="AW278" s="1">
        <v>5</v>
      </c>
      <c r="AX278" s="1" t="s">
        <v>83</v>
      </c>
      <c r="AY278" s="1">
        <v>0</v>
      </c>
      <c r="AZ278" s="1">
        <v>0</v>
      </c>
      <c r="BA278" s="1">
        <v>0</v>
      </c>
      <c r="BB278" s="1" t="s">
        <v>76</v>
      </c>
      <c r="BC278" s="1">
        <v>2</v>
      </c>
      <c r="BD278" s="1" t="s">
        <v>98</v>
      </c>
      <c r="BE278" s="1" t="s">
        <v>1759</v>
      </c>
      <c r="BF278" s="1" t="s">
        <v>98</v>
      </c>
      <c r="BG278" s="1" t="s">
        <v>98</v>
      </c>
    </row>
    <row r="279" spans="1:59" x14ac:dyDescent="0.35">
      <c r="A279" s="1">
        <v>278</v>
      </c>
      <c r="B279" s="1">
        <v>45842.750405092593</v>
      </c>
      <c r="C279" s="1" t="s">
        <v>1760</v>
      </c>
      <c r="D279" s="1" t="s">
        <v>1761</v>
      </c>
      <c r="E279" s="1" t="s">
        <v>1762</v>
      </c>
      <c r="F279" s="1" t="s">
        <v>1763</v>
      </c>
      <c r="G279" s="1" t="s">
        <v>1764</v>
      </c>
      <c r="H279" s="1" t="s">
        <v>578</v>
      </c>
      <c r="I279" s="1" t="s">
        <v>588</v>
      </c>
      <c r="J279" s="1" t="s">
        <v>1432</v>
      </c>
      <c r="K279" s="1" t="s">
        <v>1765</v>
      </c>
      <c r="L279" s="1" t="s">
        <v>69</v>
      </c>
      <c r="M279" s="1" t="s">
        <v>69</v>
      </c>
      <c r="N279" s="1" t="s">
        <v>69</v>
      </c>
      <c r="O279" s="1" t="s">
        <v>69</v>
      </c>
      <c r="P279" s="1" t="s">
        <v>106</v>
      </c>
      <c r="Q279" s="1" t="s">
        <v>271</v>
      </c>
      <c r="R279" s="1" t="s">
        <v>217</v>
      </c>
      <c r="S279" s="1">
        <v>20</v>
      </c>
      <c r="T279" s="1" t="s">
        <v>131</v>
      </c>
      <c r="U279" s="1" t="s">
        <v>73</v>
      </c>
      <c r="V279" s="1" t="s">
        <v>94</v>
      </c>
      <c r="W279" s="1" t="s">
        <v>95</v>
      </c>
      <c r="X279" s="1">
        <v>5</v>
      </c>
      <c r="Y279" s="1">
        <v>5</v>
      </c>
      <c r="Z279" s="1" t="s">
        <v>83</v>
      </c>
      <c r="AA279" s="1">
        <v>4</v>
      </c>
      <c r="AB279" s="1">
        <v>5</v>
      </c>
      <c r="AC279" s="1" t="s">
        <v>83</v>
      </c>
      <c r="AD279" s="1">
        <v>4</v>
      </c>
      <c r="AE279" s="1">
        <v>5</v>
      </c>
      <c r="AF279" s="1" t="s">
        <v>83</v>
      </c>
      <c r="AG279" s="1">
        <v>4</v>
      </c>
      <c r="AH279" s="1">
        <v>5</v>
      </c>
      <c r="AI279" s="1" t="s">
        <v>83</v>
      </c>
      <c r="AJ279" s="1">
        <v>6</v>
      </c>
      <c r="AK279" s="1">
        <v>5</v>
      </c>
      <c r="AL279" s="1" t="s">
        <v>83</v>
      </c>
      <c r="AM279" s="1">
        <v>5</v>
      </c>
      <c r="AN279" s="1">
        <v>5</v>
      </c>
      <c r="AO279" s="1" t="s">
        <v>83</v>
      </c>
      <c r="AP279" s="1">
        <v>5</v>
      </c>
      <c r="AQ279" s="1">
        <v>5</v>
      </c>
      <c r="AR279" s="1" t="s">
        <v>83</v>
      </c>
      <c r="AS279" s="1">
        <v>4</v>
      </c>
      <c r="AT279" s="1">
        <v>5</v>
      </c>
      <c r="AU279" s="1" t="s">
        <v>83</v>
      </c>
      <c r="AV279" s="1">
        <v>5</v>
      </c>
      <c r="AW279" s="1">
        <v>5</v>
      </c>
      <c r="AX279" s="1" t="s">
        <v>83</v>
      </c>
      <c r="AY279" s="1">
        <v>3</v>
      </c>
      <c r="AZ279" s="1">
        <v>0</v>
      </c>
      <c r="BA279" s="1">
        <v>0</v>
      </c>
      <c r="BB279" s="1" t="s">
        <v>83</v>
      </c>
      <c r="BC279" s="1">
        <v>0</v>
      </c>
      <c r="BD279" s="1" t="s">
        <v>1766</v>
      </c>
      <c r="BE279" s="1" t="s">
        <v>1767</v>
      </c>
      <c r="BF279" s="1" t="s">
        <v>503</v>
      </c>
      <c r="BG279" s="1" t="s">
        <v>83</v>
      </c>
    </row>
    <row r="280" spans="1:59" x14ac:dyDescent="0.35">
      <c r="A280" s="1">
        <v>279</v>
      </c>
      <c r="B280" s="1">
        <v>45842.752997685187</v>
      </c>
      <c r="C280" s="1" t="s">
        <v>1768</v>
      </c>
      <c r="D280" s="1" t="s">
        <v>1769</v>
      </c>
      <c r="E280" s="1" t="s">
        <v>63</v>
      </c>
      <c r="F280" s="1" t="s">
        <v>86</v>
      </c>
      <c r="G280" s="1" t="s">
        <v>1770</v>
      </c>
      <c r="H280" s="1" t="s">
        <v>657</v>
      </c>
      <c r="I280" s="1" t="s">
        <v>66</v>
      </c>
      <c r="J280" s="1" t="s">
        <v>1634</v>
      </c>
      <c r="K280" s="1" t="s">
        <v>1771</v>
      </c>
      <c r="L280" s="1" t="s">
        <v>69</v>
      </c>
      <c r="M280" s="1" t="s">
        <v>69</v>
      </c>
      <c r="N280" s="1" t="s">
        <v>69</v>
      </c>
      <c r="O280" s="1" t="s">
        <v>69</v>
      </c>
      <c r="P280" s="1" t="s">
        <v>70</v>
      </c>
      <c r="Q280" s="1" t="s">
        <v>1168</v>
      </c>
      <c r="R280" s="1" t="s">
        <v>868</v>
      </c>
      <c r="S280" s="1">
        <v>33</v>
      </c>
      <c r="T280" s="1" t="s">
        <v>109</v>
      </c>
      <c r="U280" s="1" t="s">
        <v>73</v>
      </c>
      <c r="V280" s="1" t="s">
        <v>74</v>
      </c>
      <c r="W280" s="1" t="s">
        <v>74</v>
      </c>
      <c r="X280" s="1">
        <v>6</v>
      </c>
      <c r="Y280" s="1">
        <v>6</v>
      </c>
      <c r="Z280" s="1" t="s">
        <v>83</v>
      </c>
      <c r="AA280" s="1">
        <v>6</v>
      </c>
      <c r="AB280" s="1">
        <v>6</v>
      </c>
      <c r="AC280" s="1" t="s">
        <v>83</v>
      </c>
      <c r="AD280" s="1">
        <v>5</v>
      </c>
      <c r="AE280" s="1">
        <v>5</v>
      </c>
      <c r="AF280" s="1" t="s">
        <v>83</v>
      </c>
      <c r="AG280" s="1">
        <v>0</v>
      </c>
      <c r="AH280" s="1">
        <v>5</v>
      </c>
      <c r="AI280" s="1" t="s">
        <v>83</v>
      </c>
      <c r="AJ280" s="1">
        <v>5</v>
      </c>
      <c r="AK280" s="1">
        <v>6</v>
      </c>
      <c r="AL280" s="1" t="s">
        <v>83</v>
      </c>
      <c r="AM280" s="1">
        <v>6</v>
      </c>
      <c r="AN280" s="1">
        <v>6</v>
      </c>
      <c r="AO280" s="1" t="s">
        <v>83</v>
      </c>
      <c r="AP280" s="1">
        <v>6</v>
      </c>
      <c r="AQ280" s="1">
        <v>6</v>
      </c>
      <c r="AR280" s="1" t="s">
        <v>83</v>
      </c>
      <c r="AS280" s="1">
        <v>6</v>
      </c>
      <c r="AT280" s="1">
        <v>6</v>
      </c>
      <c r="AU280" s="1" t="s">
        <v>83</v>
      </c>
      <c r="AV280" s="1">
        <v>5</v>
      </c>
      <c r="AW280" s="1">
        <v>5</v>
      </c>
      <c r="AX280" s="1" t="s">
        <v>83</v>
      </c>
      <c r="AY280" s="1">
        <v>0</v>
      </c>
      <c r="AZ280" s="1">
        <v>0</v>
      </c>
      <c r="BA280" s="1">
        <v>0</v>
      </c>
      <c r="BB280" s="1" t="s">
        <v>144</v>
      </c>
      <c r="BC280" s="1">
        <v>2</v>
      </c>
      <c r="BD280" s="1" t="s">
        <v>1772</v>
      </c>
      <c r="BE280" s="1" t="s">
        <v>442</v>
      </c>
      <c r="BF280" s="1" t="s">
        <v>442</v>
      </c>
      <c r="BG280" s="1" t="s">
        <v>83</v>
      </c>
    </row>
    <row r="281" spans="1:59" x14ac:dyDescent="0.35">
      <c r="A281" s="1">
        <v>280</v>
      </c>
      <c r="B281" s="1">
        <v>45842.753483796296</v>
      </c>
      <c r="C281" s="1" t="s">
        <v>1773</v>
      </c>
      <c r="D281" s="1" t="s">
        <v>1774</v>
      </c>
      <c r="E281" s="1" t="s">
        <v>772</v>
      </c>
      <c r="F281" s="1" t="s">
        <v>1775</v>
      </c>
      <c r="G281" s="1" t="s">
        <v>1776</v>
      </c>
      <c r="H281" s="1" t="s">
        <v>210</v>
      </c>
      <c r="I281" s="1" t="s">
        <v>211</v>
      </c>
      <c r="J281" s="1" t="s">
        <v>1480</v>
      </c>
      <c r="K281" s="1" t="s">
        <v>1777</v>
      </c>
      <c r="L281" s="1" t="s">
        <v>69</v>
      </c>
      <c r="M281" s="1" t="s">
        <v>69</v>
      </c>
      <c r="N281" s="1" t="s">
        <v>69</v>
      </c>
      <c r="O281" s="1" t="s">
        <v>69</v>
      </c>
      <c r="P281" s="1" t="s">
        <v>106</v>
      </c>
      <c r="Q281" s="1" t="s">
        <v>271</v>
      </c>
      <c r="R281" s="1" t="s">
        <v>2436</v>
      </c>
      <c r="S281" s="1">
        <v>24</v>
      </c>
      <c r="T281" s="1" t="s">
        <v>72</v>
      </c>
      <c r="U281" s="1" t="s">
        <v>273</v>
      </c>
      <c r="V281" s="1" t="s">
        <v>110</v>
      </c>
      <c r="W281" s="1" t="s">
        <v>110</v>
      </c>
      <c r="X281" s="1">
        <v>6</v>
      </c>
      <c r="Y281" s="1">
        <v>6</v>
      </c>
      <c r="Z281" s="1" t="s">
        <v>83</v>
      </c>
      <c r="AA281" s="1">
        <v>6</v>
      </c>
      <c r="AB281" s="1">
        <v>6</v>
      </c>
      <c r="AC281" s="1" t="s">
        <v>83</v>
      </c>
      <c r="AD281" s="1">
        <v>4</v>
      </c>
      <c r="AE281" s="1">
        <v>6</v>
      </c>
      <c r="AF281" s="1" t="s">
        <v>83</v>
      </c>
      <c r="AG281" s="1">
        <v>6</v>
      </c>
      <c r="AH281" s="1">
        <v>6</v>
      </c>
      <c r="AI281" s="1" t="s">
        <v>83</v>
      </c>
      <c r="AJ281" s="1">
        <v>6</v>
      </c>
      <c r="AK281" s="1">
        <v>6</v>
      </c>
      <c r="AL281" s="1" t="s">
        <v>83</v>
      </c>
      <c r="AM281" s="1">
        <v>6</v>
      </c>
      <c r="AN281" s="1">
        <v>6</v>
      </c>
      <c r="AO281" s="1" t="s">
        <v>83</v>
      </c>
      <c r="AP281" s="1">
        <v>6</v>
      </c>
      <c r="AQ281" s="1">
        <v>6</v>
      </c>
      <c r="AR281" s="1" t="s">
        <v>83</v>
      </c>
      <c r="AS281" s="1">
        <v>6</v>
      </c>
      <c r="AT281" s="1">
        <v>6</v>
      </c>
      <c r="AU281" s="1" t="s">
        <v>83</v>
      </c>
      <c r="AV281" s="1">
        <v>6</v>
      </c>
      <c r="AW281" s="1">
        <v>6</v>
      </c>
      <c r="AX281" s="1" t="s">
        <v>83</v>
      </c>
      <c r="AY281" s="1">
        <v>0</v>
      </c>
      <c r="AZ281" s="1">
        <v>0</v>
      </c>
      <c r="BA281" s="1">
        <v>2</v>
      </c>
      <c r="BB281" s="1" t="s">
        <v>83</v>
      </c>
      <c r="BC281" s="1">
        <v>0</v>
      </c>
      <c r="BD281" s="1" t="s">
        <v>98</v>
      </c>
      <c r="BE281" s="1" t="s">
        <v>98</v>
      </c>
      <c r="BF281" s="1" t="s">
        <v>263</v>
      </c>
      <c r="BG281" s="1" t="s">
        <v>98</v>
      </c>
    </row>
    <row r="282" spans="1:59" x14ac:dyDescent="0.35">
      <c r="A282" s="1">
        <v>281</v>
      </c>
      <c r="B282" s="1">
        <v>45842.760046296295</v>
      </c>
      <c r="C282" s="1" t="s">
        <v>1778</v>
      </c>
      <c r="D282" s="1" t="s">
        <v>1779</v>
      </c>
      <c r="E282" s="1" t="s">
        <v>63</v>
      </c>
      <c r="F282" s="1" t="s">
        <v>179</v>
      </c>
      <c r="G282" s="1" t="s">
        <v>1780</v>
      </c>
      <c r="H282" s="1" t="s">
        <v>210</v>
      </c>
      <c r="I282" s="1" t="s">
        <v>211</v>
      </c>
      <c r="J282" s="1" t="s">
        <v>1480</v>
      </c>
      <c r="K282" s="1" t="s">
        <v>1781</v>
      </c>
      <c r="L282" s="1" t="s">
        <v>69</v>
      </c>
      <c r="M282" s="1" t="s">
        <v>69</v>
      </c>
      <c r="N282" s="1" t="s">
        <v>69</v>
      </c>
      <c r="O282" s="1" t="s">
        <v>69</v>
      </c>
      <c r="P282" s="1" t="s">
        <v>106</v>
      </c>
      <c r="Q282" s="1" t="s">
        <v>271</v>
      </c>
      <c r="R282" s="1" t="s">
        <v>2438</v>
      </c>
      <c r="S282" s="1">
        <v>18</v>
      </c>
      <c r="T282" s="1" t="s">
        <v>131</v>
      </c>
      <c r="U282" s="1" t="s">
        <v>73</v>
      </c>
      <c r="V282" s="1" t="s">
        <v>94</v>
      </c>
      <c r="W282" s="1" t="s">
        <v>95</v>
      </c>
      <c r="X282" s="1">
        <v>6</v>
      </c>
      <c r="Y282" s="1">
        <v>6</v>
      </c>
      <c r="Z282" s="1" t="s">
        <v>83</v>
      </c>
      <c r="AA282" s="1">
        <v>5</v>
      </c>
      <c r="AB282" s="1">
        <v>5</v>
      </c>
      <c r="AC282" s="1" t="s">
        <v>83</v>
      </c>
      <c r="AD282" s="1">
        <v>6</v>
      </c>
      <c r="AE282" s="1">
        <v>6</v>
      </c>
      <c r="AF282" s="1" t="s">
        <v>83</v>
      </c>
      <c r="AG282" s="1">
        <v>6</v>
      </c>
      <c r="AH282" s="1">
        <v>6</v>
      </c>
      <c r="AI282" s="1" t="s">
        <v>83</v>
      </c>
      <c r="AJ282" s="1">
        <v>6</v>
      </c>
      <c r="AK282" s="1">
        <v>6</v>
      </c>
      <c r="AL282" s="1" t="s">
        <v>83</v>
      </c>
      <c r="AM282" s="1">
        <v>6</v>
      </c>
      <c r="AN282" s="1">
        <v>6</v>
      </c>
      <c r="AO282" s="1" t="s">
        <v>83</v>
      </c>
      <c r="AP282" s="1">
        <v>6</v>
      </c>
      <c r="AQ282" s="1">
        <v>6</v>
      </c>
      <c r="AR282" s="1" t="s">
        <v>83</v>
      </c>
      <c r="AS282" s="1">
        <v>6</v>
      </c>
      <c r="AT282" s="1">
        <v>6</v>
      </c>
      <c r="AU282" s="1" t="s">
        <v>83</v>
      </c>
      <c r="AV282" s="1">
        <v>6</v>
      </c>
      <c r="AW282" s="1">
        <v>6</v>
      </c>
      <c r="AX282" s="1" t="s">
        <v>83</v>
      </c>
      <c r="AY282" s="1">
        <v>0</v>
      </c>
      <c r="AZ282" s="1">
        <v>0</v>
      </c>
      <c r="BA282" s="1">
        <v>0</v>
      </c>
      <c r="BB282" s="1" t="s">
        <v>1782</v>
      </c>
      <c r="BC282" s="1">
        <v>1</v>
      </c>
      <c r="BD282" s="1" t="s">
        <v>98</v>
      </c>
      <c r="BE282" s="1" t="s">
        <v>98</v>
      </c>
      <c r="BF282" s="1" t="s">
        <v>98</v>
      </c>
      <c r="BG282" s="1" t="s">
        <v>1783</v>
      </c>
    </row>
    <row r="283" spans="1:59" x14ac:dyDescent="0.35">
      <c r="A283" s="1">
        <v>282</v>
      </c>
      <c r="B283" s="1">
        <v>45842.76394675926</v>
      </c>
      <c r="C283" s="1" t="s">
        <v>1784</v>
      </c>
      <c r="D283" s="1" t="s">
        <v>1785</v>
      </c>
      <c r="E283" s="1" t="s">
        <v>63</v>
      </c>
      <c r="F283" s="1" t="s">
        <v>86</v>
      </c>
      <c r="G283" s="1" t="s">
        <v>1786</v>
      </c>
      <c r="H283" s="1" t="s">
        <v>210</v>
      </c>
      <c r="I283" s="1" t="s">
        <v>211</v>
      </c>
      <c r="J283" s="1" t="s">
        <v>1480</v>
      </c>
      <c r="K283" s="1" t="s">
        <v>1611</v>
      </c>
      <c r="L283" s="1" t="s">
        <v>69</v>
      </c>
      <c r="M283" s="1" t="s">
        <v>69</v>
      </c>
      <c r="N283" s="1" t="s">
        <v>69</v>
      </c>
      <c r="O283" s="1" t="s">
        <v>69</v>
      </c>
      <c r="P283" s="1" t="s">
        <v>106</v>
      </c>
      <c r="Q283" s="1" t="s">
        <v>292</v>
      </c>
      <c r="R283" s="1" t="s">
        <v>2472</v>
      </c>
      <c r="S283" s="1">
        <v>22</v>
      </c>
      <c r="T283" s="1" t="s">
        <v>72</v>
      </c>
      <c r="U283" s="1" t="s">
        <v>73</v>
      </c>
      <c r="V283" s="1" t="s">
        <v>1218</v>
      </c>
      <c r="W283" s="1" t="s">
        <v>133</v>
      </c>
      <c r="X283" s="1">
        <v>4</v>
      </c>
      <c r="Y283" s="1">
        <v>4</v>
      </c>
      <c r="Z283" s="1" t="s">
        <v>83</v>
      </c>
      <c r="AA283" s="1">
        <v>5</v>
      </c>
      <c r="AB283" s="1">
        <v>5</v>
      </c>
      <c r="AC283" s="1" t="s">
        <v>83</v>
      </c>
      <c r="AD283" s="1">
        <v>5</v>
      </c>
      <c r="AE283" s="1">
        <v>5</v>
      </c>
      <c r="AF283" s="1" t="s">
        <v>83</v>
      </c>
      <c r="AG283" s="1">
        <v>5</v>
      </c>
      <c r="AH283" s="1">
        <v>5</v>
      </c>
      <c r="AI283" s="1" t="s">
        <v>83</v>
      </c>
      <c r="AJ283" s="1">
        <v>5</v>
      </c>
      <c r="AK283" s="1">
        <v>5</v>
      </c>
      <c r="AL283" s="1" t="s">
        <v>83</v>
      </c>
      <c r="AM283" s="1">
        <v>6</v>
      </c>
      <c r="AN283" s="1">
        <v>6</v>
      </c>
      <c r="AO283" s="1" t="s">
        <v>83</v>
      </c>
      <c r="AP283" s="1">
        <v>6</v>
      </c>
      <c r="AQ283" s="1">
        <v>6</v>
      </c>
      <c r="AR283" s="1" t="s">
        <v>83</v>
      </c>
      <c r="AS283" s="1">
        <v>5</v>
      </c>
      <c r="AT283" s="1">
        <v>5</v>
      </c>
      <c r="AU283" s="1" t="s">
        <v>83</v>
      </c>
      <c r="AV283" s="1">
        <v>5</v>
      </c>
      <c r="AW283" s="1">
        <v>5</v>
      </c>
      <c r="AX283" s="1" t="s">
        <v>83</v>
      </c>
      <c r="AY283" s="1">
        <v>2</v>
      </c>
      <c r="AZ283" s="1">
        <v>0</v>
      </c>
      <c r="BA283" s="1">
        <v>0</v>
      </c>
      <c r="BB283" s="1" t="s">
        <v>83</v>
      </c>
      <c r="BC283" s="1">
        <v>0</v>
      </c>
      <c r="BD283" s="1" t="s">
        <v>98</v>
      </c>
      <c r="BE283" s="1" t="s">
        <v>98</v>
      </c>
      <c r="BF283" s="1" t="s">
        <v>98</v>
      </c>
      <c r="BG283" s="1" t="s">
        <v>98</v>
      </c>
    </row>
    <row r="284" spans="1:59" x14ac:dyDescent="0.35">
      <c r="A284" s="1">
        <v>283</v>
      </c>
      <c r="B284" s="1">
        <v>45842.766655092593</v>
      </c>
      <c r="C284" s="1" t="s">
        <v>1787</v>
      </c>
      <c r="D284" s="1" t="s">
        <v>1788</v>
      </c>
      <c r="E284" s="1" t="s">
        <v>63</v>
      </c>
      <c r="F284" s="1" t="s">
        <v>757</v>
      </c>
      <c r="G284" s="1" t="s">
        <v>1789</v>
      </c>
      <c r="H284" s="1" t="s">
        <v>657</v>
      </c>
      <c r="I284" s="1" t="s">
        <v>66</v>
      </c>
      <c r="J284" s="1" t="s">
        <v>1634</v>
      </c>
      <c r="K284" s="1" t="s">
        <v>1790</v>
      </c>
      <c r="L284" s="1" t="s">
        <v>69</v>
      </c>
      <c r="M284" s="1" t="s">
        <v>69</v>
      </c>
      <c r="N284" s="1" t="s">
        <v>69</v>
      </c>
      <c r="O284" s="1" t="s">
        <v>69</v>
      </c>
      <c r="P284" s="1" t="s">
        <v>106</v>
      </c>
      <c r="Q284" s="1" t="s">
        <v>1168</v>
      </c>
      <c r="R284" s="1" t="s">
        <v>2514</v>
      </c>
      <c r="S284" s="1">
        <v>28</v>
      </c>
      <c r="T284" s="1" t="s">
        <v>92</v>
      </c>
      <c r="U284" s="1" t="s">
        <v>254</v>
      </c>
      <c r="V284" s="1" t="s">
        <v>74</v>
      </c>
      <c r="W284" s="1" t="s">
        <v>74</v>
      </c>
      <c r="X284" s="1">
        <v>5</v>
      </c>
      <c r="Y284" s="1">
        <v>5</v>
      </c>
      <c r="Z284" s="1" t="s">
        <v>83</v>
      </c>
      <c r="AA284" s="1">
        <v>5</v>
      </c>
      <c r="AB284" s="1">
        <v>5</v>
      </c>
      <c r="AC284" s="1" t="s">
        <v>83</v>
      </c>
      <c r="AD284" s="1">
        <v>5</v>
      </c>
      <c r="AE284" s="1">
        <v>5</v>
      </c>
      <c r="AF284" s="1" t="s">
        <v>83</v>
      </c>
      <c r="AG284" s="1">
        <v>0</v>
      </c>
      <c r="AH284" s="1">
        <v>0</v>
      </c>
      <c r="AI284" s="1" t="s">
        <v>83</v>
      </c>
      <c r="AJ284" s="1">
        <v>5</v>
      </c>
      <c r="AK284" s="1">
        <v>5</v>
      </c>
      <c r="AL284" s="1" t="s">
        <v>83</v>
      </c>
      <c r="AM284" s="1">
        <v>5</v>
      </c>
      <c r="AN284" s="1">
        <v>5</v>
      </c>
      <c r="AO284" s="1" t="s">
        <v>83</v>
      </c>
      <c r="AP284" s="1">
        <v>5</v>
      </c>
      <c r="AQ284" s="1">
        <v>5</v>
      </c>
      <c r="AR284" s="1" t="s">
        <v>83</v>
      </c>
      <c r="AS284" s="1">
        <v>5</v>
      </c>
      <c r="AT284" s="1">
        <v>5</v>
      </c>
      <c r="AU284" s="1" t="s">
        <v>83</v>
      </c>
      <c r="AV284" s="1">
        <v>5</v>
      </c>
      <c r="AW284" s="1">
        <v>5</v>
      </c>
      <c r="AX284" s="1" t="s">
        <v>83</v>
      </c>
      <c r="AY284" s="1">
        <v>0</v>
      </c>
      <c r="AZ284" s="1">
        <v>0</v>
      </c>
      <c r="BA284" s="1">
        <v>2</v>
      </c>
      <c r="BB284" s="1" t="s">
        <v>83</v>
      </c>
      <c r="BC284" s="1">
        <v>0</v>
      </c>
      <c r="BD284" s="1" t="s">
        <v>442</v>
      </c>
      <c r="BE284" s="1" t="s">
        <v>442</v>
      </c>
      <c r="BF284" s="1" t="s">
        <v>442</v>
      </c>
      <c r="BG284" s="1" t="s">
        <v>83</v>
      </c>
    </row>
    <row r="285" spans="1:59" x14ac:dyDescent="0.35">
      <c r="A285" s="1">
        <v>284</v>
      </c>
      <c r="B285" s="1">
        <v>45842.768437500003</v>
      </c>
      <c r="C285" s="1" t="s">
        <v>1791</v>
      </c>
      <c r="D285" s="1" t="s">
        <v>1792</v>
      </c>
      <c r="E285" s="1" t="s">
        <v>63</v>
      </c>
      <c r="F285" s="1" t="s">
        <v>416</v>
      </c>
      <c r="G285" s="1" t="s">
        <v>1793</v>
      </c>
      <c r="H285" s="1" t="s">
        <v>210</v>
      </c>
      <c r="I285" s="1" t="s">
        <v>211</v>
      </c>
      <c r="J285" s="1" t="s">
        <v>1480</v>
      </c>
      <c r="K285" s="1" t="s">
        <v>1476</v>
      </c>
      <c r="L285" s="1" t="s">
        <v>69</v>
      </c>
      <c r="M285" s="1" t="s">
        <v>69</v>
      </c>
      <c r="N285" s="1" t="s">
        <v>69</v>
      </c>
      <c r="O285" s="1" t="s">
        <v>69</v>
      </c>
      <c r="P285" s="1" t="s">
        <v>70</v>
      </c>
      <c r="Q285" s="1" t="s">
        <v>292</v>
      </c>
      <c r="R285" s="1" t="s">
        <v>2438</v>
      </c>
      <c r="S285" s="1">
        <v>18</v>
      </c>
      <c r="T285" s="1" t="s">
        <v>131</v>
      </c>
      <c r="U285" s="1" t="s">
        <v>73</v>
      </c>
      <c r="V285" s="1" t="s">
        <v>1794</v>
      </c>
      <c r="W285" s="1" t="s">
        <v>133</v>
      </c>
      <c r="X285" s="1">
        <v>5</v>
      </c>
      <c r="Y285" s="1">
        <v>6</v>
      </c>
      <c r="Z285" s="1" t="s">
        <v>83</v>
      </c>
      <c r="AA285" s="1">
        <v>6</v>
      </c>
      <c r="AB285" s="1">
        <v>6</v>
      </c>
      <c r="AC285" s="1" t="s">
        <v>83</v>
      </c>
      <c r="AD285" s="1">
        <v>5</v>
      </c>
      <c r="AE285" s="1">
        <v>6</v>
      </c>
      <c r="AF285" s="1" t="s">
        <v>83</v>
      </c>
      <c r="AG285" s="1">
        <v>6</v>
      </c>
      <c r="AH285" s="1">
        <v>6</v>
      </c>
      <c r="AI285" s="1" t="s">
        <v>83</v>
      </c>
      <c r="AJ285" s="1">
        <v>5</v>
      </c>
      <c r="AK285" s="1">
        <v>6</v>
      </c>
      <c r="AL285" s="1" t="s">
        <v>83</v>
      </c>
      <c r="AM285" s="1">
        <v>6</v>
      </c>
      <c r="AN285" s="1">
        <v>6</v>
      </c>
      <c r="AO285" s="1" t="s">
        <v>83</v>
      </c>
      <c r="AP285" s="1">
        <v>6</v>
      </c>
      <c r="AQ285" s="1">
        <v>6</v>
      </c>
      <c r="AR285" s="1" t="s">
        <v>83</v>
      </c>
      <c r="AS285" s="1">
        <v>6</v>
      </c>
      <c r="AT285" s="1">
        <v>6</v>
      </c>
      <c r="AU285" s="1" t="s">
        <v>83</v>
      </c>
      <c r="AV285" s="1">
        <v>6</v>
      </c>
      <c r="AW285" s="1">
        <v>6</v>
      </c>
      <c r="AX285" s="1" t="s">
        <v>83</v>
      </c>
      <c r="AY285" s="1">
        <v>0</v>
      </c>
      <c r="AZ285" s="1">
        <v>0</v>
      </c>
      <c r="BA285" s="1">
        <v>0</v>
      </c>
      <c r="BB285" s="1" t="s">
        <v>1795</v>
      </c>
      <c r="BC285" s="1">
        <v>2</v>
      </c>
      <c r="BD285" s="1" t="s">
        <v>98</v>
      </c>
      <c r="BE285" s="1" t="s">
        <v>98</v>
      </c>
      <c r="BF285" s="1" t="s">
        <v>98</v>
      </c>
      <c r="BG285" s="1" t="s">
        <v>98</v>
      </c>
    </row>
    <row r="286" spans="1:59" x14ac:dyDescent="0.35">
      <c r="A286" s="1">
        <v>285</v>
      </c>
      <c r="B286" s="1">
        <v>45842.772002314814</v>
      </c>
      <c r="C286" s="1" t="s">
        <v>1796</v>
      </c>
      <c r="D286" s="1" t="s">
        <v>1711</v>
      </c>
      <c r="E286" s="1" t="s">
        <v>338</v>
      </c>
      <c r="F286" s="1" t="s">
        <v>63</v>
      </c>
      <c r="G286" s="1" t="s">
        <v>1797</v>
      </c>
      <c r="H286" s="1" t="s">
        <v>1798</v>
      </c>
      <c r="I286" s="1" t="s">
        <v>66</v>
      </c>
      <c r="J286" s="1" t="s">
        <v>1541</v>
      </c>
      <c r="K286" s="1" t="s">
        <v>1799</v>
      </c>
      <c r="L286" s="1" t="s">
        <v>69</v>
      </c>
      <c r="M286" s="1" t="s">
        <v>69</v>
      </c>
      <c r="N286" s="1" t="s">
        <v>69</v>
      </c>
      <c r="O286" s="1" t="s">
        <v>69</v>
      </c>
      <c r="P286" s="1" t="s">
        <v>106</v>
      </c>
      <c r="Q286" s="1" t="s">
        <v>1168</v>
      </c>
      <c r="R286" s="1" t="s">
        <v>2515</v>
      </c>
      <c r="S286" s="1">
        <v>44</v>
      </c>
      <c r="T286" s="1" t="s">
        <v>197</v>
      </c>
      <c r="U286" s="1" t="s">
        <v>73</v>
      </c>
      <c r="V286" s="1" t="s">
        <v>74</v>
      </c>
      <c r="W286" s="1" t="s">
        <v>74</v>
      </c>
      <c r="X286" s="1">
        <v>5</v>
      </c>
      <c r="Y286" s="1">
        <v>5</v>
      </c>
      <c r="Z286" s="1" t="s">
        <v>83</v>
      </c>
      <c r="AA286" s="1">
        <v>5</v>
      </c>
      <c r="AB286" s="1">
        <v>5</v>
      </c>
      <c r="AC286" s="1" t="s">
        <v>83</v>
      </c>
      <c r="AD286" s="1">
        <v>6</v>
      </c>
      <c r="AE286" s="1">
        <v>6</v>
      </c>
      <c r="AF286" s="1" t="s">
        <v>83</v>
      </c>
      <c r="AG286" s="1">
        <v>0</v>
      </c>
      <c r="AH286" s="1">
        <v>0</v>
      </c>
      <c r="AI286" s="1" t="s">
        <v>83</v>
      </c>
      <c r="AJ286" s="1">
        <v>5</v>
      </c>
      <c r="AK286" s="1">
        <v>5</v>
      </c>
      <c r="AL286" s="1" t="s">
        <v>83</v>
      </c>
      <c r="AM286" s="1">
        <v>5</v>
      </c>
      <c r="AN286" s="1">
        <v>5</v>
      </c>
      <c r="AO286" s="1" t="s">
        <v>83</v>
      </c>
      <c r="AP286" s="1">
        <v>5</v>
      </c>
      <c r="AQ286" s="1">
        <v>5</v>
      </c>
      <c r="AR286" s="1" t="s">
        <v>83</v>
      </c>
      <c r="AS286" s="1">
        <v>5</v>
      </c>
      <c r="AT286" s="1">
        <v>5</v>
      </c>
      <c r="AU286" s="1" t="s">
        <v>83</v>
      </c>
      <c r="AV286" s="1">
        <v>6</v>
      </c>
      <c r="AW286" s="1">
        <v>6</v>
      </c>
      <c r="AX286" s="1" t="s">
        <v>83</v>
      </c>
      <c r="AY286" s="1">
        <v>0</v>
      </c>
      <c r="AZ286" s="1">
        <v>0</v>
      </c>
      <c r="BA286" s="1">
        <v>0</v>
      </c>
      <c r="BB286" s="1" t="s">
        <v>1800</v>
      </c>
      <c r="BC286" s="1">
        <v>1</v>
      </c>
      <c r="BD286" s="1" t="s">
        <v>442</v>
      </c>
      <c r="BE286" s="1" t="s">
        <v>442</v>
      </c>
      <c r="BF286" s="1" t="s">
        <v>442</v>
      </c>
      <c r="BG286" s="1" t="s">
        <v>83</v>
      </c>
    </row>
    <row r="287" spans="1:59" x14ac:dyDescent="0.35">
      <c r="A287" s="1">
        <v>286</v>
      </c>
      <c r="B287" s="1">
        <v>45842.77380787037</v>
      </c>
      <c r="C287" s="1" t="s">
        <v>1801</v>
      </c>
      <c r="D287" s="1" t="s">
        <v>1802</v>
      </c>
      <c r="E287" s="1" t="s">
        <v>63</v>
      </c>
      <c r="F287" s="1" t="s">
        <v>179</v>
      </c>
      <c r="G287" s="1" t="s">
        <v>1803</v>
      </c>
      <c r="H287" s="1" t="s">
        <v>210</v>
      </c>
      <c r="I287" s="1" t="s">
        <v>211</v>
      </c>
      <c r="J287" s="1" t="s">
        <v>1480</v>
      </c>
      <c r="K287" s="1" t="s">
        <v>1804</v>
      </c>
      <c r="L287" s="1" t="s">
        <v>69</v>
      </c>
      <c r="M287" s="1" t="s">
        <v>69</v>
      </c>
      <c r="N287" s="1" t="s">
        <v>69</v>
      </c>
      <c r="O287" s="1" t="s">
        <v>69</v>
      </c>
      <c r="P287" s="1" t="s">
        <v>106</v>
      </c>
      <c r="Q287" s="1" t="s">
        <v>292</v>
      </c>
      <c r="R287" s="1" t="s">
        <v>2436</v>
      </c>
      <c r="S287" s="1">
        <v>24</v>
      </c>
      <c r="T287" s="1" t="s">
        <v>72</v>
      </c>
      <c r="U287" s="1" t="s">
        <v>93</v>
      </c>
      <c r="V287" s="1" t="s">
        <v>1805</v>
      </c>
      <c r="W287" s="1" t="s">
        <v>1806</v>
      </c>
      <c r="X287" s="1">
        <v>4</v>
      </c>
      <c r="Y287" s="1">
        <v>5</v>
      </c>
      <c r="Z287" s="1" t="s">
        <v>83</v>
      </c>
      <c r="AA287" s="1">
        <v>4</v>
      </c>
      <c r="AB287" s="1">
        <v>5</v>
      </c>
      <c r="AC287" s="1" t="s">
        <v>83</v>
      </c>
      <c r="AD287" s="1">
        <v>5</v>
      </c>
      <c r="AE287" s="1">
        <v>5</v>
      </c>
      <c r="AF287" s="1" t="s">
        <v>83</v>
      </c>
      <c r="AG287" s="1">
        <v>5</v>
      </c>
      <c r="AH287" s="1">
        <v>5</v>
      </c>
      <c r="AI287" s="1" t="s">
        <v>83</v>
      </c>
      <c r="AJ287" s="1">
        <v>5</v>
      </c>
      <c r="AK287" s="1">
        <v>5</v>
      </c>
      <c r="AL287" s="1" t="s">
        <v>83</v>
      </c>
      <c r="AM287" s="1">
        <v>4</v>
      </c>
      <c r="AN287" s="1">
        <v>5</v>
      </c>
      <c r="AO287" s="1" t="s">
        <v>83</v>
      </c>
      <c r="AP287" s="1">
        <v>5</v>
      </c>
      <c r="AQ287" s="1">
        <v>5</v>
      </c>
      <c r="AR287" s="1" t="s">
        <v>83</v>
      </c>
      <c r="AS287" s="1">
        <v>5</v>
      </c>
      <c r="AT287" s="1">
        <v>5</v>
      </c>
      <c r="AU287" s="1" t="s">
        <v>83</v>
      </c>
      <c r="AV287" s="1">
        <v>5</v>
      </c>
      <c r="AW287" s="1">
        <v>5</v>
      </c>
      <c r="AX287" s="1" t="s">
        <v>83</v>
      </c>
      <c r="AY287" s="1">
        <v>0</v>
      </c>
      <c r="AZ287" s="1">
        <v>0</v>
      </c>
      <c r="BA287" s="1">
        <v>0</v>
      </c>
      <c r="BB287" s="1" t="s">
        <v>1807</v>
      </c>
      <c r="BC287" s="1">
        <v>2</v>
      </c>
      <c r="BD287" s="1" t="s">
        <v>98</v>
      </c>
      <c r="BE287" s="1" t="s">
        <v>98</v>
      </c>
      <c r="BF287" s="1" t="s">
        <v>98</v>
      </c>
      <c r="BG287" s="1" t="s">
        <v>263</v>
      </c>
    </row>
    <row r="288" spans="1:59" x14ac:dyDescent="0.35">
      <c r="A288" s="1">
        <v>287</v>
      </c>
      <c r="B288" s="1">
        <v>45842.778935185182</v>
      </c>
      <c r="C288" s="1" t="s">
        <v>1808</v>
      </c>
      <c r="D288" s="1" t="s">
        <v>1809</v>
      </c>
      <c r="E288" s="1" t="s">
        <v>63</v>
      </c>
      <c r="F288" s="1" t="s">
        <v>86</v>
      </c>
      <c r="G288" s="1" t="s">
        <v>1810</v>
      </c>
      <c r="H288" s="1" t="s">
        <v>88</v>
      </c>
      <c r="I288" s="1" t="s">
        <v>89</v>
      </c>
      <c r="J288" s="1" t="s">
        <v>1634</v>
      </c>
      <c r="K288" s="1" t="s">
        <v>1811</v>
      </c>
      <c r="L288" s="1" t="s">
        <v>69</v>
      </c>
      <c r="M288" s="1" t="s">
        <v>69</v>
      </c>
      <c r="N288" s="1" t="s">
        <v>69</v>
      </c>
      <c r="O288" s="1" t="s">
        <v>69</v>
      </c>
      <c r="P288" s="1" t="s">
        <v>106</v>
      </c>
      <c r="Q288" s="1" t="s">
        <v>1180</v>
      </c>
      <c r="R288" s="1" t="s">
        <v>1037</v>
      </c>
      <c r="S288" s="1">
        <v>51</v>
      </c>
      <c r="T288" s="1" t="s">
        <v>383</v>
      </c>
      <c r="U288" s="1" t="s">
        <v>93</v>
      </c>
      <c r="V288" s="1" t="s">
        <v>110</v>
      </c>
      <c r="W288" s="1" t="s">
        <v>110</v>
      </c>
      <c r="X288" s="1">
        <v>6</v>
      </c>
      <c r="Y288" s="1">
        <v>6</v>
      </c>
      <c r="Z288" s="1" t="s">
        <v>83</v>
      </c>
      <c r="AA288" s="1">
        <v>5</v>
      </c>
      <c r="AB288" s="1">
        <v>5</v>
      </c>
      <c r="AC288" s="1" t="s">
        <v>83</v>
      </c>
      <c r="AD288" s="1">
        <v>5</v>
      </c>
      <c r="AE288" s="1">
        <v>5</v>
      </c>
      <c r="AF288" s="1" t="s">
        <v>83</v>
      </c>
      <c r="AG288" s="1">
        <v>0</v>
      </c>
      <c r="AH288" s="1">
        <v>0</v>
      </c>
      <c r="AI288" s="1" t="s">
        <v>83</v>
      </c>
      <c r="AJ288" s="1">
        <v>5</v>
      </c>
      <c r="AK288" s="1">
        <v>5</v>
      </c>
      <c r="AL288" s="1" t="s">
        <v>83</v>
      </c>
      <c r="AM288" s="1">
        <v>6</v>
      </c>
      <c r="AN288" s="1">
        <v>5</v>
      </c>
      <c r="AO288" s="1" t="s">
        <v>83</v>
      </c>
      <c r="AP288" s="1">
        <v>6</v>
      </c>
      <c r="AQ288" s="1">
        <v>5</v>
      </c>
      <c r="AR288" s="1" t="s">
        <v>83</v>
      </c>
      <c r="AS288" s="1">
        <v>6</v>
      </c>
      <c r="AT288" s="1">
        <v>5</v>
      </c>
      <c r="AU288" s="1" t="s">
        <v>83</v>
      </c>
      <c r="AV288" s="1">
        <v>6</v>
      </c>
      <c r="AW288" s="1">
        <v>5</v>
      </c>
      <c r="AX288" s="1" t="s">
        <v>83</v>
      </c>
      <c r="AY288" s="1">
        <v>0</v>
      </c>
      <c r="AZ288" s="1">
        <v>0</v>
      </c>
      <c r="BA288" s="1">
        <v>1</v>
      </c>
      <c r="BB288" s="1" t="s">
        <v>83</v>
      </c>
      <c r="BC288" s="1">
        <v>0</v>
      </c>
      <c r="BD288" s="1" t="s">
        <v>98</v>
      </c>
      <c r="BE288" s="1" t="s">
        <v>98</v>
      </c>
      <c r="BF288" s="1" t="s">
        <v>98</v>
      </c>
      <c r="BG288" s="1" t="s">
        <v>98</v>
      </c>
    </row>
    <row r="289" spans="1:59" x14ac:dyDescent="0.35">
      <c r="A289" s="1">
        <v>288</v>
      </c>
      <c r="B289" s="1">
        <v>45842.785590277781</v>
      </c>
      <c r="C289" s="1" t="s">
        <v>1812</v>
      </c>
      <c r="D289" s="1" t="s">
        <v>1813</v>
      </c>
      <c r="E289" s="1" t="s">
        <v>63</v>
      </c>
      <c r="F289" s="1" t="s">
        <v>757</v>
      </c>
      <c r="G289" s="1" t="s">
        <v>1814</v>
      </c>
      <c r="H289" s="1" t="s">
        <v>210</v>
      </c>
      <c r="I289" s="1" t="s">
        <v>211</v>
      </c>
      <c r="J289" s="1" t="s">
        <v>1480</v>
      </c>
      <c r="K289" s="1" t="s">
        <v>1628</v>
      </c>
      <c r="L289" s="1" t="s">
        <v>69</v>
      </c>
      <c r="M289" s="1" t="s">
        <v>69</v>
      </c>
      <c r="N289" s="1" t="s">
        <v>69</v>
      </c>
      <c r="O289" s="1" t="s">
        <v>69</v>
      </c>
      <c r="P289" s="1" t="s">
        <v>70</v>
      </c>
      <c r="Q289" s="1" t="s">
        <v>292</v>
      </c>
      <c r="R289" s="1" t="s">
        <v>2467</v>
      </c>
      <c r="S289" s="1">
        <v>21</v>
      </c>
      <c r="T289" s="1" t="s">
        <v>72</v>
      </c>
      <c r="U289" s="1" t="s">
        <v>73</v>
      </c>
      <c r="V289" s="1" t="s">
        <v>94</v>
      </c>
      <c r="W289" s="1" t="s">
        <v>95</v>
      </c>
      <c r="X289" s="1">
        <v>5</v>
      </c>
      <c r="Y289" s="1">
        <v>6</v>
      </c>
      <c r="Z289" s="1" t="s">
        <v>83</v>
      </c>
      <c r="AA289" s="1">
        <v>6</v>
      </c>
      <c r="AB289" s="1">
        <v>6</v>
      </c>
      <c r="AC289" s="1" t="s">
        <v>83</v>
      </c>
      <c r="AD289" s="1">
        <v>5</v>
      </c>
      <c r="AE289" s="1">
        <v>5</v>
      </c>
      <c r="AF289" s="1" t="s">
        <v>83</v>
      </c>
      <c r="AG289" s="1">
        <v>6</v>
      </c>
      <c r="AH289" s="1">
        <v>6</v>
      </c>
      <c r="AI289" s="1" t="s">
        <v>83</v>
      </c>
      <c r="AJ289" s="1">
        <v>5</v>
      </c>
      <c r="AK289" s="1">
        <v>5</v>
      </c>
      <c r="AL289" s="1" t="s">
        <v>83</v>
      </c>
      <c r="AM289" s="1">
        <v>6</v>
      </c>
      <c r="AN289" s="1">
        <v>6</v>
      </c>
      <c r="AO289" s="1" t="s">
        <v>83</v>
      </c>
      <c r="AP289" s="1">
        <v>6</v>
      </c>
      <c r="AQ289" s="1">
        <v>6</v>
      </c>
      <c r="AR289" s="1" t="s">
        <v>83</v>
      </c>
      <c r="AS289" s="1">
        <v>6</v>
      </c>
      <c r="AT289" s="1">
        <v>6</v>
      </c>
      <c r="AU289" s="1" t="s">
        <v>83</v>
      </c>
      <c r="AV289" s="1">
        <v>5</v>
      </c>
      <c r="AW289" s="1">
        <v>5</v>
      </c>
      <c r="AX289" s="1" t="s">
        <v>83</v>
      </c>
      <c r="AY289" s="1">
        <v>0</v>
      </c>
      <c r="AZ289" s="1">
        <v>0</v>
      </c>
      <c r="BA289" s="1">
        <v>1</v>
      </c>
      <c r="BB289" s="1" t="s">
        <v>83</v>
      </c>
      <c r="BC289" s="1">
        <v>0</v>
      </c>
      <c r="BD289" s="1" t="s">
        <v>98</v>
      </c>
      <c r="BE289" s="1" t="s">
        <v>98</v>
      </c>
      <c r="BF289" s="1" t="s">
        <v>98</v>
      </c>
      <c r="BG289" s="1" t="s">
        <v>1815</v>
      </c>
    </row>
    <row r="290" spans="1:59" x14ac:dyDescent="0.35">
      <c r="A290" s="1">
        <v>289</v>
      </c>
      <c r="B290" s="1">
        <v>45842.789571759262</v>
      </c>
      <c r="C290" s="1" t="s">
        <v>1816</v>
      </c>
      <c r="D290" s="1" t="s">
        <v>1817</v>
      </c>
      <c r="E290" s="1" t="s">
        <v>63</v>
      </c>
      <c r="F290" s="1" t="s">
        <v>312</v>
      </c>
      <c r="G290" s="1" t="s">
        <v>1818</v>
      </c>
      <c r="H290" s="1" t="s">
        <v>210</v>
      </c>
      <c r="I290" s="1" t="s">
        <v>211</v>
      </c>
      <c r="J290" s="1" t="s">
        <v>1480</v>
      </c>
      <c r="K290" s="1" t="s">
        <v>1647</v>
      </c>
      <c r="L290" s="1" t="s">
        <v>69</v>
      </c>
      <c r="M290" s="1" t="s">
        <v>69</v>
      </c>
      <c r="N290" s="1" t="s">
        <v>69</v>
      </c>
      <c r="O290" s="1" t="s">
        <v>69</v>
      </c>
      <c r="P290" s="1" t="s">
        <v>70</v>
      </c>
      <c r="Q290" s="1" t="s">
        <v>292</v>
      </c>
      <c r="R290" s="1" t="s">
        <v>2438</v>
      </c>
      <c r="S290" s="1">
        <v>18</v>
      </c>
      <c r="T290" s="1" t="s">
        <v>131</v>
      </c>
      <c r="U290" s="1" t="s">
        <v>73</v>
      </c>
      <c r="V290" s="1" t="s">
        <v>94</v>
      </c>
      <c r="W290" s="1" t="s">
        <v>95</v>
      </c>
      <c r="X290" s="1">
        <v>6</v>
      </c>
      <c r="Y290" s="1">
        <v>6</v>
      </c>
      <c r="Z290" s="1" t="s">
        <v>83</v>
      </c>
      <c r="AA290" s="1">
        <v>5</v>
      </c>
      <c r="AB290" s="1">
        <v>6</v>
      </c>
      <c r="AC290" s="1" t="s">
        <v>83</v>
      </c>
      <c r="AD290" s="1">
        <v>6</v>
      </c>
      <c r="AE290" s="1">
        <v>6</v>
      </c>
      <c r="AF290" s="1" t="s">
        <v>83</v>
      </c>
      <c r="AG290" s="1">
        <v>6</v>
      </c>
      <c r="AH290" s="1">
        <v>6</v>
      </c>
      <c r="AI290" s="1" t="s">
        <v>83</v>
      </c>
      <c r="AJ290" s="1">
        <v>6</v>
      </c>
      <c r="AK290" s="1">
        <v>6</v>
      </c>
      <c r="AL290" s="1" t="s">
        <v>83</v>
      </c>
      <c r="AM290" s="1">
        <v>6</v>
      </c>
      <c r="AN290" s="1">
        <v>6</v>
      </c>
      <c r="AO290" s="1" t="s">
        <v>83</v>
      </c>
      <c r="AP290" s="1">
        <v>6</v>
      </c>
      <c r="AQ290" s="1">
        <v>6</v>
      </c>
      <c r="AR290" s="1" t="s">
        <v>83</v>
      </c>
      <c r="AS290" s="1">
        <v>6</v>
      </c>
      <c r="AT290" s="1">
        <v>6</v>
      </c>
      <c r="AU290" s="1" t="s">
        <v>83</v>
      </c>
      <c r="AV290" s="1">
        <v>6</v>
      </c>
      <c r="AW290" s="1">
        <v>6</v>
      </c>
      <c r="AX290" s="1" t="s">
        <v>83</v>
      </c>
      <c r="AY290" s="1">
        <v>2</v>
      </c>
      <c r="AZ290" s="1">
        <v>0</v>
      </c>
      <c r="BA290" s="1">
        <v>0</v>
      </c>
      <c r="BB290" s="1" t="s">
        <v>83</v>
      </c>
      <c r="BC290" s="1">
        <v>0</v>
      </c>
      <c r="BD290" s="1" t="s">
        <v>98</v>
      </c>
      <c r="BE290" s="1" t="s">
        <v>98</v>
      </c>
      <c r="BF290" s="1" t="s">
        <v>1819</v>
      </c>
      <c r="BG290" s="1" t="s">
        <v>98</v>
      </c>
    </row>
    <row r="291" spans="1:59" x14ac:dyDescent="0.35">
      <c r="A291" s="1">
        <v>290</v>
      </c>
      <c r="B291" s="1">
        <v>45842.814386574071</v>
      </c>
      <c r="C291" s="1" t="s">
        <v>1820</v>
      </c>
      <c r="D291" s="1" t="s">
        <v>1821</v>
      </c>
      <c r="E291" s="1" t="s">
        <v>63</v>
      </c>
      <c r="F291" s="1" t="s">
        <v>86</v>
      </c>
      <c r="G291" s="1" t="s">
        <v>1822</v>
      </c>
      <c r="H291" s="1" t="s">
        <v>981</v>
      </c>
      <c r="I291" s="1" t="s">
        <v>982</v>
      </c>
      <c r="J291" s="1" t="s">
        <v>1541</v>
      </c>
      <c r="K291" s="1" t="s">
        <v>1823</v>
      </c>
      <c r="L291" s="1" t="s">
        <v>69</v>
      </c>
      <c r="M291" s="1" t="s">
        <v>69</v>
      </c>
      <c r="N291" s="1" t="s">
        <v>69</v>
      </c>
      <c r="O291" s="1" t="s">
        <v>69</v>
      </c>
      <c r="P291" s="1" t="s">
        <v>106</v>
      </c>
      <c r="Q291" s="1" t="s">
        <v>1168</v>
      </c>
      <c r="R291" s="1" t="s">
        <v>538</v>
      </c>
      <c r="S291" s="1">
        <v>41</v>
      </c>
      <c r="T291" s="1" t="s">
        <v>197</v>
      </c>
      <c r="U291" s="1" t="s">
        <v>93</v>
      </c>
      <c r="V291" s="1" t="s">
        <v>1824</v>
      </c>
      <c r="W291" s="1" t="s">
        <v>413</v>
      </c>
      <c r="X291" s="1">
        <v>5</v>
      </c>
      <c r="Y291" s="1">
        <v>5</v>
      </c>
      <c r="Z291" s="1" t="s">
        <v>83</v>
      </c>
      <c r="AA291" s="1">
        <v>4</v>
      </c>
      <c r="AB291" s="1">
        <v>5</v>
      </c>
      <c r="AC291" s="1" t="s">
        <v>83</v>
      </c>
      <c r="AD291" s="1">
        <v>3</v>
      </c>
      <c r="AE291" s="1">
        <v>6</v>
      </c>
      <c r="AF291" s="1" t="s">
        <v>2516</v>
      </c>
      <c r="AG291" s="1">
        <v>0</v>
      </c>
      <c r="AH291" s="1">
        <v>0</v>
      </c>
      <c r="AI291" s="1" t="s">
        <v>83</v>
      </c>
      <c r="AJ291" s="1">
        <v>5</v>
      </c>
      <c r="AK291" s="1">
        <v>5</v>
      </c>
      <c r="AL291" s="1" t="s">
        <v>83</v>
      </c>
      <c r="AM291" s="1">
        <v>4</v>
      </c>
      <c r="AN291" s="1">
        <v>5</v>
      </c>
      <c r="AO291" s="1" t="s">
        <v>83</v>
      </c>
      <c r="AP291" s="1">
        <v>6</v>
      </c>
      <c r="AQ291" s="1">
        <v>6</v>
      </c>
      <c r="AR291" s="1" t="s">
        <v>83</v>
      </c>
      <c r="AS291" s="1">
        <v>4</v>
      </c>
      <c r="AT291" s="1">
        <v>6</v>
      </c>
      <c r="AU291" s="1" t="s">
        <v>83</v>
      </c>
      <c r="AV291" s="1">
        <v>4</v>
      </c>
      <c r="AW291" s="1">
        <v>6</v>
      </c>
      <c r="AX291" s="1" t="s">
        <v>83</v>
      </c>
      <c r="AY291" s="1">
        <v>0</v>
      </c>
      <c r="AZ291" s="1">
        <v>0</v>
      </c>
      <c r="BA291" s="1">
        <v>1</v>
      </c>
      <c r="BB291" s="1" t="s">
        <v>83</v>
      </c>
      <c r="BC291" s="1">
        <v>0</v>
      </c>
      <c r="BD291" s="1" t="s">
        <v>1825</v>
      </c>
      <c r="BE291" s="1" t="s">
        <v>1826</v>
      </c>
      <c r="BF291" s="1" t="s">
        <v>985</v>
      </c>
      <c r="BG291" s="1" t="s">
        <v>83</v>
      </c>
    </row>
    <row r="292" spans="1:59" x14ac:dyDescent="0.35">
      <c r="A292" s="1">
        <v>291</v>
      </c>
      <c r="B292" s="1">
        <v>45842.818530092591</v>
      </c>
      <c r="C292" s="1" t="s">
        <v>1827</v>
      </c>
      <c r="D292" s="1" t="s">
        <v>1828</v>
      </c>
      <c r="E292" s="1" t="s">
        <v>63</v>
      </c>
      <c r="F292" s="1" t="s">
        <v>742</v>
      </c>
      <c r="G292" s="1" t="s">
        <v>1829</v>
      </c>
      <c r="H292" s="1" t="s">
        <v>981</v>
      </c>
      <c r="I292" s="1" t="s">
        <v>982</v>
      </c>
      <c r="J292" s="1" t="s">
        <v>1541</v>
      </c>
      <c r="K292" s="1" t="s">
        <v>1830</v>
      </c>
      <c r="L292" s="1" t="s">
        <v>69</v>
      </c>
      <c r="M292" s="1" t="s">
        <v>69</v>
      </c>
      <c r="N292" s="1" t="s">
        <v>69</v>
      </c>
      <c r="O292" s="1" t="s">
        <v>69</v>
      </c>
      <c r="P292" s="1" t="s">
        <v>70</v>
      </c>
      <c r="Q292" s="1" t="s">
        <v>1168</v>
      </c>
      <c r="R292" s="1" t="s">
        <v>475</v>
      </c>
      <c r="S292" s="1">
        <v>54</v>
      </c>
      <c r="T292" s="1" t="s">
        <v>383</v>
      </c>
      <c r="U292" s="1" t="s">
        <v>273</v>
      </c>
      <c r="V292" s="1" t="s">
        <v>232</v>
      </c>
      <c r="W292" s="1" t="s">
        <v>232</v>
      </c>
      <c r="X292" s="1">
        <v>6</v>
      </c>
      <c r="Y292" s="1">
        <v>6</v>
      </c>
      <c r="Z292" s="1" t="s">
        <v>83</v>
      </c>
      <c r="AA292" s="1">
        <v>6</v>
      </c>
      <c r="AB292" s="1">
        <v>5</v>
      </c>
      <c r="AC292" s="1" t="s">
        <v>83</v>
      </c>
      <c r="AD292" s="1">
        <v>6</v>
      </c>
      <c r="AE292" s="1">
        <v>6</v>
      </c>
      <c r="AF292" s="1" t="s">
        <v>83</v>
      </c>
      <c r="AG292" s="1">
        <v>0</v>
      </c>
      <c r="AH292" s="1">
        <v>0</v>
      </c>
      <c r="AI292" s="1" t="s">
        <v>83</v>
      </c>
      <c r="AJ292" s="1">
        <v>6</v>
      </c>
      <c r="AK292" s="1">
        <v>6</v>
      </c>
      <c r="AL292" s="1" t="s">
        <v>83</v>
      </c>
      <c r="AM292" s="1">
        <v>6</v>
      </c>
      <c r="AN292" s="1">
        <v>6</v>
      </c>
      <c r="AO292" s="1" t="s">
        <v>83</v>
      </c>
      <c r="AP292" s="1">
        <v>6</v>
      </c>
      <c r="AQ292" s="1">
        <v>5</v>
      </c>
      <c r="AR292" s="1" t="s">
        <v>83</v>
      </c>
      <c r="AS292" s="1">
        <v>6</v>
      </c>
      <c r="AT292" s="1">
        <v>5</v>
      </c>
      <c r="AU292" s="1" t="s">
        <v>83</v>
      </c>
      <c r="AV292" s="1">
        <v>6</v>
      </c>
      <c r="AW292" s="1">
        <v>5</v>
      </c>
      <c r="AX292" s="1" t="s">
        <v>83</v>
      </c>
      <c r="AY292" s="1">
        <v>0</v>
      </c>
      <c r="AZ292" s="1">
        <v>0</v>
      </c>
      <c r="BA292" s="1">
        <v>0</v>
      </c>
      <c r="BB292" s="1" t="s">
        <v>144</v>
      </c>
      <c r="BC292" s="1">
        <v>1</v>
      </c>
      <c r="BD292" s="1" t="s">
        <v>985</v>
      </c>
      <c r="BE292" s="1" t="s">
        <v>985</v>
      </c>
      <c r="BF292" s="1" t="s">
        <v>985</v>
      </c>
      <c r="BG292" s="1" t="s">
        <v>83</v>
      </c>
    </row>
    <row r="293" spans="1:59" x14ac:dyDescent="0.35">
      <c r="A293" s="1">
        <v>292</v>
      </c>
      <c r="B293" s="1">
        <v>45842.822256944448</v>
      </c>
      <c r="C293" s="1" t="s">
        <v>1831</v>
      </c>
      <c r="D293" s="1" t="s">
        <v>1832</v>
      </c>
      <c r="E293" s="1" t="s">
        <v>63</v>
      </c>
      <c r="F293" s="1" t="s">
        <v>1402</v>
      </c>
      <c r="G293" s="1" t="s">
        <v>1833</v>
      </c>
      <c r="H293" s="1" t="s">
        <v>981</v>
      </c>
      <c r="I293" s="1" t="s">
        <v>982</v>
      </c>
      <c r="J293" s="1" t="s">
        <v>1541</v>
      </c>
      <c r="K293" s="1" t="s">
        <v>1834</v>
      </c>
      <c r="L293" s="1" t="s">
        <v>69</v>
      </c>
      <c r="M293" s="1" t="s">
        <v>69</v>
      </c>
      <c r="N293" s="1" t="s">
        <v>69</v>
      </c>
      <c r="O293" s="1" t="s">
        <v>69</v>
      </c>
      <c r="P293" s="1" t="s">
        <v>106</v>
      </c>
      <c r="Q293" s="1" t="s">
        <v>1168</v>
      </c>
      <c r="R293" s="1" t="s">
        <v>826</v>
      </c>
      <c r="S293" s="1">
        <v>44</v>
      </c>
      <c r="T293" s="1" t="s">
        <v>197</v>
      </c>
      <c r="U293" s="1" t="s">
        <v>93</v>
      </c>
      <c r="V293" s="1" t="s">
        <v>154</v>
      </c>
      <c r="W293" s="1" t="s">
        <v>154</v>
      </c>
      <c r="X293" s="1">
        <v>6</v>
      </c>
      <c r="Y293" s="1">
        <v>6</v>
      </c>
      <c r="Z293" s="1" t="s">
        <v>83</v>
      </c>
      <c r="AA293" s="1">
        <v>6</v>
      </c>
      <c r="AB293" s="1">
        <v>6</v>
      </c>
      <c r="AC293" s="1" t="s">
        <v>83</v>
      </c>
      <c r="AD293" s="1">
        <v>6</v>
      </c>
      <c r="AE293" s="1">
        <v>6</v>
      </c>
      <c r="AF293" s="1" t="s">
        <v>83</v>
      </c>
      <c r="AG293" s="1">
        <v>0</v>
      </c>
      <c r="AH293" s="1">
        <v>0</v>
      </c>
      <c r="AI293" s="1" t="s">
        <v>83</v>
      </c>
      <c r="AJ293" s="1">
        <v>6</v>
      </c>
      <c r="AK293" s="1">
        <v>6</v>
      </c>
      <c r="AL293" s="1" t="s">
        <v>83</v>
      </c>
      <c r="AM293" s="1">
        <v>6</v>
      </c>
      <c r="AN293" s="1">
        <v>6</v>
      </c>
      <c r="AO293" s="1" t="s">
        <v>83</v>
      </c>
      <c r="AP293" s="1">
        <v>6</v>
      </c>
      <c r="AQ293" s="1">
        <v>6</v>
      </c>
      <c r="AR293" s="1" t="s">
        <v>83</v>
      </c>
      <c r="AS293" s="1">
        <v>6</v>
      </c>
      <c r="AT293" s="1">
        <v>6</v>
      </c>
      <c r="AU293" s="1" t="s">
        <v>83</v>
      </c>
      <c r="AV293" s="1">
        <v>6</v>
      </c>
      <c r="AW293" s="1">
        <v>6</v>
      </c>
      <c r="AX293" s="1" t="s">
        <v>83</v>
      </c>
      <c r="AY293" s="1">
        <v>0</v>
      </c>
      <c r="AZ293" s="1">
        <v>0</v>
      </c>
      <c r="BA293" s="1">
        <v>1</v>
      </c>
      <c r="BB293" s="1" t="s">
        <v>83</v>
      </c>
      <c r="BC293" s="1">
        <v>0</v>
      </c>
      <c r="BD293" s="1" t="s">
        <v>985</v>
      </c>
      <c r="BE293" s="1" t="s">
        <v>985</v>
      </c>
      <c r="BF293" s="1" t="s">
        <v>985</v>
      </c>
      <c r="BG293" s="1" t="s">
        <v>83</v>
      </c>
    </row>
    <row r="294" spans="1:59" x14ac:dyDescent="0.35">
      <c r="A294" s="1">
        <v>293</v>
      </c>
      <c r="B294" s="1">
        <v>45842.86141203704</v>
      </c>
      <c r="C294" s="1" t="s">
        <v>1835</v>
      </c>
      <c r="D294" s="1" t="s">
        <v>1836</v>
      </c>
      <c r="E294" s="1" t="s">
        <v>63</v>
      </c>
      <c r="F294" s="1" t="s">
        <v>240</v>
      </c>
      <c r="G294" s="1" t="s">
        <v>1837</v>
      </c>
      <c r="H294" s="1" t="s">
        <v>981</v>
      </c>
      <c r="I294" s="1" t="s">
        <v>982</v>
      </c>
      <c r="J294" s="1" t="s">
        <v>1541</v>
      </c>
      <c r="K294" s="1" t="s">
        <v>1838</v>
      </c>
      <c r="L294" s="1" t="s">
        <v>69</v>
      </c>
      <c r="M294" s="1" t="s">
        <v>69</v>
      </c>
      <c r="N294" s="1" t="s">
        <v>69</v>
      </c>
      <c r="O294" s="1" t="s">
        <v>69</v>
      </c>
      <c r="P294" s="1" t="s">
        <v>106</v>
      </c>
      <c r="Q294" s="1" t="s">
        <v>1180</v>
      </c>
      <c r="R294" s="1" t="s">
        <v>1325</v>
      </c>
      <c r="S294" s="1">
        <v>50</v>
      </c>
      <c r="T294" s="1" t="s">
        <v>225</v>
      </c>
      <c r="U294" s="1" t="s">
        <v>73</v>
      </c>
      <c r="V294" s="1" t="s">
        <v>142</v>
      </c>
      <c r="W294" s="1" t="s">
        <v>143</v>
      </c>
      <c r="X294" s="1">
        <v>6</v>
      </c>
      <c r="Y294" s="1">
        <v>6</v>
      </c>
      <c r="Z294" s="1" t="s">
        <v>83</v>
      </c>
      <c r="AA294" s="1">
        <v>6</v>
      </c>
      <c r="AB294" s="1">
        <v>6</v>
      </c>
      <c r="AC294" s="1" t="s">
        <v>83</v>
      </c>
      <c r="AD294" s="1">
        <v>6</v>
      </c>
      <c r="AE294" s="1">
        <v>6</v>
      </c>
      <c r="AF294" s="1" t="s">
        <v>83</v>
      </c>
      <c r="AG294" s="1">
        <v>0</v>
      </c>
      <c r="AH294" s="1">
        <v>0</v>
      </c>
      <c r="AI294" s="1" t="s">
        <v>83</v>
      </c>
      <c r="AJ294" s="1">
        <v>6</v>
      </c>
      <c r="AK294" s="1">
        <v>6</v>
      </c>
      <c r="AL294" s="1" t="s">
        <v>83</v>
      </c>
      <c r="AM294" s="1">
        <v>6</v>
      </c>
      <c r="AN294" s="1">
        <v>6</v>
      </c>
      <c r="AO294" s="1" t="s">
        <v>83</v>
      </c>
      <c r="AP294" s="1">
        <v>6</v>
      </c>
      <c r="AQ294" s="1">
        <v>6</v>
      </c>
      <c r="AR294" s="1" t="s">
        <v>83</v>
      </c>
      <c r="AS294" s="1">
        <v>6</v>
      </c>
      <c r="AT294" s="1">
        <v>6</v>
      </c>
      <c r="AU294" s="1" t="s">
        <v>83</v>
      </c>
      <c r="AV294" s="1">
        <v>6</v>
      </c>
      <c r="AW294" s="1">
        <v>6</v>
      </c>
      <c r="AX294" s="1" t="s">
        <v>83</v>
      </c>
      <c r="AY294" s="1">
        <v>0</v>
      </c>
      <c r="AZ294" s="1">
        <v>0</v>
      </c>
      <c r="BA294" s="1">
        <v>1</v>
      </c>
      <c r="BB294" s="1" t="s">
        <v>83</v>
      </c>
      <c r="BC294" s="1">
        <v>0</v>
      </c>
      <c r="BD294" s="1" t="s">
        <v>985</v>
      </c>
      <c r="BE294" s="1" t="s">
        <v>985</v>
      </c>
      <c r="BF294" s="1" t="s">
        <v>985</v>
      </c>
      <c r="BG294" s="1" t="s">
        <v>83</v>
      </c>
    </row>
    <row r="295" spans="1:59" x14ac:dyDescent="0.35">
      <c r="A295" s="1">
        <v>294</v>
      </c>
      <c r="B295" s="1">
        <v>45842.870648148149</v>
      </c>
      <c r="C295" s="1" t="s">
        <v>1839</v>
      </c>
      <c r="D295" s="1" t="s">
        <v>1840</v>
      </c>
      <c r="E295" s="1" t="s">
        <v>1841</v>
      </c>
      <c r="F295" s="1" t="s">
        <v>1842</v>
      </c>
      <c r="G295" s="1" t="s">
        <v>1843</v>
      </c>
      <c r="H295" s="1" t="s">
        <v>981</v>
      </c>
      <c r="I295" s="1" t="s">
        <v>982</v>
      </c>
      <c r="J295" s="1" t="s">
        <v>1541</v>
      </c>
      <c r="K295" s="1" t="s">
        <v>1424</v>
      </c>
      <c r="L295" s="1" t="s">
        <v>69</v>
      </c>
      <c r="M295" s="1" t="s">
        <v>69</v>
      </c>
      <c r="N295" s="1" t="s">
        <v>69</v>
      </c>
      <c r="O295" s="1" t="s">
        <v>69</v>
      </c>
      <c r="P295" s="1" t="s">
        <v>106</v>
      </c>
      <c r="Q295" s="1" t="s">
        <v>1180</v>
      </c>
      <c r="R295" s="1" t="s">
        <v>1844</v>
      </c>
      <c r="S295" s="1">
        <v>52</v>
      </c>
      <c r="T295" s="1" t="s">
        <v>383</v>
      </c>
      <c r="U295" s="1" t="s">
        <v>93</v>
      </c>
      <c r="V295" s="1" t="s">
        <v>110</v>
      </c>
      <c r="W295" s="1" t="s">
        <v>110</v>
      </c>
      <c r="X295" s="1">
        <v>6</v>
      </c>
      <c r="Y295" s="1">
        <v>6</v>
      </c>
      <c r="Z295" s="1" t="s">
        <v>83</v>
      </c>
      <c r="AA295" s="1">
        <v>6</v>
      </c>
      <c r="AB295" s="1">
        <v>6</v>
      </c>
      <c r="AC295" s="1" t="s">
        <v>83</v>
      </c>
      <c r="AD295" s="1">
        <v>6</v>
      </c>
      <c r="AE295" s="1">
        <v>6</v>
      </c>
      <c r="AF295" s="1" t="s">
        <v>83</v>
      </c>
      <c r="AG295" s="1">
        <v>0</v>
      </c>
      <c r="AH295" s="1">
        <v>0</v>
      </c>
      <c r="AI295" s="1" t="s">
        <v>83</v>
      </c>
      <c r="AJ295" s="1">
        <v>6</v>
      </c>
      <c r="AK295" s="1">
        <v>6</v>
      </c>
      <c r="AL295" s="1" t="s">
        <v>83</v>
      </c>
      <c r="AM295" s="1">
        <v>6</v>
      </c>
      <c r="AN295" s="1">
        <v>6</v>
      </c>
      <c r="AO295" s="1" t="s">
        <v>83</v>
      </c>
      <c r="AP295" s="1">
        <v>6</v>
      </c>
      <c r="AQ295" s="1">
        <v>6</v>
      </c>
      <c r="AR295" s="1" t="s">
        <v>83</v>
      </c>
      <c r="AS295" s="1">
        <v>6</v>
      </c>
      <c r="AT295" s="1">
        <v>6</v>
      </c>
      <c r="AU295" s="1" t="s">
        <v>83</v>
      </c>
      <c r="AV295" s="1">
        <v>6</v>
      </c>
      <c r="AW295" s="1">
        <v>6</v>
      </c>
      <c r="AX295" s="1" t="s">
        <v>83</v>
      </c>
      <c r="AY295" s="1">
        <v>0</v>
      </c>
      <c r="AZ295" s="1">
        <v>0</v>
      </c>
      <c r="BA295" s="1">
        <v>1</v>
      </c>
      <c r="BB295" s="1" t="s">
        <v>83</v>
      </c>
      <c r="BC295" s="1">
        <v>0</v>
      </c>
      <c r="BD295" s="1" t="s">
        <v>985</v>
      </c>
      <c r="BE295" s="1" t="s">
        <v>985</v>
      </c>
      <c r="BF295" s="1" t="s">
        <v>985</v>
      </c>
      <c r="BG295" s="1" t="s">
        <v>83</v>
      </c>
    </row>
    <row r="296" spans="1:59" x14ac:dyDescent="0.35">
      <c r="A296" s="1">
        <v>295</v>
      </c>
      <c r="B296" s="1">
        <v>45843.23877314815</v>
      </c>
      <c r="C296" s="1" t="s">
        <v>1845</v>
      </c>
      <c r="D296" s="1" t="s">
        <v>1846</v>
      </c>
      <c r="E296" s="1" t="s">
        <v>63</v>
      </c>
      <c r="F296" s="1" t="s">
        <v>312</v>
      </c>
      <c r="G296" s="1" t="s">
        <v>1847</v>
      </c>
      <c r="H296" s="1" t="s">
        <v>242</v>
      </c>
      <c r="I296" s="1" t="s">
        <v>243</v>
      </c>
      <c r="J296" s="1" t="s">
        <v>1189</v>
      </c>
      <c r="K296" s="1" t="s">
        <v>1848</v>
      </c>
      <c r="L296" s="1" t="s">
        <v>69</v>
      </c>
      <c r="M296" s="1" t="s">
        <v>69</v>
      </c>
      <c r="N296" s="1" t="s">
        <v>69</v>
      </c>
      <c r="O296" s="1" t="s">
        <v>69</v>
      </c>
      <c r="P296" s="1" t="s">
        <v>106</v>
      </c>
      <c r="Q296" s="1" t="s">
        <v>107</v>
      </c>
      <c r="R296" s="1" t="s">
        <v>868</v>
      </c>
      <c r="S296" s="1">
        <v>33</v>
      </c>
      <c r="T296" s="1" t="s">
        <v>109</v>
      </c>
      <c r="U296" s="1" t="s">
        <v>254</v>
      </c>
      <c r="V296" s="1" t="s">
        <v>74</v>
      </c>
      <c r="W296" s="1" t="s">
        <v>74</v>
      </c>
      <c r="X296" s="1">
        <v>6</v>
      </c>
      <c r="Y296" s="1">
        <v>6</v>
      </c>
      <c r="Z296" s="1" t="s">
        <v>83</v>
      </c>
      <c r="AA296" s="1">
        <v>6</v>
      </c>
      <c r="AB296" s="1">
        <v>6</v>
      </c>
      <c r="AC296" s="1" t="s">
        <v>83</v>
      </c>
      <c r="AD296" s="1">
        <v>6</v>
      </c>
      <c r="AE296" s="1">
        <v>6</v>
      </c>
      <c r="AF296" s="1" t="s">
        <v>83</v>
      </c>
      <c r="AG296" s="1">
        <v>0</v>
      </c>
      <c r="AH296" s="1">
        <v>0</v>
      </c>
      <c r="AI296" s="1" t="s">
        <v>83</v>
      </c>
      <c r="AJ296" s="1">
        <v>6</v>
      </c>
      <c r="AK296" s="1">
        <v>6</v>
      </c>
      <c r="AL296" s="1" t="s">
        <v>83</v>
      </c>
      <c r="AM296" s="1">
        <v>6</v>
      </c>
      <c r="AN296" s="1">
        <v>6</v>
      </c>
      <c r="AO296" s="1" t="s">
        <v>83</v>
      </c>
      <c r="AP296" s="1">
        <v>6</v>
      </c>
      <c r="AQ296" s="1">
        <v>6</v>
      </c>
      <c r="AR296" s="1" t="s">
        <v>83</v>
      </c>
      <c r="AS296" s="1">
        <v>6</v>
      </c>
      <c r="AT296" s="1">
        <v>6</v>
      </c>
      <c r="AU296" s="1" t="s">
        <v>83</v>
      </c>
      <c r="AV296" s="1">
        <v>6</v>
      </c>
      <c r="AW296" s="1">
        <v>6</v>
      </c>
      <c r="AX296" s="1" t="s">
        <v>83</v>
      </c>
      <c r="AY296" s="1">
        <v>0</v>
      </c>
      <c r="AZ296" s="1">
        <v>1</v>
      </c>
      <c r="BA296" s="1">
        <v>0</v>
      </c>
      <c r="BB296" s="1" t="s">
        <v>83</v>
      </c>
      <c r="BC296" s="1">
        <v>0</v>
      </c>
      <c r="BD296" s="1" t="s">
        <v>248</v>
      </c>
      <c r="BE296" s="1" t="s">
        <v>248</v>
      </c>
      <c r="BF296" s="1" t="s">
        <v>248</v>
      </c>
      <c r="BG296" s="1" t="s">
        <v>96</v>
      </c>
    </row>
    <row r="297" spans="1:59" x14ac:dyDescent="0.35">
      <c r="A297" s="1">
        <v>296</v>
      </c>
      <c r="B297" s="1">
        <v>45843.243587962963</v>
      </c>
      <c r="C297" s="1" t="s">
        <v>1849</v>
      </c>
      <c r="D297" s="1" t="s">
        <v>1850</v>
      </c>
      <c r="E297" s="1" t="s">
        <v>63</v>
      </c>
      <c r="F297" s="1" t="s">
        <v>63</v>
      </c>
      <c r="G297" s="1" t="s">
        <v>1851</v>
      </c>
      <c r="H297" s="1" t="s">
        <v>242</v>
      </c>
      <c r="I297" s="1" t="s">
        <v>243</v>
      </c>
      <c r="J297" s="1" t="s">
        <v>1852</v>
      </c>
      <c r="K297" s="1" t="s">
        <v>785</v>
      </c>
      <c r="L297" s="1" t="s">
        <v>69</v>
      </c>
      <c r="M297" s="1" t="s">
        <v>69</v>
      </c>
      <c r="N297" s="1" t="s">
        <v>69</v>
      </c>
      <c r="O297" s="1" t="s">
        <v>69</v>
      </c>
      <c r="P297" s="1" t="s">
        <v>106</v>
      </c>
      <c r="Q297" s="1" t="s">
        <v>107</v>
      </c>
      <c r="R297" s="1" t="s">
        <v>566</v>
      </c>
      <c r="S297" s="1">
        <v>25</v>
      </c>
      <c r="T297" s="1" t="s">
        <v>72</v>
      </c>
      <c r="U297" s="1" t="s">
        <v>73</v>
      </c>
      <c r="V297" s="1" t="s">
        <v>1853</v>
      </c>
      <c r="W297" s="1" t="s">
        <v>1853</v>
      </c>
      <c r="X297" s="1">
        <v>5</v>
      </c>
      <c r="Y297" s="1">
        <v>5</v>
      </c>
      <c r="Z297" s="1" t="s">
        <v>83</v>
      </c>
      <c r="AA297" s="1">
        <v>5</v>
      </c>
      <c r="AB297" s="1">
        <v>5</v>
      </c>
      <c r="AC297" s="1" t="s">
        <v>83</v>
      </c>
      <c r="AD297" s="1">
        <v>5</v>
      </c>
      <c r="AE297" s="1">
        <v>5</v>
      </c>
      <c r="AF297" s="1" t="s">
        <v>83</v>
      </c>
      <c r="AG297" s="1">
        <v>0</v>
      </c>
      <c r="AH297" s="1">
        <v>0</v>
      </c>
      <c r="AI297" s="1" t="s">
        <v>83</v>
      </c>
      <c r="AJ297" s="1">
        <v>5</v>
      </c>
      <c r="AK297" s="1">
        <v>5</v>
      </c>
      <c r="AL297" s="1" t="s">
        <v>83</v>
      </c>
      <c r="AM297" s="1">
        <v>5</v>
      </c>
      <c r="AN297" s="1">
        <v>5</v>
      </c>
      <c r="AO297" s="1" t="s">
        <v>83</v>
      </c>
      <c r="AP297" s="1">
        <v>6</v>
      </c>
      <c r="AQ297" s="1">
        <v>5</v>
      </c>
      <c r="AR297" s="1" t="s">
        <v>83</v>
      </c>
      <c r="AS297" s="1">
        <v>5</v>
      </c>
      <c r="AT297" s="1">
        <v>5</v>
      </c>
      <c r="AU297" s="1" t="s">
        <v>83</v>
      </c>
      <c r="AV297" s="1">
        <v>5</v>
      </c>
      <c r="AW297" s="1">
        <v>6</v>
      </c>
      <c r="AX297" s="1" t="s">
        <v>83</v>
      </c>
      <c r="AY297" s="1">
        <v>1</v>
      </c>
      <c r="AZ297" s="1">
        <v>0</v>
      </c>
      <c r="BA297" s="1">
        <v>0</v>
      </c>
      <c r="BB297" s="1" t="s">
        <v>83</v>
      </c>
      <c r="BC297" s="1">
        <v>0</v>
      </c>
      <c r="BD297" s="1" t="s">
        <v>248</v>
      </c>
      <c r="BE297" s="1" t="s">
        <v>248</v>
      </c>
      <c r="BF297" s="1" t="s">
        <v>802</v>
      </c>
      <c r="BG297" s="1" t="s">
        <v>1203</v>
      </c>
    </row>
    <row r="298" spans="1:59" x14ac:dyDescent="0.35">
      <c r="A298" s="1">
        <v>297</v>
      </c>
      <c r="B298" s="1">
        <v>45843.246724537035</v>
      </c>
      <c r="C298" s="1" t="s">
        <v>1854</v>
      </c>
      <c r="D298" s="1" t="s">
        <v>1855</v>
      </c>
      <c r="E298" s="1" t="s">
        <v>1468</v>
      </c>
      <c r="F298" s="1" t="s">
        <v>1856</v>
      </c>
      <c r="G298" s="1" t="s">
        <v>830</v>
      </c>
      <c r="H298" s="1" t="s">
        <v>242</v>
      </c>
      <c r="I298" s="1" t="s">
        <v>243</v>
      </c>
      <c r="J298" s="1" t="s">
        <v>1852</v>
      </c>
      <c r="K298" s="1" t="s">
        <v>1012</v>
      </c>
      <c r="L298" s="1" t="s">
        <v>69</v>
      </c>
      <c r="M298" s="1" t="s">
        <v>69</v>
      </c>
      <c r="N298" s="1" t="s">
        <v>69</v>
      </c>
      <c r="O298" s="1" t="s">
        <v>69</v>
      </c>
      <c r="P298" s="1" t="s">
        <v>106</v>
      </c>
      <c r="Q298" s="1" t="s">
        <v>107</v>
      </c>
      <c r="R298" s="1" t="s">
        <v>566</v>
      </c>
      <c r="S298" s="1">
        <v>25</v>
      </c>
      <c r="T298" s="1" t="s">
        <v>72</v>
      </c>
      <c r="U298" s="1" t="s">
        <v>73</v>
      </c>
      <c r="V298" s="1" t="s">
        <v>74</v>
      </c>
      <c r="W298" s="1" t="s">
        <v>74</v>
      </c>
      <c r="X298" s="1">
        <v>6</v>
      </c>
      <c r="Y298" s="1">
        <v>6</v>
      </c>
      <c r="Z298" s="1" t="s">
        <v>83</v>
      </c>
      <c r="AA298" s="1">
        <v>6</v>
      </c>
      <c r="AB298" s="1">
        <v>5</v>
      </c>
      <c r="AC298" s="1" t="s">
        <v>83</v>
      </c>
      <c r="AD298" s="1">
        <v>6</v>
      </c>
      <c r="AE298" s="1">
        <v>6</v>
      </c>
      <c r="AF298" s="1" t="s">
        <v>83</v>
      </c>
      <c r="AG298" s="1">
        <v>0</v>
      </c>
      <c r="AH298" s="1">
        <v>0</v>
      </c>
      <c r="AI298" s="1" t="s">
        <v>83</v>
      </c>
      <c r="AJ298" s="1">
        <v>6</v>
      </c>
      <c r="AK298" s="1">
        <v>6</v>
      </c>
      <c r="AL298" s="1" t="s">
        <v>83</v>
      </c>
      <c r="AM298" s="1">
        <v>6</v>
      </c>
      <c r="AN298" s="1">
        <v>6</v>
      </c>
      <c r="AO298" s="1" t="s">
        <v>83</v>
      </c>
      <c r="AP298" s="1">
        <v>6</v>
      </c>
      <c r="AQ298" s="1">
        <v>6</v>
      </c>
      <c r="AR298" s="1" t="s">
        <v>83</v>
      </c>
      <c r="AS298" s="1">
        <v>6</v>
      </c>
      <c r="AT298" s="1">
        <v>6</v>
      </c>
      <c r="AU298" s="1" t="s">
        <v>83</v>
      </c>
      <c r="AV298" s="1">
        <v>6</v>
      </c>
      <c r="AW298" s="1">
        <v>6</v>
      </c>
      <c r="AX298" s="1" t="s">
        <v>83</v>
      </c>
      <c r="AY298" s="1">
        <v>1</v>
      </c>
      <c r="AZ298" s="1">
        <v>0</v>
      </c>
      <c r="BA298" s="1">
        <v>0</v>
      </c>
      <c r="BB298" s="1" t="s">
        <v>83</v>
      </c>
      <c r="BC298" s="1">
        <v>0</v>
      </c>
      <c r="BD298" s="1" t="s">
        <v>248</v>
      </c>
      <c r="BE298" s="1" t="s">
        <v>802</v>
      </c>
      <c r="BF298" s="1" t="s">
        <v>248</v>
      </c>
      <c r="BG298" s="1" t="s">
        <v>1857</v>
      </c>
    </row>
    <row r="299" spans="1:59" x14ac:dyDescent="0.35">
      <c r="A299" s="1">
        <v>298</v>
      </c>
      <c r="B299" s="1">
        <v>45843.323530092595</v>
      </c>
      <c r="C299" s="1" t="s">
        <v>1858</v>
      </c>
      <c r="D299" s="1" t="s">
        <v>1859</v>
      </c>
      <c r="E299" s="1" t="s">
        <v>63</v>
      </c>
      <c r="F299" s="1" t="s">
        <v>757</v>
      </c>
      <c r="G299" s="1" t="s">
        <v>1860</v>
      </c>
      <c r="H299" s="1" t="s">
        <v>242</v>
      </c>
      <c r="I299" s="1" t="s">
        <v>243</v>
      </c>
      <c r="J299" s="1" t="s">
        <v>1852</v>
      </c>
      <c r="K299" s="1" t="s">
        <v>1861</v>
      </c>
      <c r="L299" s="1" t="s">
        <v>69</v>
      </c>
      <c r="M299" s="1" t="s">
        <v>69</v>
      </c>
      <c r="N299" s="1" t="s">
        <v>69</v>
      </c>
      <c r="O299" s="1" t="s">
        <v>69</v>
      </c>
      <c r="P299" s="1" t="s">
        <v>106</v>
      </c>
      <c r="Q299" s="1" t="s">
        <v>1180</v>
      </c>
      <c r="R299" s="1" t="s">
        <v>1862</v>
      </c>
      <c r="S299" s="1">
        <v>35</v>
      </c>
      <c r="T299" s="1" t="s">
        <v>109</v>
      </c>
      <c r="U299" s="1" t="s">
        <v>73</v>
      </c>
      <c r="V299" s="1" t="s">
        <v>110</v>
      </c>
      <c r="W299" s="1" t="s">
        <v>110</v>
      </c>
      <c r="X299" s="1">
        <v>5</v>
      </c>
      <c r="Y299" s="1">
        <v>5</v>
      </c>
      <c r="Z299" s="1" t="s">
        <v>83</v>
      </c>
      <c r="AA299" s="1">
        <v>5</v>
      </c>
      <c r="AB299" s="1">
        <v>4</v>
      </c>
      <c r="AC299" s="1" t="s">
        <v>83</v>
      </c>
      <c r="AD299" s="1">
        <v>4</v>
      </c>
      <c r="AE299" s="1">
        <v>6</v>
      </c>
      <c r="AF299" s="1" t="s">
        <v>83</v>
      </c>
      <c r="AG299" s="1">
        <v>3</v>
      </c>
      <c r="AH299" s="1">
        <v>5</v>
      </c>
      <c r="AI299" s="1" t="s">
        <v>2517</v>
      </c>
      <c r="AJ299" s="1">
        <v>5</v>
      </c>
      <c r="AK299" s="1">
        <v>5</v>
      </c>
      <c r="AL299" s="1" t="s">
        <v>83</v>
      </c>
      <c r="AM299" s="1">
        <v>5</v>
      </c>
      <c r="AN299" s="1">
        <v>5</v>
      </c>
      <c r="AO299" s="1" t="s">
        <v>83</v>
      </c>
      <c r="AP299" s="1">
        <v>5</v>
      </c>
      <c r="AQ299" s="1">
        <v>6</v>
      </c>
      <c r="AR299" s="1" t="s">
        <v>83</v>
      </c>
      <c r="AS299" s="1">
        <v>5</v>
      </c>
      <c r="AT299" s="1">
        <v>5</v>
      </c>
      <c r="AU299" s="1" t="s">
        <v>83</v>
      </c>
      <c r="AV299" s="1">
        <v>5</v>
      </c>
      <c r="AW299" s="1">
        <v>5</v>
      </c>
      <c r="AX299" s="1" t="s">
        <v>83</v>
      </c>
      <c r="AY299" s="1">
        <v>0</v>
      </c>
      <c r="AZ299" s="1">
        <v>0</v>
      </c>
      <c r="BA299" s="1">
        <v>2</v>
      </c>
      <c r="BB299" s="1" t="s">
        <v>83</v>
      </c>
      <c r="BC299" s="1">
        <v>0</v>
      </c>
      <c r="BD299" s="1" t="s">
        <v>1863</v>
      </c>
      <c r="BE299" s="1" t="s">
        <v>1864</v>
      </c>
      <c r="BF299" s="1" t="s">
        <v>1863</v>
      </c>
      <c r="BG299" s="1" t="s">
        <v>1865</v>
      </c>
    </row>
    <row r="300" spans="1:59" x14ac:dyDescent="0.35">
      <c r="A300" s="1">
        <v>299</v>
      </c>
      <c r="B300" s="1">
        <v>45843.327847222223</v>
      </c>
      <c r="C300" s="1" t="s">
        <v>1866</v>
      </c>
      <c r="D300" s="1" t="s">
        <v>1867</v>
      </c>
      <c r="E300" s="1" t="s">
        <v>63</v>
      </c>
      <c r="F300" s="1" t="s">
        <v>63</v>
      </c>
      <c r="G300" s="1" t="s">
        <v>1868</v>
      </c>
      <c r="H300" s="1" t="s">
        <v>242</v>
      </c>
      <c r="I300" s="1" t="s">
        <v>243</v>
      </c>
      <c r="J300" s="1" t="s">
        <v>1869</v>
      </c>
      <c r="K300" s="1" t="s">
        <v>845</v>
      </c>
      <c r="L300" s="1" t="s">
        <v>69</v>
      </c>
      <c r="M300" s="1" t="s">
        <v>69</v>
      </c>
      <c r="N300" s="1" t="s">
        <v>69</v>
      </c>
      <c r="O300" s="1" t="s">
        <v>69</v>
      </c>
      <c r="P300" s="1" t="s">
        <v>106</v>
      </c>
      <c r="Q300" s="1" t="s">
        <v>1180</v>
      </c>
      <c r="R300" s="1" t="s">
        <v>1123</v>
      </c>
      <c r="S300" s="1">
        <v>48</v>
      </c>
      <c r="T300" s="1" t="s">
        <v>225</v>
      </c>
      <c r="U300" s="1" t="s">
        <v>254</v>
      </c>
      <c r="V300" s="1" t="s">
        <v>74</v>
      </c>
      <c r="W300" s="1" t="s">
        <v>74</v>
      </c>
      <c r="X300" s="1">
        <v>6</v>
      </c>
      <c r="Y300" s="1">
        <v>6</v>
      </c>
      <c r="Z300" s="1" t="s">
        <v>83</v>
      </c>
      <c r="AA300" s="1">
        <v>6</v>
      </c>
      <c r="AB300" s="1">
        <v>6</v>
      </c>
      <c r="AC300" s="1" t="s">
        <v>83</v>
      </c>
      <c r="AD300" s="1">
        <v>6</v>
      </c>
      <c r="AE300" s="1">
        <v>6</v>
      </c>
      <c r="AF300" s="1" t="s">
        <v>83</v>
      </c>
      <c r="AG300" s="1">
        <v>6</v>
      </c>
      <c r="AH300" s="1">
        <v>6</v>
      </c>
      <c r="AI300" s="1" t="s">
        <v>83</v>
      </c>
      <c r="AJ300" s="1">
        <v>6</v>
      </c>
      <c r="AK300" s="1">
        <v>6</v>
      </c>
      <c r="AL300" s="1" t="s">
        <v>83</v>
      </c>
      <c r="AM300" s="1">
        <v>5</v>
      </c>
      <c r="AN300" s="1">
        <v>6</v>
      </c>
      <c r="AO300" s="1" t="s">
        <v>83</v>
      </c>
      <c r="AP300" s="1">
        <v>6</v>
      </c>
      <c r="AQ300" s="1">
        <v>6</v>
      </c>
      <c r="AR300" s="1" t="s">
        <v>83</v>
      </c>
      <c r="AS300" s="1">
        <v>6</v>
      </c>
      <c r="AT300" s="1">
        <v>6</v>
      </c>
      <c r="AU300" s="1" t="s">
        <v>83</v>
      </c>
      <c r="AV300" s="1">
        <v>6</v>
      </c>
      <c r="AW300" s="1">
        <v>6</v>
      </c>
      <c r="AX300" s="1" t="s">
        <v>83</v>
      </c>
      <c r="AY300" s="1">
        <v>1</v>
      </c>
      <c r="AZ300" s="1">
        <v>0</v>
      </c>
      <c r="BA300" s="1">
        <v>0</v>
      </c>
      <c r="BB300" s="1" t="s">
        <v>83</v>
      </c>
      <c r="BC300" s="1">
        <v>0</v>
      </c>
      <c r="BD300" s="1" t="s">
        <v>1863</v>
      </c>
      <c r="BE300" s="1" t="s">
        <v>1863</v>
      </c>
      <c r="BF300" s="1" t="s">
        <v>1863</v>
      </c>
      <c r="BG300" s="1" t="s">
        <v>1203</v>
      </c>
    </row>
    <row r="301" spans="1:59" x14ac:dyDescent="0.35">
      <c r="A301" s="1">
        <v>300</v>
      </c>
      <c r="B301" s="1">
        <v>45843.331261574072</v>
      </c>
      <c r="C301" s="1" t="s">
        <v>1870</v>
      </c>
      <c r="D301" s="1" t="s">
        <v>1871</v>
      </c>
      <c r="E301" s="1" t="s">
        <v>63</v>
      </c>
      <c r="F301" s="1" t="s">
        <v>86</v>
      </c>
      <c r="G301" s="1" t="s">
        <v>1872</v>
      </c>
      <c r="H301" s="1" t="s">
        <v>242</v>
      </c>
      <c r="I301" s="1" t="s">
        <v>243</v>
      </c>
      <c r="J301" s="1" t="s">
        <v>1869</v>
      </c>
      <c r="K301" s="1" t="s">
        <v>1873</v>
      </c>
      <c r="L301" s="1" t="s">
        <v>69</v>
      </c>
      <c r="M301" s="1" t="s">
        <v>69</v>
      </c>
      <c r="N301" s="1" t="s">
        <v>69</v>
      </c>
      <c r="O301" s="1" t="s">
        <v>69</v>
      </c>
      <c r="P301" s="1" t="s">
        <v>106</v>
      </c>
      <c r="Q301" s="1" t="s">
        <v>1168</v>
      </c>
      <c r="R301" s="1" t="s">
        <v>1160</v>
      </c>
      <c r="S301" s="1">
        <v>56</v>
      </c>
      <c r="T301" s="1" t="s">
        <v>182</v>
      </c>
      <c r="U301" s="1" t="s">
        <v>273</v>
      </c>
      <c r="V301" s="1" t="s">
        <v>74</v>
      </c>
      <c r="W301" s="1" t="s">
        <v>74</v>
      </c>
      <c r="X301" s="1">
        <v>6</v>
      </c>
      <c r="Y301" s="1">
        <v>5</v>
      </c>
      <c r="Z301" s="1" t="s">
        <v>83</v>
      </c>
      <c r="AA301" s="1">
        <v>5</v>
      </c>
      <c r="AB301" s="1">
        <v>5</v>
      </c>
      <c r="AC301" s="1" t="s">
        <v>83</v>
      </c>
      <c r="AD301" s="1">
        <v>5</v>
      </c>
      <c r="AE301" s="1">
        <v>5</v>
      </c>
      <c r="AF301" s="1" t="s">
        <v>83</v>
      </c>
      <c r="AG301" s="1">
        <v>0</v>
      </c>
      <c r="AH301" s="1">
        <v>0</v>
      </c>
      <c r="AI301" s="1" t="s">
        <v>83</v>
      </c>
      <c r="AJ301" s="1">
        <v>5</v>
      </c>
      <c r="AK301" s="1">
        <v>6</v>
      </c>
      <c r="AL301" s="1" t="s">
        <v>83</v>
      </c>
      <c r="AM301" s="1">
        <v>5</v>
      </c>
      <c r="AN301" s="1">
        <v>6</v>
      </c>
      <c r="AO301" s="1" t="s">
        <v>83</v>
      </c>
      <c r="AP301" s="1">
        <v>6</v>
      </c>
      <c r="AQ301" s="1">
        <v>6</v>
      </c>
      <c r="AR301" s="1" t="s">
        <v>83</v>
      </c>
      <c r="AS301" s="1">
        <v>6</v>
      </c>
      <c r="AT301" s="1">
        <v>6</v>
      </c>
      <c r="AU301" s="1" t="s">
        <v>83</v>
      </c>
      <c r="AV301" s="1">
        <v>5</v>
      </c>
      <c r="AW301" s="1">
        <v>6</v>
      </c>
      <c r="AX301" s="1" t="s">
        <v>83</v>
      </c>
      <c r="AY301" s="1">
        <v>0</v>
      </c>
      <c r="AZ301" s="1">
        <v>0</v>
      </c>
      <c r="BA301" s="1">
        <v>1</v>
      </c>
      <c r="BB301" s="1" t="s">
        <v>83</v>
      </c>
      <c r="BC301" s="1">
        <v>0</v>
      </c>
      <c r="BD301" s="1" t="s">
        <v>248</v>
      </c>
      <c r="BE301" s="1" t="s">
        <v>802</v>
      </c>
      <c r="BF301" s="1" t="s">
        <v>1874</v>
      </c>
      <c r="BG301" s="1" t="s">
        <v>1857</v>
      </c>
    </row>
    <row r="302" spans="1:59" x14ac:dyDescent="0.35">
      <c r="A302" s="1">
        <v>301</v>
      </c>
      <c r="B302" s="1">
        <v>45843.33730324074</v>
      </c>
      <c r="C302" s="1" t="s">
        <v>1876</v>
      </c>
      <c r="D302" s="1" t="s">
        <v>1877</v>
      </c>
      <c r="E302" s="1" t="s">
        <v>63</v>
      </c>
      <c r="F302" s="1" t="s">
        <v>397</v>
      </c>
      <c r="G302" s="1" t="s">
        <v>1878</v>
      </c>
      <c r="H302" s="1" t="s">
        <v>242</v>
      </c>
      <c r="I302" s="1" t="s">
        <v>243</v>
      </c>
      <c r="J302" s="1" t="s">
        <v>1189</v>
      </c>
      <c r="K302" s="1" t="s">
        <v>1879</v>
      </c>
      <c r="L302" s="1" t="s">
        <v>69</v>
      </c>
      <c r="M302" s="1" t="s">
        <v>69</v>
      </c>
      <c r="N302" s="1" t="s">
        <v>69</v>
      </c>
      <c r="O302" s="1" t="s">
        <v>69</v>
      </c>
      <c r="P302" s="1" t="s">
        <v>70</v>
      </c>
      <c r="Q302" s="1" t="s">
        <v>1168</v>
      </c>
      <c r="R302" s="1" t="s">
        <v>807</v>
      </c>
      <c r="S302" s="1">
        <v>36</v>
      </c>
      <c r="T302" s="1" t="s">
        <v>153</v>
      </c>
      <c r="U302" s="1" t="s">
        <v>73</v>
      </c>
      <c r="V302" s="1" t="s">
        <v>232</v>
      </c>
      <c r="W302" s="1" t="s">
        <v>232</v>
      </c>
      <c r="X302" s="1">
        <v>5</v>
      </c>
      <c r="Y302" s="1">
        <v>5</v>
      </c>
      <c r="Z302" s="1" t="s">
        <v>83</v>
      </c>
      <c r="AA302" s="1">
        <v>5</v>
      </c>
      <c r="AB302" s="1">
        <v>5</v>
      </c>
      <c r="AC302" s="1" t="s">
        <v>83</v>
      </c>
      <c r="AD302" s="1">
        <v>4</v>
      </c>
      <c r="AE302" s="1">
        <v>6</v>
      </c>
      <c r="AF302" s="1" t="s">
        <v>83</v>
      </c>
      <c r="AG302" s="1">
        <v>0</v>
      </c>
      <c r="AH302" s="1">
        <v>0</v>
      </c>
      <c r="AI302" s="1" t="s">
        <v>83</v>
      </c>
      <c r="AJ302" s="1">
        <v>5</v>
      </c>
      <c r="AK302" s="1">
        <v>5</v>
      </c>
      <c r="AL302" s="1" t="s">
        <v>83</v>
      </c>
      <c r="AM302" s="1">
        <v>5</v>
      </c>
      <c r="AN302" s="1">
        <v>6</v>
      </c>
      <c r="AO302" s="1" t="s">
        <v>83</v>
      </c>
      <c r="AP302" s="1">
        <v>6</v>
      </c>
      <c r="AQ302" s="1">
        <v>6</v>
      </c>
      <c r="AR302" s="1" t="s">
        <v>83</v>
      </c>
      <c r="AS302" s="1">
        <v>5</v>
      </c>
      <c r="AT302" s="1">
        <v>6</v>
      </c>
      <c r="AU302" s="1" t="s">
        <v>83</v>
      </c>
      <c r="AV302" s="1">
        <v>6</v>
      </c>
      <c r="AW302" s="1">
        <v>6</v>
      </c>
      <c r="AX302" s="1" t="s">
        <v>83</v>
      </c>
      <c r="AY302" s="1">
        <v>0</v>
      </c>
      <c r="AZ302" s="1">
        <v>0</v>
      </c>
      <c r="BA302" s="1">
        <v>2</v>
      </c>
      <c r="BB302" s="1" t="s">
        <v>83</v>
      </c>
      <c r="BC302" s="1">
        <v>0</v>
      </c>
      <c r="BD302" s="1" t="s">
        <v>248</v>
      </c>
      <c r="BE302" s="1" t="s">
        <v>1880</v>
      </c>
      <c r="BF302" s="1" t="s">
        <v>248</v>
      </c>
      <c r="BG302" s="1" t="s">
        <v>1857</v>
      </c>
    </row>
    <row r="303" spans="1:59" x14ac:dyDescent="0.35">
      <c r="A303" s="1">
        <v>302</v>
      </c>
      <c r="B303" s="1">
        <v>45843.340752314813</v>
      </c>
      <c r="C303" s="1" t="s">
        <v>1881</v>
      </c>
      <c r="D303" s="1" t="s">
        <v>1882</v>
      </c>
      <c r="E303" s="1" t="s">
        <v>1883</v>
      </c>
      <c r="F303" s="1" t="s">
        <v>416</v>
      </c>
      <c r="G303" s="1" t="s">
        <v>1884</v>
      </c>
      <c r="H303" s="1" t="s">
        <v>242</v>
      </c>
      <c r="I303" s="1" t="s">
        <v>243</v>
      </c>
      <c r="J303" s="1" t="s">
        <v>1869</v>
      </c>
      <c r="K303" s="1" t="s">
        <v>1885</v>
      </c>
      <c r="L303" s="1" t="s">
        <v>69</v>
      </c>
      <c r="M303" s="1" t="s">
        <v>69</v>
      </c>
      <c r="N303" s="1" t="s">
        <v>69</v>
      </c>
      <c r="O303" s="1" t="s">
        <v>69</v>
      </c>
      <c r="P303" s="1" t="s">
        <v>106</v>
      </c>
      <c r="Q303" s="1" t="s">
        <v>1180</v>
      </c>
      <c r="R303" s="1" t="s">
        <v>1208</v>
      </c>
      <c r="S303" s="1">
        <v>55</v>
      </c>
      <c r="T303" s="1" t="s">
        <v>383</v>
      </c>
      <c r="U303" s="1" t="s">
        <v>73</v>
      </c>
      <c r="V303" s="1" t="s">
        <v>74</v>
      </c>
      <c r="W303" s="1" t="s">
        <v>74</v>
      </c>
      <c r="X303" s="1">
        <v>5</v>
      </c>
      <c r="Y303" s="1">
        <v>6</v>
      </c>
      <c r="Z303" s="1" t="s">
        <v>83</v>
      </c>
      <c r="AA303" s="1">
        <v>5</v>
      </c>
      <c r="AB303" s="1">
        <v>6</v>
      </c>
      <c r="AC303" s="1" t="s">
        <v>83</v>
      </c>
      <c r="AD303" s="1">
        <v>5</v>
      </c>
      <c r="AE303" s="1">
        <v>6</v>
      </c>
      <c r="AF303" s="1" t="s">
        <v>83</v>
      </c>
      <c r="AG303" s="1">
        <v>0</v>
      </c>
      <c r="AH303" s="1">
        <v>0</v>
      </c>
      <c r="AI303" s="1" t="s">
        <v>83</v>
      </c>
      <c r="AJ303" s="1">
        <v>6</v>
      </c>
      <c r="AK303" s="1">
        <v>5</v>
      </c>
      <c r="AL303" s="1" t="s">
        <v>83</v>
      </c>
      <c r="AM303" s="1">
        <v>5</v>
      </c>
      <c r="AN303" s="1">
        <v>5</v>
      </c>
      <c r="AO303" s="1" t="s">
        <v>83</v>
      </c>
      <c r="AP303" s="1">
        <v>5</v>
      </c>
      <c r="AQ303" s="1">
        <v>6</v>
      </c>
      <c r="AR303" s="1" t="s">
        <v>83</v>
      </c>
      <c r="AS303" s="1">
        <v>5</v>
      </c>
      <c r="AT303" s="1">
        <v>6</v>
      </c>
      <c r="AU303" s="1" t="s">
        <v>83</v>
      </c>
      <c r="AV303" s="1">
        <v>5</v>
      </c>
      <c r="AW303" s="1">
        <v>5</v>
      </c>
      <c r="AX303" s="1" t="s">
        <v>83</v>
      </c>
      <c r="AY303" s="1">
        <v>0</v>
      </c>
      <c r="AZ303" s="1">
        <v>0</v>
      </c>
      <c r="BA303" s="1">
        <v>0</v>
      </c>
      <c r="BB303" s="1" t="s">
        <v>144</v>
      </c>
      <c r="BC303" s="1">
        <v>2</v>
      </c>
      <c r="BD303" s="1" t="s">
        <v>248</v>
      </c>
      <c r="BE303" s="1" t="s">
        <v>1886</v>
      </c>
      <c r="BF303" s="1" t="s">
        <v>248</v>
      </c>
      <c r="BG303" s="1" t="s">
        <v>1857</v>
      </c>
    </row>
    <row r="304" spans="1:59" x14ac:dyDescent="0.35">
      <c r="A304" s="1">
        <v>303</v>
      </c>
      <c r="B304" s="1">
        <v>45843.343738425923</v>
      </c>
      <c r="C304" s="1" t="s">
        <v>1887</v>
      </c>
      <c r="D304" s="1" t="s">
        <v>1888</v>
      </c>
      <c r="E304" s="1" t="s">
        <v>63</v>
      </c>
      <c r="F304" s="1" t="s">
        <v>338</v>
      </c>
      <c r="G304" s="1" t="s">
        <v>1889</v>
      </c>
      <c r="H304" s="1" t="s">
        <v>242</v>
      </c>
      <c r="I304" s="1" t="s">
        <v>243</v>
      </c>
      <c r="J304" s="1" t="s">
        <v>1869</v>
      </c>
      <c r="K304" s="1" t="s">
        <v>1890</v>
      </c>
      <c r="L304" s="1" t="s">
        <v>69</v>
      </c>
      <c r="M304" s="1" t="s">
        <v>69</v>
      </c>
      <c r="N304" s="1" t="s">
        <v>69</v>
      </c>
      <c r="O304" s="1" t="s">
        <v>69</v>
      </c>
      <c r="P304" s="1" t="s">
        <v>70</v>
      </c>
      <c r="Q304" s="1" t="s">
        <v>1168</v>
      </c>
      <c r="R304" s="1" t="s">
        <v>272</v>
      </c>
      <c r="S304" s="1">
        <v>43</v>
      </c>
      <c r="T304" s="1" t="s">
        <v>197</v>
      </c>
      <c r="U304" s="1" t="s">
        <v>73</v>
      </c>
      <c r="V304" s="1" t="s">
        <v>1891</v>
      </c>
      <c r="W304" s="1" t="s">
        <v>110</v>
      </c>
      <c r="X304" s="1">
        <v>5</v>
      </c>
      <c r="Y304" s="1">
        <v>6</v>
      </c>
      <c r="Z304" s="1" t="s">
        <v>83</v>
      </c>
      <c r="AA304" s="1">
        <v>5</v>
      </c>
      <c r="AB304" s="1">
        <v>5</v>
      </c>
      <c r="AC304" s="1" t="s">
        <v>83</v>
      </c>
      <c r="AD304" s="1">
        <v>5</v>
      </c>
      <c r="AE304" s="1">
        <v>6</v>
      </c>
      <c r="AF304" s="1" t="s">
        <v>83</v>
      </c>
      <c r="AG304" s="1">
        <v>0</v>
      </c>
      <c r="AH304" s="1">
        <v>0</v>
      </c>
      <c r="AI304" s="1" t="s">
        <v>83</v>
      </c>
      <c r="AJ304" s="1">
        <v>5</v>
      </c>
      <c r="AK304" s="1">
        <v>5</v>
      </c>
      <c r="AL304" s="1" t="s">
        <v>83</v>
      </c>
      <c r="AM304" s="1">
        <v>5</v>
      </c>
      <c r="AN304" s="1">
        <v>5</v>
      </c>
      <c r="AO304" s="1" t="s">
        <v>83</v>
      </c>
      <c r="AP304" s="1">
        <v>6</v>
      </c>
      <c r="AQ304" s="1">
        <v>5</v>
      </c>
      <c r="AR304" s="1" t="s">
        <v>83</v>
      </c>
      <c r="AS304" s="1">
        <v>5</v>
      </c>
      <c r="AT304" s="1">
        <v>5</v>
      </c>
      <c r="AU304" s="1" t="s">
        <v>83</v>
      </c>
      <c r="AV304" s="1">
        <v>5</v>
      </c>
      <c r="AW304" s="1">
        <v>5</v>
      </c>
      <c r="AX304" s="1" t="s">
        <v>83</v>
      </c>
      <c r="AY304" s="1">
        <v>0</v>
      </c>
      <c r="AZ304" s="1">
        <v>0</v>
      </c>
      <c r="BA304" s="1">
        <v>2</v>
      </c>
      <c r="BB304" s="1" t="s">
        <v>83</v>
      </c>
      <c r="BC304" s="1">
        <v>0</v>
      </c>
      <c r="BD304" s="1" t="s">
        <v>248</v>
      </c>
      <c r="BE304" s="1" t="s">
        <v>248</v>
      </c>
      <c r="BF304" s="1" t="s">
        <v>248</v>
      </c>
      <c r="BG304" s="1" t="s">
        <v>1857</v>
      </c>
    </row>
    <row r="305" spans="1:59" x14ac:dyDescent="0.35">
      <c r="A305" s="1">
        <v>304</v>
      </c>
      <c r="B305" s="1">
        <v>45843.349664351852</v>
      </c>
      <c r="C305" s="1" t="s">
        <v>1892</v>
      </c>
      <c r="D305" s="1" t="s">
        <v>1893</v>
      </c>
      <c r="E305" s="1" t="s">
        <v>63</v>
      </c>
      <c r="F305" s="1" t="s">
        <v>338</v>
      </c>
      <c r="G305" s="1" t="s">
        <v>1894</v>
      </c>
      <c r="H305" s="1" t="s">
        <v>242</v>
      </c>
      <c r="I305" s="1" t="s">
        <v>243</v>
      </c>
      <c r="J305" s="1" t="s">
        <v>1634</v>
      </c>
      <c r="K305" s="1" t="s">
        <v>1895</v>
      </c>
      <c r="L305" s="1" t="s">
        <v>69</v>
      </c>
      <c r="M305" s="1" t="s">
        <v>69</v>
      </c>
      <c r="N305" s="1" t="s">
        <v>69</v>
      </c>
      <c r="O305" s="1" t="s">
        <v>69</v>
      </c>
      <c r="P305" s="1" t="s">
        <v>70</v>
      </c>
      <c r="Q305" s="1" t="s">
        <v>1168</v>
      </c>
      <c r="R305" s="1" t="s">
        <v>1045</v>
      </c>
      <c r="S305" s="1">
        <v>29</v>
      </c>
      <c r="T305" s="1" t="s">
        <v>92</v>
      </c>
      <c r="U305" s="1" t="s">
        <v>93</v>
      </c>
      <c r="V305" s="1" t="s">
        <v>74</v>
      </c>
      <c r="W305" s="1" t="s">
        <v>74</v>
      </c>
      <c r="X305" s="1">
        <v>5</v>
      </c>
      <c r="Y305" s="1">
        <v>5</v>
      </c>
      <c r="Z305" s="1" t="s">
        <v>83</v>
      </c>
      <c r="AA305" s="1">
        <v>5</v>
      </c>
      <c r="AB305" s="1">
        <v>5</v>
      </c>
      <c r="AC305" s="1" t="s">
        <v>83</v>
      </c>
      <c r="AD305" s="1">
        <v>3</v>
      </c>
      <c r="AE305" s="1">
        <v>5</v>
      </c>
      <c r="AF305" s="1" t="s">
        <v>2518</v>
      </c>
      <c r="AG305" s="1">
        <v>0</v>
      </c>
      <c r="AH305" s="1">
        <v>0</v>
      </c>
      <c r="AI305" s="1" t="s">
        <v>83</v>
      </c>
      <c r="AJ305" s="1">
        <v>5</v>
      </c>
      <c r="AK305" s="1">
        <v>5</v>
      </c>
      <c r="AL305" s="1" t="s">
        <v>83</v>
      </c>
      <c r="AM305" s="1">
        <v>5</v>
      </c>
      <c r="AN305" s="1">
        <v>5</v>
      </c>
      <c r="AO305" s="1" t="s">
        <v>83</v>
      </c>
      <c r="AP305" s="1">
        <v>6</v>
      </c>
      <c r="AQ305" s="1">
        <v>6</v>
      </c>
      <c r="AR305" s="1" t="s">
        <v>83</v>
      </c>
      <c r="AS305" s="1">
        <v>4</v>
      </c>
      <c r="AT305" s="1">
        <v>6</v>
      </c>
      <c r="AU305" s="1" t="s">
        <v>83</v>
      </c>
      <c r="AV305" s="1">
        <v>5</v>
      </c>
      <c r="AW305" s="1">
        <v>6</v>
      </c>
      <c r="AX305" s="1" t="s">
        <v>83</v>
      </c>
      <c r="AY305" s="1">
        <v>0</v>
      </c>
      <c r="AZ305" s="1">
        <v>2</v>
      </c>
      <c r="BA305" s="1">
        <v>0</v>
      </c>
      <c r="BB305" s="1" t="s">
        <v>83</v>
      </c>
      <c r="BC305" s="1">
        <v>0</v>
      </c>
      <c r="BD305" s="1" t="s">
        <v>1896</v>
      </c>
      <c r="BE305" s="1" t="s">
        <v>1897</v>
      </c>
      <c r="BF305" s="1" t="s">
        <v>248</v>
      </c>
      <c r="BG305" s="1" t="s">
        <v>1898</v>
      </c>
    </row>
    <row r="306" spans="1:59" x14ac:dyDescent="0.35">
      <c r="A306" s="1">
        <v>305</v>
      </c>
      <c r="B306" s="1">
        <v>45843.356365740743</v>
      </c>
      <c r="C306" s="1" t="s">
        <v>1899</v>
      </c>
      <c r="D306" s="1" t="s">
        <v>1900</v>
      </c>
      <c r="E306" s="1" t="s">
        <v>63</v>
      </c>
      <c r="F306" s="1" t="s">
        <v>149</v>
      </c>
      <c r="G306" s="1" t="s">
        <v>1901</v>
      </c>
      <c r="H306" s="1" t="s">
        <v>242</v>
      </c>
      <c r="I306" s="1" t="s">
        <v>243</v>
      </c>
      <c r="J306" s="1" t="s">
        <v>1869</v>
      </c>
      <c r="K306" s="1" t="s">
        <v>1902</v>
      </c>
      <c r="L306" s="1" t="s">
        <v>69</v>
      </c>
      <c r="M306" s="1" t="s">
        <v>69</v>
      </c>
      <c r="N306" s="1" t="s">
        <v>69</v>
      </c>
      <c r="O306" s="1" t="s">
        <v>69</v>
      </c>
      <c r="P306" s="1" t="s">
        <v>70</v>
      </c>
      <c r="Q306" s="1" t="s">
        <v>1168</v>
      </c>
      <c r="R306" s="1" t="s">
        <v>561</v>
      </c>
      <c r="S306" s="1">
        <v>45</v>
      </c>
      <c r="T306" s="1" t="s">
        <v>197</v>
      </c>
      <c r="U306" s="1" t="s">
        <v>73</v>
      </c>
      <c r="V306" s="1" t="s">
        <v>232</v>
      </c>
      <c r="W306" s="1" t="s">
        <v>232</v>
      </c>
      <c r="X306" s="1">
        <v>5</v>
      </c>
      <c r="Y306" s="1">
        <v>5</v>
      </c>
      <c r="Z306" s="1" t="s">
        <v>83</v>
      </c>
      <c r="AA306" s="1">
        <v>5</v>
      </c>
      <c r="AB306" s="1">
        <v>5</v>
      </c>
      <c r="AC306" s="1" t="s">
        <v>83</v>
      </c>
      <c r="AD306" s="1">
        <v>5</v>
      </c>
      <c r="AE306" s="1">
        <v>5</v>
      </c>
      <c r="AF306" s="1" t="s">
        <v>83</v>
      </c>
      <c r="AG306" s="1">
        <v>0</v>
      </c>
      <c r="AH306" s="1">
        <v>0</v>
      </c>
      <c r="AI306" s="1" t="s">
        <v>83</v>
      </c>
      <c r="AJ306" s="1">
        <v>5</v>
      </c>
      <c r="AK306" s="1">
        <v>5</v>
      </c>
      <c r="AL306" s="1" t="s">
        <v>83</v>
      </c>
      <c r="AM306" s="1">
        <v>5</v>
      </c>
      <c r="AN306" s="1">
        <v>6</v>
      </c>
      <c r="AO306" s="1" t="s">
        <v>83</v>
      </c>
      <c r="AP306" s="1">
        <v>6</v>
      </c>
      <c r="AQ306" s="1">
        <v>6</v>
      </c>
      <c r="AR306" s="1" t="s">
        <v>83</v>
      </c>
      <c r="AS306" s="1">
        <v>5</v>
      </c>
      <c r="AT306" s="1">
        <v>6</v>
      </c>
      <c r="AU306" s="1" t="s">
        <v>83</v>
      </c>
      <c r="AV306" s="1">
        <v>5</v>
      </c>
      <c r="AW306" s="1">
        <v>6</v>
      </c>
      <c r="AX306" s="1" t="s">
        <v>83</v>
      </c>
      <c r="AY306" s="1">
        <v>0</v>
      </c>
      <c r="AZ306" s="1">
        <v>0</v>
      </c>
      <c r="BA306" s="1">
        <v>2</v>
      </c>
      <c r="BB306" s="1" t="s">
        <v>83</v>
      </c>
      <c r="BC306" s="1">
        <v>0</v>
      </c>
      <c r="BD306" s="1" t="s">
        <v>248</v>
      </c>
      <c r="BE306" s="1" t="s">
        <v>248</v>
      </c>
      <c r="BF306" s="1" t="s">
        <v>1903</v>
      </c>
      <c r="BG306" s="1" t="s">
        <v>1857</v>
      </c>
    </row>
    <row r="307" spans="1:59" x14ac:dyDescent="0.35">
      <c r="A307" s="1">
        <v>306</v>
      </c>
      <c r="B307" s="1">
        <v>45843.360578703701</v>
      </c>
      <c r="C307" s="1" t="s">
        <v>1904</v>
      </c>
      <c r="D307" s="1" t="s">
        <v>1905</v>
      </c>
      <c r="E307" s="1" t="s">
        <v>772</v>
      </c>
      <c r="F307" s="1" t="s">
        <v>1906</v>
      </c>
      <c r="G307" s="1" t="s">
        <v>1907</v>
      </c>
      <c r="H307" s="1" t="s">
        <v>242</v>
      </c>
      <c r="I307" s="1" t="s">
        <v>243</v>
      </c>
      <c r="J307" s="1" t="s">
        <v>1869</v>
      </c>
      <c r="K307" s="1" t="s">
        <v>512</v>
      </c>
      <c r="L307" s="1" t="s">
        <v>69</v>
      </c>
      <c r="M307" s="1" t="s">
        <v>69</v>
      </c>
      <c r="N307" s="1" t="s">
        <v>69</v>
      </c>
      <c r="O307" s="1" t="s">
        <v>69</v>
      </c>
      <c r="P307" s="1" t="s">
        <v>70</v>
      </c>
      <c r="Q307" s="1" t="s">
        <v>1168</v>
      </c>
      <c r="R307" s="1" t="s">
        <v>272</v>
      </c>
      <c r="S307" s="1">
        <v>43</v>
      </c>
      <c r="T307" s="1" t="s">
        <v>197</v>
      </c>
      <c r="U307" s="1" t="s">
        <v>73</v>
      </c>
      <c r="V307" s="1" t="s">
        <v>232</v>
      </c>
      <c r="W307" s="1" t="s">
        <v>232</v>
      </c>
      <c r="X307" s="1">
        <v>5</v>
      </c>
      <c r="Y307" s="1">
        <v>5</v>
      </c>
      <c r="Z307" s="1" t="s">
        <v>83</v>
      </c>
      <c r="AA307" s="1">
        <v>4</v>
      </c>
      <c r="AB307" s="1">
        <v>5</v>
      </c>
      <c r="AC307" s="1" t="s">
        <v>83</v>
      </c>
      <c r="AD307" s="1">
        <v>3</v>
      </c>
      <c r="AE307" s="1">
        <v>6</v>
      </c>
      <c r="AF307" s="1" t="s">
        <v>2519</v>
      </c>
      <c r="AG307" s="1">
        <v>0</v>
      </c>
      <c r="AH307" s="1">
        <v>0</v>
      </c>
      <c r="AI307" s="1" t="s">
        <v>83</v>
      </c>
      <c r="AJ307" s="1">
        <v>5</v>
      </c>
      <c r="AK307" s="1">
        <v>5</v>
      </c>
      <c r="AL307" s="1" t="s">
        <v>83</v>
      </c>
      <c r="AM307" s="1">
        <v>6</v>
      </c>
      <c r="AN307" s="1">
        <v>5</v>
      </c>
      <c r="AO307" s="1" t="s">
        <v>83</v>
      </c>
      <c r="AP307" s="1">
        <v>6</v>
      </c>
      <c r="AQ307" s="1">
        <v>6</v>
      </c>
      <c r="AR307" s="1" t="s">
        <v>83</v>
      </c>
      <c r="AS307" s="1">
        <v>5</v>
      </c>
      <c r="AT307" s="1">
        <v>6</v>
      </c>
      <c r="AU307" s="1" t="s">
        <v>83</v>
      </c>
      <c r="AV307" s="1">
        <v>5</v>
      </c>
      <c r="AW307" s="1">
        <v>6</v>
      </c>
      <c r="AX307" s="1" t="s">
        <v>83</v>
      </c>
      <c r="AY307" s="1">
        <v>0</v>
      </c>
      <c r="AZ307" s="1">
        <v>0</v>
      </c>
      <c r="BA307" s="1">
        <v>0</v>
      </c>
      <c r="BB307" s="1" t="s">
        <v>1908</v>
      </c>
      <c r="BC307" s="1">
        <v>2</v>
      </c>
      <c r="BD307" s="1" t="s">
        <v>278</v>
      </c>
      <c r="BE307" s="1" t="s">
        <v>1909</v>
      </c>
      <c r="BF307" s="1" t="s">
        <v>248</v>
      </c>
      <c r="BG307" s="1" t="s">
        <v>1910</v>
      </c>
    </row>
    <row r="308" spans="1:59" x14ac:dyDescent="0.35">
      <c r="A308" s="1">
        <v>307</v>
      </c>
      <c r="B308" s="1">
        <v>45843.372546296298</v>
      </c>
      <c r="C308" s="1" t="s">
        <v>1911</v>
      </c>
      <c r="D308" s="1" t="s">
        <v>1912</v>
      </c>
      <c r="E308" s="1" t="s">
        <v>63</v>
      </c>
      <c r="F308" s="1" t="s">
        <v>63</v>
      </c>
      <c r="G308" s="1" t="s">
        <v>1913</v>
      </c>
      <c r="H308" s="1" t="s">
        <v>242</v>
      </c>
      <c r="I308" s="1" t="s">
        <v>243</v>
      </c>
      <c r="J308" s="1" t="s">
        <v>1869</v>
      </c>
      <c r="K308" s="1" t="s">
        <v>1914</v>
      </c>
      <c r="L308" s="1" t="s">
        <v>69</v>
      </c>
      <c r="M308" s="1" t="s">
        <v>69</v>
      </c>
      <c r="N308" s="1" t="s">
        <v>69</v>
      </c>
      <c r="O308" s="1" t="s">
        <v>69</v>
      </c>
      <c r="P308" s="1" t="s">
        <v>70</v>
      </c>
      <c r="Q308" s="1" t="s">
        <v>1168</v>
      </c>
      <c r="R308" s="1" t="s">
        <v>1160</v>
      </c>
      <c r="S308" s="1">
        <v>56</v>
      </c>
      <c r="T308" s="1" t="s">
        <v>182</v>
      </c>
      <c r="U308" s="1" t="s">
        <v>93</v>
      </c>
      <c r="V308" s="1" t="s">
        <v>232</v>
      </c>
      <c r="W308" s="1" t="s">
        <v>232</v>
      </c>
      <c r="X308" s="1">
        <v>5</v>
      </c>
      <c r="Y308" s="1">
        <v>6</v>
      </c>
      <c r="Z308" s="1" t="s">
        <v>83</v>
      </c>
      <c r="AA308" s="1">
        <v>5</v>
      </c>
      <c r="AB308" s="1">
        <v>5</v>
      </c>
      <c r="AC308" s="1" t="s">
        <v>83</v>
      </c>
      <c r="AD308" s="1">
        <v>5</v>
      </c>
      <c r="AE308" s="1">
        <v>5</v>
      </c>
      <c r="AF308" s="1" t="s">
        <v>83</v>
      </c>
      <c r="AG308" s="1">
        <v>0</v>
      </c>
      <c r="AH308" s="1">
        <v>0</v>
      </c>
      <c r="AI308" s="1" t="s">
        <v>83</v>
      </c>
      <c r="AJ308" s="1">
        <v>2</v>
      </c>
      <c r="AK308" s="1">
        <v>5</v>
      </c>
      <c r="AL308" s="1" t="s">
        <v>2520</v>
      </c>
      <c r="AM308" s="1">
        <v>1</v>
      </c>
      <c r="AN308" s="1">
        <v>6</v>
      </c>
      <c r="AO308" s="1" t="s">
        <v>2521</v>
      </c>
      <c r="AP308" s="1">
        <v>2</v>
      </c>
      <c r="AQ308" s="1">
        <v>6</v>
      </c>
      <c r="AR308" s="1" t="s">
        <v>2522</v>
      </c>
      <c r="AS308" s="1">
        <v>2</v>
      </c>
      <c r="AT308" s="1">
        <v>6</v>
      </c>
      <c r="AU308" s="1" t="s">
        <v>2523</v>
      </c>
      <c r="AV308" s="1">
        <v>4</v>
      </c>
      <c r="AW308" s="1">
        <v>5</v>
      </c>
      <c r="AX308" s="1" t="s">
        <v>83</v>
      </c>
      <c r="AY308" s="1">
        <v>0</v>
      </c>
      <c r="AZ308" s="1">
        <v>0</v>
      </c>
      <c r="BA308" s="1">
        <v>0</v>
      </c>
      <c r="BB308" s="1" t="s">
        <v>1915</v>
      </c>
      <c r="BC308" s="1">
        <v>2</v>
      </c>
      <c r="BD308" s="1" t="s">
        <v>1916</v>
      </c>
      <c r="BE308" s="1" t="s">
        <v>1917</v>
      </c>
      <c r="BF308" s="1" t="s">
        <v>278</v>
      </c>
      <c r="BG308" s="1" t="s">
        <v>1857</v>
      </c>
    </row>
    <row r="309" spans="1:59" x14ac:dyDescent="0.35">
      <c r="A309" s="1">
        <v>308</v>
      </c>
      <c r="B309" s="1">
        <v>45843.375520833331</v>
      </c>
      <c r="C309" s="1" t="s">
        <v>1918</v>
      </c>
      <c r="D309" s="1" t="s">
        <v>1919</v>
      </c>
      <c r="E309" s="1" t="s">
        <v>63</v>
      </c>
      <c r="F309" s="1" t="s">
        <v>63</v>
      </c>
      <c r="G309" s="1" t="s">
        <v>1920</v>
      </c>
      <c r="H309" s="1" t="s">
        <v>242</v>
      </c>
      <c r="I309" s="1" t="s">
        <v>243</v>
      </c>
      <c r="J309" s="1" t="s">
        <v>1869</v>
      </c>
      <c r="K309" s="1" t="s">
        <v>1921</v>
      </c>
      <c r="L309" s="1" t="s">
        <v>69</v>
      </c>
      <c r="M309" s="1" t="s">
        <v>69</v>
      </c>
      <c r="N309" s="1" t="s">
        <v>69</v>
      </c>
      <c r="O309" s="1" t="s">
        <v>69</v>
      </c>
      <c r="P309" s="1" t="s">
        <v>106</v>
      </c>
      <c r="Q309" s="1" t="s">
        <v>1168</v>
      </c>
      <c r="R309" s="1" t="s">
        <v>884</v>
      </c>
      <c r="S309" s="1">
        <v>38</v>
      </c>
      <c r="T309" s="1" t="s">
        <v>153</v>
      </c>
      <c r="U309" s="1" t="s">
        <v>73</v>
      </c>
      <c r="V309" s="1" t="s">
        <v>74</v>
      </c>
      <c r="W309" s="1" t="s">
        <v>74</v>
      </c>
      <c r="X309" s="1">
        <v>5</v>
      </c>
      <c r="Y309" s="1">
        <v>5</v>
      </c>
      <c r="Z309" s="1" t="s">
        <v>83</v>
      </c>
      <c r="AA309" s="1">
        <v>5</v>
      </c>
      <c r="AB309" s="1">
        <v>5</v>
      </c>
      <c r="AC309" s="1" t="s">
        <v>83</v>
      </c>
      <c r="AD309" s="1">
        <v>6</v>
      </c>
      <c r="AE309" s="1">
        <v>6</v>
      </c>
      <c r="AF309" s="1" t="s">
        <v>83</v>
      </c>
      <c r="AG309" s="1">
        <v>0</v>
      </c>
      <c r="AH309" s="1">
        <v>0</v>
      </c>
      <c r="AI309" s="1" t="s">
        <v>83</v>
      </c>
      <c r="AJ309" s="1">
        <v>6</v>
      </c>
      <c r="AK309" s="1">
        <v>6</v>
      </c>
      <c r="AL309" s="1" t="s">
        <v>83</v>
      </c>
      <c r="AM309" s="1">
        <v>5</v>
      </c>
      <c r="AN309" s="1">
        <v>6</v>
      </c>
      <c r="AO309" s="1" t="s">
        <v>83</v>
      </c>
      <c r="AP309" s="1">
        <v>5</v>
      </c>
      <c r="AQ309" s="1">
        <v>6</v>
      </c>
      <c r="AR309" s="1" t="s">
        <v>83</v>
      </c>
      <c r="AS309" s="1">
        <v>5</v>
      </c>
      <c r="AT309" s="1">
        <v>6</v>
      </c>
      <c r="AU309" s="1" t="s">
        <v>83</v>
      </c>
      <c r="AV309" s="1">
        <v>6</v>
      </c>
      <c r="AW309" s="1">
        <v>5</v>
      </c>
      <c r="AX309" s="1" t="s">
        <v>83</v>
      </c>
      <c r="AY309" s="1">
        <v>0</v>
      </c>
      <c r="AZ309" s="1">
        <v>0</v>
      </c>
      <c r="BA309" s="1">
        <v>2</v>
      </c>
      <c r="BB309" s="1" t="s">
        <v>83</v>
      </c>
      <c r="BC309" s="1">
        <v>0</v>
      </c>
      <c r="BD309" s="1" t="s">
        <v>248</v>
      </c>
      <c r="BE309" s="1" t="s">
        <v>248</v>
      </c>
      <c r="BF309" s="1" t="s">
        <v>248</v>
      </c>
      <c r="BG309" s="1" t="s">
        <v>1857</v>
      </c>
    </row>
    <row r="310" spans="1:59" x14ac:dyDescent="0.35">
      <c r="A310" s="1">
        <v>309</v>
      </c>
      <c r="B310" s="1">
        <v>45843.378668981481</v>
      </c>
      <c r="C310" s="1" t="s">
        <v>1922</v>
      </c>
      <c r="D310" s="1" t="s">
        <v>1923</v>
      </c>
      <c r="E310" s="1" t="s">
        <v>772</v>
      </c>
      <c r="F310" s="1" t="s">
        <v>1924</v>
      </c>
      <c r="G310" s="1" t="s">
        <v>1925</v>
      </c>
      <c r="H310" s="1" t="s">
        <v>242</v>
      </c>
      <c r="I310" s="1" t="s">
        <v>243</v>
      </c>
      <c r="J310" s="1" t="s">
        <v>1869</v>
      </c>
      <c r="K310" s="1" t="s">
        <v>105</v>
      </c>
      <c r="L310" s="1" t="s">
        <v>69</v>
      </c>
      <c r="M310" s="1" t="s">
        <v>69</v>
      </c>
      <c r="N310" s="1" t="s">
        <v>69</v>
      </c>
      <c r="O310" s="1" t="s">
        <v>69</v>
      </c>
      <c r="P310" s="1" t="s">
        <v>106</v>
      </c>
      <c r="Q310" s="1" t="s">
        <v>1168</v>
      </c>
      <c r="R310" s="1" t="s">
        <v>404</v>
      </c>
      <c r="S310" s="1">
        <v>42</v>
      </c>
      <c r="T310" s="1" t="s">
        <v>197</v>
      </c>
      <c r="U310" s="1" t="s">
        <v>73</v>
      </c>
      <c r="V310" s="1" t="s">
        <v>110</v>
      </c>
      <c r="W310" s="1" t="s">
        <v>110</v>
      </c>
      <c r="X310" s="1">
        <v>5</v>
      </c>
      <c r="Y310" s="1">
        <v>5</v>
      </c>
      <c r="Z310" s="1" t="s">
        <v>83</v>
      </c>
      <c r="AA310" s="1">
        <v>5</v>
      </c>
      <c r="AB310" s="1">
        <v>5</v>
      </c>
      <c r="AC310" s="1" t="s">
        <v>83</v>
      </c>
      <c r="AD310" s="1">
        <v>5</v>
      </c>
      <c r="AE310" s="1">
        <v>5</v>
      </c>
      <c r="AF310" s="1" t="s">
        <v>83</v>
      </c>
      <c r="AG310" s="1">
        <v>0</v>
      </c>
      <c r="AH310" s="1">
        <v>0</v>
      </c>
      <c r="AI310" s="1" t="s">
        <v>83</v>
      </c>
      <c r="AJ310" s="1">
        <v>5</v>
      </c>
      <c r="AK310" s="1">
        <v>6</v>
      </c>
      <c r="AL310" s="1" t="s">
        <v>83</v>
      </c>
      <c r="AM310" s="1">
        <v>5</v>
      </c>
      <c r="AN310" s="1">
        <v>5</v>
      </c>
      <c r="AO310" s="1" t="s">
        <v>83</v>
      </c>
      <c r="AP310" s="1">
        <v>5</v>
      </c>
      <c r="AQ310" s="1">
        <v>5</v>
      </c>
      <c r="AR310" s="1" t="s">
        <v>83</v>
      </c>
      <c r="AS310" s="1">
        <v>5</v>
      </c>
      <c r="AT310" s="1">
        <v>5</v>
      </c>
      <c r="AU310" s="1" t="s">
        <v>83</v>
      </c>
      <c r="AV310" s="1">
        <v>5</v>
      </c>
      <c r="AW310" s="1">
        <v>5</v>
      </c>
      <c r="AX310" s="1" t="s">
        <v>83</v>
      </c>
      <c r="AY310" s="1">
        <v>0</v>
      </c>
      <c r="AZ310" s="1">
        <v>0</v>
      </c>
      <c r="BA310" s="1">
        <v>0</v>
      </c>
      <c r="BB310" s="1" t="s">
        <v>144</v>
      </c>
      <c r="BC310" s="1">
        <v>1</v>
      </c>
      <c r="BD310" s="1" t="s">
        <v>248</v>
      </c>
      <c r="BE310" s="1" t="s">
        <v>1926</v>
      </c>
      <c r="BF310" s="1" t="s">
        <v>802</v>
      </c>
      <c r="BG310" s="1" t="s">
        <v>1857</v>
      </c>
    </row>
    <row r="311" spans="1:59" x14ac:dyDescent="0.35">
      <c r="A311" s="1">
        <v>310</v>
      </c>
      <c r="B311" s="1">
        <v>45843.383981481478</v>
      </c>
      <c r="C311" s="1" t="s">
        <v>1927</v>
      </c>
      <c r="D311" s="1" t="s">
        <v>1928</v>
      </c>
      <c r="E311" s="1" t="s">
        <v>63</v>
      </c>
      <c r="F311" s="1" t="s">
        <v>136</v>
      </c>
      <c r="G311" s="1" t="s">
        <v>1929</v>
      </c>
      <c r="H311" s="1" t="s">
        <v>242</v>
      </c>
      <c r="I311" s="1" t="s">
        <v>243</v>
      </c>
      <c r="J311" s="1" t="s">
        <v>1869</v>
      </c>
      <c r="K311" s="1" t="s">
        <v>1930</v>
      </c>
      <c r="L311" s="1" t="s">
        <v>69</v>
      </c>
      <c r="M311" s="1" t="s">
        <v>69</v>
      </c>
      <c r="N311" s="1" t="s">
        <v>69</v>
      </c>
      <c r="O311" s="1" t="s">
        <v>69</v>
      </c>
      <c r="P311" s="1" t="s">
        <v>70</v>
      </c>
      <c r="Q311" s="1" t="s">
        <v>1168</v>
      </c>
      <c r="R311" s="1" t="s">
        <v>108</v>
      </c>
      <c r="S311" s="1">
        <v>32</v>
      </c>
      <c r="T311" s="1" t="s">
        <v>109</v>
      </c>
      <c r="U311" s="1" t="s">
        <v>73</v>
      </c>
      <c r="V311" s="1" t="s">
        <v>232</v>
      </c>
      <c r="W311" s="1" t="s">
        <v>232</v>
      </c>
      <c r="X311" s="1">
        <v>5</v>
      </c>
      <c r="Y311" s="1">
        <v>5</v>
      </c>
      <c r="Z311" s="1" t="s">
        <v>83</v>
      </c>
      <c r="AA311" s="1">
        <v>5</v>
      </c>
      <c r="AB311" s="1">
        <v>5</v>
      </c>
      <c r="AC311" s="1" t="s">
        <v>83</v>
      </c>
      <c r="AD311" s="1">
        <v>4</v>
      </c>
      <c r="AE311" s="1">
        <v>6</v>
      </c>
      <c r="AF311" s="1" t="s">
        <v>83</v>
      </c>
      <c r="AG311" s="1">
        <v>0</v>
      </c>
      <c r="AH311" s="1">
        <v>0</v>
      </c>
      <c r="AI311" s="1" t="s">
        <v>83</v>
      </c>
      <c r="AJ311" s="1">
        <v>5</v>
      </c>
      <c r="AK311" s="1">
        <v>6</v>
      </c>
      <c r="AL311" s="1" t="s">
        <v>83</v>
      </c>
      <c r="AM311" s="1">
        <v>5</v>
      </c>
      <c r="AN311" s="1">
        <v>6</v>
      </c>
      <c r="AO311" s="1" t="s">
        <v>83</v>
      </c>
      <c r="AP311" s="1">
        <v>5</v>
      </c>
      <c r="AQ311" s="1">
        <v>6</v>
      </c>
      <c r="AR311" s="1" t="s">
        <v>83</v>
      </c>
      <c r="AS311" s="1">
        <v>5</v>
      </c>
      <c r="AT311" s="1">
        <v>6</v>
      </c>
      <c r="AU311" s="1" t="s">
        <v>83</v>
      </c>
      <c r="AV311" s="1">
        <v>5</v>
      </c>
      <c r="AW311" s="1">
        <v>6</v>
      </c>
      <c r="AX311" s="1" t="s">
        <v>83</v>
      </c>
      <c r="AY311" s="1">
        <v>0</v>
      </c>
      <c r="AZ311" s="1">
        <v>0</v>
      </c>
      <c r="BA311" s="1">
        <v>0</v>
      </c>
      <c r="BB311" s="1" t="s">
        <v>144</v>
      </c>
      <c r="BC311" s="1">
        <v>2</v>
      </c>
      <c r="BD311" s="1" t="s">
        <v>248</v>
      </c>
      <c r="BE311" s="1" t="s">
        <v>1931</v>
      </c>
      <c r="BF311" s="1" t="s">
        <v>248</v>
      </c>
      <c r="BG311" s="1" t="s">
        <v>1898</v>
      </c>
    </row>
    <row r="312" spans="1:59" x14ac:dyDescent="0.35">
      <c r="A312" s="1">
        <v>311</v>
      </c>
      <c r="B312" s="1">
        <v>45843.389965277776</v>
      </c>
      <c r="C312" s="1" t="s">
        <v>1932</v>
      </c>
      <c r="D312" s="1" t="s">
        <v>1933</v>
      </c>
      <c r="E312" s="1" t="s">
        <v>63</v>
      </c>
      <c r="F312" s="1" t="s">
        <v>397</v>
      </c>
      <c r="G312" s="1" t="s">
        <v>1934</v>
      </c>
      <c r="H312" s="1" t="s">
        <v>138</v>
      </c>
      <c r="I312" s="1" t="s">
        <v>139</v>
      </c>
      <c r="J312" s="1" t="s">
        <v>1869</v>
      </c>
      <c r="K312" s="1" t="s">
        <v>1935</v>
      </c>
      <c r="L312" s="1" t="s">
        <v>69</v>
      </c>
      <c r="M312" s="1" t="s">
        <v>69</v>
      </c>
      <c r="N312" s="1" t="s">
        <v>69</v>
      </c>
      <c r="O312" s="1" t="s">
        <v>69</v>
      </c>
      <c r="P312" s="1" t="s">
        <v>70</v>
      </c>
      <c r="Q312" s="1" t="s">
        <v>1168</v>
      </c>
      <c r="R312" s="1" t="s">
        <v>1208</v>
      </c>
      <c r="S312" s="1">
        <v>55</v>
      </c>
      <c r="T312" s="1" t="s">
        <v>383</v>
      </c>
      <c r="U312" s="1" t="s">
        <v>273</v>
      </c>
      <c r="V312" s="1" t="s">
        <v>74</v>
      </c>
      <c r="W312" s="1" t="s">
        <v>74</v>
      </c>
      <c r="X312" s="1">
        <v>5</v>
      </c>
      <c r="Y312" s="1">
        <v>5</v>
      </c>
      <c r="Z312" s="1" t="s">
        <v>83</v>
      </c>
      <c r="AA312" s="1">
        <v>5</v>
      </c>
      <c r="AB312" s="1">
        <v>5</v>
      </c>
      <c r="AC312" s="1" t="s">
        <v>83</v>
      </c>
      <c r="AD312" s="1">
        <v>4</v>
      </c>
      <c r="AE312" s="1">
        <v>5</v>
      </c>
      <c r="AF312" s="1" t="s">
        <v>83</v>
      </c>
      <c r="AG312" s="1">
        <v>0</v>
      </c>
      <c r="AH312" s="1">
        <v>0</v>
      </c>
      <c r="AI312" s="1" t="s">
        <v>83</v>
      </c>
      <c r="AJ312" s="1">
        <v>5</v>
      </c>
      <c r="AK312" s="1">
        <v>5</v>
      </c>
      <c r="AL312" s="1" t="s">
        <v>83</v>
      </c>
      <c r="AM312" s="1">
        <v>5</v>
      </c>
      <c r="AN312" s="1">
        <v>5</v>
      </c>
      <c r="AO312" s="1" t="s">
        <v>83</v>
      </c>
      <c r="AP312" s="1">
        <v>5</v>
      </c>
      <c r="AQ312" s="1">
        <v>5</v>
      </c>
      <c r="AR312" s="1" t="s">
        <v>83</v>
      </c>
      <c r="AS312" s="1">
        <v>5</v>
      </c>
      <c r="AT312" s="1">
        <v>5</v>
      </c>
      <c r="AU312" s="1" t="s">
        <v>83</v>
      </c>
      <c r="AV312" s="1">
        <v>5</v>
      </c>
      <c r="AW312" s="1">
        <v>6</v>
      </c>
      <c r="AX312" s="1" t="s">
        <v>83</v>
      </c>
      <c r="AY312" s="1">
        <v>0</v>
      </c>
      <c r="AZ312" s="1">
        <v>0</v>
      </c>
      <c r="BA312" s="1">
        <v>0</v>
      </c>
      <c r="BB312" s="1" t="s">
        <v>379</v>
      </c>
      <c r="BC312" s="1">
        <v>2</v>
      </c>
      <c r="BD312" s="1" t="s">
        <v>248</v>
      </c>
      <c r="BE312" s="1" t="s">
        <v>248</v>
      </c>
      <c r="BF312" s="1" t="s">
        <v>248</v>
      </c>
      <c r="BG312" s="1" t="s">
        <v>1898</v>
      </c>
    </row>
    <row r="313" spans="1:59" x14ac:dyDescent="0.35">
      <c r="A313" s="1">
        <v>312</v>
      </c>
      <c r="B313" s="1">
        <v>45843.39912037037</v>
      </c>
      <c r="C313" s="1" t="s">
        <v>1936</v>
      </c>
      <c r="D313" s="1" t="s">
        <v>1937</v>
      </c>
      <c r="E313" s="1" t="s">
        <v>63</v>
      </c>
      <c r="F313" s="1" t="s">
        <v>136</v>
      </c>
      <c r="G313" s="1" t="s">
        <v>1938</v>
      </c>
      <c r="H313" s="1" t="s">
        <v>210</v>
      </c>
      <c r="I313" s="1" t="s">
        <v>211</v>
      </c>
      <c r="J313" s="1" t="s">
        <v>1869</v>
      </c>
      <c r="K313" s="1" t="s">
        <v>1939</v>
      </c>
      <c r="L313" s="1" t="s">
        <v>69</v>
      </c>
      <c r="M313" s="1" t="s">
        <v>69</v>
      </c>
      <c r="N313" s="1" t="s">
        <v>69</v>
      </c>
      <c r="O313" s="1" t="s">
        <v>69</v>
      </c>
      <c r="P313" s="1" t="s">
        <v>106</v>
      </c>
      <c r="Q313" s="1" t="s">
        <v>1168</v>
      </c>
      <c r="R313" s="1" t="s">
        <v>1006</v>
      </c>
      <c r="S313" s="1">
        <v>26</v>
      </c>
      <c r="T313" s="1" t="s">
        <v>92</v>
      </c>
      <c r="U313" s="1" t="s">
        <v>73</v>
      </c>
      <c r="V313" s="1" t="s">
        <v>1853</v>
      </c>
      <c r="W313" s="1" t="s">
        <v>1853</v>
      </c>
      <c r="X313" s="1">
        <v>5</v>
      </c>
      <c r="Y313" s="1">
        <v>6</v>
      </c>
      <c r="Z313" s="1" t="s">
        <v>83</v>
      </c>
      <c r="AA313" s="1">
        <v>5</v>
      </c>
      <c r="AB313" s="1">
        <v>5</v>
      </c>
      <c r="AC313" s="1" t="s">
        <v>83</v>
      </c>
      <c r="AD313" s="1">
        <v>4</v>
      </c>
      <c r="AE313" s="1">
        <v>5</v>
      </c>
      <c r="AF313" s="1" t="s">
        <v>83</v>
      </c>
      <c r="AG313" s="1">
        <v>0</v>
      </c>
      <c r="AH313" s="1">
        <v>0</v>
      </c>
      <c r="AI313" s="1" t="s">
        <v>83</v>
      </c>
      <c r="AJ313" s="1">
        <v>5</v>
      </c>
      <c r="AK313" s="1">
        <v>5</v>
      </c>
      <c r="AL313" s="1" t="s">
        <v>83</v>
      </c>
      <c r="AM313" s="1">
        <v>5</v>
      </c>
      <c r="AN313" s="1">
        <v>5</v>
      </c>
      <c r="AO313" s="1" t="s">
        <v>83</v>
      </c>
      <c r="AP313" s="1">
        <v>5</v>
      </c>
      <c r="AQ313" s="1">
        <v>5</v>
      </c>
      <c r="AR313" s="1" t="s">
        <v>83</v>
      </c>
      <c r="AS313" s="1">
        <v>5</v>
      </c>
      <c r="AT313" s="1">
        <v>5</v>
      </c>
      <c r="AU313" s="1" t="s">
        <v>83</v>
      </c>
      <c r="AV313" s="1">
        <v>5</v>
      </c>
      <c r="AW313" s="1">
        <v>6</v>
      </c>
      <c r="AX313" s="1" t="s">
        <v>83</v>
      </c>
      <c r="AY313" s="1">
        <v>0</v>
      </c>
      <c r="AZ313" s="1">
        <v>0</v>
      </c>
      <c r="BA313" s="1">
        <v>0</v>
      </c>
      <c r="BB313" s="1" t="s">
        <v>1499</v>
      </c>
      <c r="BC313" s="1">
        <v>2</v>
      </c>
      <c r="BD313" s="1" t="s">
        <v>278</v>
      </c>
      <c r="BE313" s="1" t="s">
        <v>1940</v>
      </c>
      <c r="BF313" s="1" t="s">
        <v>278</v>
      </c>
      <c r="BG313" s="1" t="s">
        <v>1857</v>
      </c>
    </row>
    <row r="314" spans="1:59" x14ac:dyDescent="0.35">
      <c r="A314" s="1">
        <v>313</v>
      </c>
      <c r="B314" s="1">
        <v>45843.413171296299</v>
      </c>
      <c r="C314" s="1" t="s">
        <v>1941</v>
      </c>
      <c r="D314" s="1" t="s">
        <v>1942</v>
      </c>
      <c r="E314" s="1" t="s">
        <v>63</v>
      </c>
      <c r="F314" s="1" t="s">
        <v>480</v>
      </c>
      <c r="G314" s="1" t="s">
        <v>1943</v>
      </c>
      <c r="H314" s="1" t="s">
        <v>981</v>
      </c>
      <c r="I314" s="1" t="s">
        <v>982</v>
      </c>
      <c r="J314" s="1" t="s">
        <v>1944</v>
      </c>
      <c r="K314" s="1" t="s">
        <v>1945</v>
      </c>
      <c r="L314" s="1" t="s">
        <v>69</v>
      </c>
      <c r="M314" s="1" t="s">
        <v>69</v>
      </c>
      <c r="N314" s="1" t="s">
        <v>69</v>
      </c>
      <c r="O314" s="1" t="s">
        <v>69</v>
      </c>
      <c r="P314" s="1" t="s">
        <v>106</v>
      </c>
      <c r="Q314" s="1" t="s">
        <v>1168</v>
      </c>
      <c r="R314" s="1" t="s">
        <v>884</v>
      </c>
      <c r="S314" s="1">
        <v>38</v>
      </c>
      <c r="T314" s="1" t="s">
        <v>153</v>
      </c>
      <c r="U314" s="1" t="s">
        <v>73</v>
      </c>
      <c r="V314" s="1" t="s">
        <v>74</v>
      </c>
      <c r="W314" s="1" t="s">
        <v>74</v>
      </c>
      <c r="X314" s="1">
        <v>6</v>
      </c>
      <c r="Y314" s="1">
        <v>5</v>
      </c>
      <c r="Z314" s="1" t="s">
        <v>83</v>
      </c>
      <c r="AA314" s="1">
        <v>6</v>
      </c>
      <c r="AB314" s="1">
        <v>5</v>
      </c>
      <c r="AC314" s="1" t="s">
        <v>83</v>
      </c>
      <c r="AD314" s="1">
        <v>5</v>
      </c>
      <c r="AE314" s="1">
        <v>6</v>
      </c>
      <c r="AF314" s="1" t="s">
        <v>83</v>
      </c>
      <c r="AG314" s="1">
        <v>0</v>
      </c>
      <c r="AH314" s="1">
        <v>0</v>
      </c>
      <c r="AI314" s="1" t="s">
        <v>83</v>
      </c>
      <c r="AJ314" s="1">
        <v>6</v>
      </c>
      <c r="AK314" s="1">
        <v>6</v>
      </c>
      <c r="AL314" s="1" t="s">
        <v>83</v>
      </c>
      <c r="AM314" s="1">
        <v>6</v>
      </c>
      <c r="AN314" s="1">
        <v>6</v>
      </c>
      <c r="AO314" s="1" t="s">
        <v>83</v>
      </c>
      <c r="AP314" s="1">
        <v>6</v>
      </c>
      <c r="AQ314" s="1">
        <v>5</v>
      </c>
      <c r="AR314" s="1" t="s">
        <v>83</v>
      </c>
      <c r="AS314" s="1">
        <v>6</v>
      </c>
      <c r="AT314" s="1">
        <v>6</v>
      </c>
      <c r="AU314" s="1" t="s">
        <v>83</v>
      </c>
      <c r="AV314" s="1">
        <v>6</v>
      </c>
      <c r="AW314" s="1">
        <v>5</v>
      </c>
      <c r="AX314" s="1" t="s">
        <v>83</v>
      </c>
      <c r="AY314" s="1">
        <v>0</v>
      </c>
      <c r="AZ314" s="1">
        <v>0</v>
      </c>
      <c r="BA314" s="1">
        <v>1</v>
      </c>
      <c r="BB314" s="1" t="s">
        <v>83</v>
      </c>
      <c r="BC314" s="1">
        <v>0</v>
      </c>
      <c r="BD314" s="1" t="s">
        <v>985</v>
      </c>
      <c r="BE314" s="1" t="s">
        <v>1946</v>
      </c>
      <c r="BF314" s="1" t="s">
        <v>985</v>
      </c>
      <c r="BG314" s="1" t="s">
        <v>83</v>
      </c>
    </row>
    <row r="315" spans="1:59" x14ac:dyDescent="0.35">
      <c r="A315" s="1">
        <v>314</v>
      </c>
      <c r="B315" s="1">
        <v>45843.463726851849</v>
      </c>
      <c r="C315" s="1" t="s">
        <v>1947</v>
      </c>
      <c r="D315" s="1" t="s">
        <v>1948</v>
      </c>
      <c r="E315" s="1" t="s">
        <v>63</v>
      </c>
      <c r="F315" s="1" t="s">
        <v>480</v>
      </c>
      <c r="G315" s="1" t="s">
        <v>1949</v>
      </c>
      <c r="H315" s="1" t="s">
        <v>981</v>
      </c>
      <c r="I315" s="1" t="s">
        <v>982</v>
      </c>
      <c r="J315" s="1" t="s">
        <v>1950</v>
      </c>
      <c r="K315" s="1" t="s">
        <v>1116</v>
      </c>
      <c r="L315" s="1" t="s">
        <v>69</v>
      </c>
      <c r="M315" s="1" t="s">
        <v>69</v>
      </c>
      <c r="N315" s="1" t="s">
        <v>69</v>
      </c>
      <c r="O315" s="1" t="s">
        <v>69</v>
      </c>
      <c r="P315" s="1" t="s">
        <v>106</v>
      </c>
      <c r="Q315" s="1" t="s">
        <v>1168</v>
      </c>
      <c r="R315" s="1" t="s">
        <v>1160</v>
      </c>
      <c r="S315" s="1">
        <v>56</v>
      </c>
      <c r="T315" s="1" t="s">
        <v>182</v>
      </c>
      <c r="U315" s="1" t="s">
        <v>93</v>
      </c>
      <c r="V315" s="1" t="s">
        <v>110</v>
      </c>
      <c r="W315" s="1" t="s">
        <v>110</v>
      </c>
      <c r="X315" s="1">
        <v>5</v>
      </c>
      <c r="Y315" s="1">
        <v>5</v>
      </c>
      <c r="Z315" s="1" t="s">
        <v>83</v>
      </c>
      <c r="AA315" s="1">
        <v>3</v>
      </c>
      <c r="AB315" s="1">
        <v>5</v>
      </c>
      <c r="AC315" s="1" t="s">
        <v>2524</v>
      </c>
      <c r="AD315" s="1">
        <v>3</v>
      </c>
      <c r="AE315" s="1">
        <v>6</v>
      </c>
      <c r="AF315" s="1" t="s">
        <v>2525</v>
      </c>
      <c r="AG315" s="1">
        <v>0</v>
      </c>
      <c r="AH315" s="1">
        <v>0</v>
      </c>
      <c r="AI315" s="1" t="s">
        <v>83</v>
      </c>
      <c r="AJ315" s="1">
        <v>5</v>
      </c>
      <c r="AK315" s="1">
        <v>6</v>
      </c>
      <c r="AL315" s="1" t="s">
        <v>83</v>
      </c>
      <c r="AM315" s="1">
        <v>5</v>
      </c>
      <c r="AN315" s="1">
        <v>6</v>
      </c>
      <c r="AO315" s="1" t="s">
        <v>83</v>
      </c>
      <c r="AP315" s="1">
        <v>6</v>
      </c>
      <c r="AQ315" s="1">
        <v>5</v>
      </c>
      <c r="AR315" s="1" t="s">
        <v>83</v>
      </c>
      <c r="AS315" s="1">
        <v>6</v>
      </c>
      <c r="AT315" s="1">
        <v>5</v>
      </c>
      <c r="AU315" s="1" t="s">
        <v>83</v>
      </c>
      <c r="AV315" s="1">
        <v>6</v>
      </c>
      <c r="AW315" s="1">
        <v>5</v>
      </c>
      <c r="AX315" s="1" t="s">
        <v>83</v>
      </c>
      <c r="AY315" s="1">
        <v>1</v>
      </c>
      <c r="AZ315" s="1">
        <v>0</v>
      </c>
      <c r="BA315" s="1">
        <v>0</v>
      </c>
      <c r="BB315" s="1" t="s">
        <v>83</v>
      </c>
      <c r="BC315" s="1">
        <v>0</v>
      </c>
      <c r="BD315" s="1" t="s">
        <v>985</v>
      </c>
      <c r="BE315" s="1" t="s">
        <v>1951</v>
      </c>
      <c r="BF315" s="1" t="s">
        <v>985</v>
      </c>
      <c r="BG315" s="1" t="s">
        <v>83</v>
      </c>
    </row>
    <row r="316" spans="1:59" x14ac:dyDescent="0.35">
      <c r="A316" s="1">
        <v>315</v>
      </c>
      <c r="B316" s="1">
        <v>45843.499166666668</v>
      </c>
      <c r="C316" s="1" t="s">
        <v>1952</v>
      </c>
      <c r="D316" s="1" t="s">
        <v>1953</v>
      </c>
      <c r="E316" s="1" t="s">
        <v>1954</v>
      </c>
      <c r="F316" s="1" t="s">
        <v>1409</v>
      </c>
      <c r="G316" s="1" t="s">
        <v>1955</v>
      </c>
      <c r="H316" s="1" t="s">
        <v>103</v>
      </c>
      <c r="I316" s="1" t="s">
        <v>1956</v>
      </c>
      <c r="J316" s="1" t="s">
        <v>1944</v>
      </c>
      <c r="K316" s="1" t="s">
        <v>1957</v>
      </c>
      <c r="L316" s="1" t="s">
        <v>69</v>
      </c>
      <c r="M316" s="1" t="s">
        <v>69</v>
      </c>
      <c r="N316" s="1" t="s">
        <v>69</v>
      </c>
      <c r="O316" s="1" t="s">
        <v>69</v>
      </c>
      <c r="P316" s="1" t="s">
        <v>106</v>
      </c>
      <c r="Q316" s="1" t="s">
        <v>1168</v>
      </c>
      <c r="R316" s="1" t="s">
        <v>224</v>
      </c>
      <c r="S316" s="1">
        <v>46</v>
      </c>
      <c r="T316" s="1" t="s">
        <v>225</v>
      </c>
      <c r="U316" s="1" t="s">
        <v>93</v>
      </c>
      <c r="V316" s="1" t="s">
        <v>154</v>
      </c>
      <c r="W316" s="1" t="s">
        <v>154</v>
      </c>
      <c r="X316" s="1">
        <v>5</v>
      </c>
      <c r="Y316" s="1">
        <v>5</v>
      </c>
      <c r="Z316" s="1" t="s">
        <v>83</v>
      </c>
      <c r="AA316" s="1">
        <v>5</v>
      </c>
      <c r="AB316" s="1">
        <v>5</v>
      </c>
      <c r="AC316" s="1" t="s">
        <v>83</v>
      </c>
      <c r="AD316" s="1">
        <v>4</v>
      </c>
      <c r="AE316" s="1">
        <v>5</v>
      </c>
      <c r="AF316" s="1" t="s">
        <v>83</v>
      </c>
      <c r="AG316" s="1">
        <v>0</v>
      </c>
      <c r="AH316" s="1">
        <v>0</v>
      </c>
      <c r="AI316" s="1" t="s">
        <v>83</v>
      </c>
      <c r="AJ316" s="1">
        <v>5</v>
      </c>
      <c r="AK316" s="1">
        <v>5</v>
      </c>
      <c r="AL316" s="1" t="s">
        <v>83</v>
      </c>
      <c r="AM316" s="1">
        <v>5</v>
      </c>
      <c r="AN316" s="1">
        <v>5</v>
      </c>
      <c r="AO316" s="1" t="s">
        <v>83</v>
      </c>
      <c r="AP316" s="1">
        <v>5</v>
      </c>
      <c r="AQ316" s="1">
        <v>5</v>
      </c>
      <c r="AR316" s="1" t="s">
        <v>83</v>
      </c>
      <c r="AS316" s="1">
        <v>4</v>
      </c>
      <c r="AT316" s="1">
        <v>4</v>
      </c>
      <c r="AU316" s="1" t="s">
        <v>83</v>
      </c>
      <c r="AV316" s="1">
        <v>4</v>
      </c>
      <c r="AW316" s="1">
        <v>4</v>
      </c>
      <c r="AX316" s="1" t="s">
        <v>83</v>
      </c>
      <c r="AY316" s="1">
        <v>0</v>
      </c>
      <c r="AZ316" s="1">
        <v>0</v>
      </c>
      <c r="BA316" s="1">
        <v>2</v>
      </c>
      <c r="BB316" s="1" t="s">
        <v>83</v>
      </c>
      <c r="BC316" s="1">
        <v>0</v>
      </c>
      <c r="BD316" s="1" t="s">
        <v>1958</v>
      </c>
      <c r="BE316" s="1" t="s">
        <v>1958</v>
      </c>
      <c r="BF316" s="1" t="s">
        <v>1959</v>
      </c>
      <c r="BG316" s="1" t="s">
        <v>83</v>
      </c>
    </row>
    <row r="317" spans="1:59" x14ac:dyDescent="0.35">
      <c r="A317" s="1">
        <v>316</v>
      </c>
      <c r="B317" s="1">
        <v>45844.433310185188</v>
      </c>
      <c r="C317" s="1" t="s">
        <v>1960</v>
      </c>
      <c r="D317" s="1" t="s">
        <v>1961</v>
      </c>
      <c r="E317" s="1" t="s">
        <v>1962</v>
      </c>
      <c r="F317" s="1" t="s">
        <v>1963</v>
      </c>
      <c r="G317" s="1" t="s">
        <v>1964</v>
      </c>
      <c r="H317" s="1" t="s">
        <v>517</v>
      </c>
      <c r="I317" s="1" t="s">
        <v>518</v>
      </c>
      <c r="J317" s="1" t="s">
        <v>1965</v>
      </c>
      <c r="K317" s="1" t="s">
        <v>1966</v>
      </c>
      <c r="L317" s="1" t="s">
        <v>69</v>
      </c>
      <c r="M317" s="1" t="s">
        <v>69</v>
      </c>
      <c r="N317" s="1" t="s">
        <v>69</v>
      </c>
      <c r="O317" s="1" t="s">
        <v>69</v>
      </c>
      <c r="P317" s="1" t="s">
        <v>106</v>
      </c>
      <c r="Q317" s="1" t="s">
        <v>1180</v>
      </c>
      <c r="R317" s="1" t="s">
        <v>873</v>
      </c>
      <c r="S317" s="1">
        <v>37</v>
      </c>
      <c r="T317" s="1" t="s">
        <v>153</v>
      </c>
      <c r="U317" s="1" t="s">
        <v>93</v>
      </c>
      <c r="V317" s="1" t="s">
        <v>74</v>
      </c>
      <c r="W317" s="1" t="s">
        <v>74</v>
      </c>
      <c r="X317" s="1">
        <v>5</v>
      </c>
      <c r="Y317" s="1">
        <v>6</v>
      </c>
      <c r="Z317" s="1" t="s">
        <v>83</v>
      </c>
      <c r="AA317" s="1">
        <v>6</v>
      </c>
      <c r="AB317" s="1">
        <v>6</v>
      </c>
      <c r="AC317" s="1" t="s">
        <v>83</v>
      </c>
      <c r="AD317" s="1">
        <v>5</v>
      </c>
      <c r="AE317" s="1">
        <v>5</v>
      </c>
      <c r="AF317" s="1" t="s">
        <v>83</v>
      </c>
      <c r="AG317" s="1">
        <v>0</v>
      </c>
      <c r="AH317" s="1">
        <v>0</v>
      </c>
      <c r="AI317" s="1" t="s">
        <v>83</v>
      </c>
      <c r="AJ317" s="1">
        <v>6</v>
      </c>
      <c r="AK317" s="1">
        <v>6</v>
      </c>
      <c r="AL317" s="1" t="s">
        <v>83</v>
      </c>
      <c r="AM317" s="1">
        <v>5</v>
      </c>
      <c r="AN317" s="1">
        <v>5</v>
      </c>
      <c r="AO317" s="1" t="s">
        <v>83</v>
      </c>
      <c r="AP317" s="1">
        <v>5</v>
      </c>
      <c r="AQ317" s="1">
        <v>5</v>
      </c>
      <c r="AR317" s="1" t="s">
        <v>83</v>
      </c>
      <c r="AS317" s="1">
        <v>5</v>
      </c>
      <c r="AT317" s="1">
        <v>5</v>
      </c>
      <c r="AU317" s="1" t="s">
        <v>83</v>
      </c>
      <c r="AV317" s="1">
        <v>5</v>
      </c>
      <c r="AW317" s="1">
        <v>5</v>
      </c>
      <c r="AX317" s="1" t="s">
        <v>83</v>
      </c>
      <c r="AY317" s="1">
        <v>0</v>
      </c>
      <c r="AZ317" s="1">
        <v>0</v>
      </c>
      <c r="BA317" s="1">
        <v>2</v>
      </c>
      <c r="BB317" s="1" t="s">
        <v>83</v>
      </c>
      <c r="BC317" s="1">
        <v>0</v>
      </c>
      <c r="BD317" s="1" t="s">
        <v>1967</v>
      </c>
      <c r="BE317" s="1" t="s">
        <v>1968</v>
      </c>
      <c r="BF317" s="1" t="s">
        <v>503</v>
      </c>
      <c r="BG317" s="1" t="s">
        <v>83</v>
      </c>
    </row>
    <row r="318" spans="1:59" x14ac:dyDescent="0.35">
      <c r="A318" s="1">
        <v>317</v>
      </c>
      <c r="B318" s="1">
        <v>45844.569722222222</v>
      </c>
      <c r="C318" s="1" t="s">
        <v>1969</v>
      </c>
      <c r="D318" s="1" t="s">
        <v>1970</v>
      </c>
      <c r="E318" s="1" t="s">
        <v>63</v>
      </c>
      <c r="F318" s="1" t="s">
        <v>125</v>
      </c>
      <c r="G318" s="1" t="s">
        <v>1971</v>
      </c>
      <c r="H318" s="1" t="s">
        <v>65</v>
      </c>
      <c r="I318" s="1" t="s">
        <v>66</v>
      </c>
      <c r="J318" s="1" t="s">
        <v>1972</v>
      </c>
      <c r="K318" s="1" t="s">
        <v>1973</v>
      </c>
      <c r="L318" s="1" t="s">
        <v>69</v>
      </c>
      <c r="M318" s="1" t="s">
        <v>69</v>
      </c>
      <c r="N318" s="1" t="s">
        <v>69</v>
      </c>
      <c r="O318" s="1" t="s">
        <v>69</v>
      </c>
      <c r="P318" s="1" t="s">
        <v>106</v>
      </c>
      <c r="Q318" s="1" t="s">
        <v>1168</v>
      </c>
      <c r="R318" s="1" t="s">
        <v>1342</v>
      </c>
      <c r="S318" s="1">
        <v>30</v>
      </c>
      <c r="T318" s="1" t="s">
        <v>92</v>
      </c>
      <c r="U318" s="1" t="s">
        <v>73</v>
      </c>
      <c r="V318" s="1" t="s">
        <v>74</v>
      </c>
      <c r="W318" s="1" t="s">
        <v>74</v>
      </c>
      <c r="X318" s="1">
        <v>6</v>
      </c>
      <c r="Y318" s="1">
        <v>6</v>
      </c>
      <c r="Z318" s="1" t="s">
        <v>83</v>
      </c>
      <c r="AA318" s="1">
        <v>6</v>
      </c>
      <c r="AB318" s="1">
        <v>6</v>
      </c>
      <c r="AC318" s="1" t="s">
        <v>83</v>
      </c>
      <c r="AD318" s="1">
        <v>6</v>
      </c>
      <c r="AE318" s="1">
        <v>6</v>
      </c>
      <c r="AF318" s="1" t="s">
        <v>83</v>
      </c>
      <c r="AG318" s="1">
        <v>0</v>
      </c>
      <c r="AH318" s="1">
        <v>0</v>
      </c>
      <c r="AI318" s="1" t="s">
        <v>83</v>
      </c>
      <c r="AJ318" s="1">
        <v>6</v>
      </c>
      <c r="AK318" s="1">
        <v>6</v>
      </c>
      <c r="AL318" s="1" t="s">
        <v>83</v>
      </c>
      <c r="AM318" s="1">
        <v>6</v>
      </c>
      <c r="AN318" s="1">
        <v>6</v>
      </c>
      <c r="AO318" s="1" t="s">
        <v>83</v>
      </c>
      <c r="AP318" s="1">
        <v>6</v>
      </c>
      <c r="AQ318" s="1">
        <v>6</v>
      </c>
      <c r="AR318" s="1" t="s">
        <v>83</v>
      </c>
      <c r="AS318" s="1">
        <v>6</v>
      </c>
      <c r="AT318" s="1">
        <v>6</v>
      </c>
      <c r="AU318" s="1" t="s">
        <v>83</v>
      </c>
      <c r="AV318" s="1">
        <v>5</v>
      </c>
      <c r="AW318" s="1">
        <v>5</v>
      </c>
      <c r="AX318" s="1" t="s">
        <v>83</v>
      </c>
      <c r="AY318" s="1">
        <v>0</v>
      </c>
      <c r="AZ318" s="1">
        <v>0</v>
      </c>
      <c r="BA318" s="1">
        <v>1</v>
      </c>
      <c r="BB318" s="1" t="s">
        <v>83</v>
      </c>
      <c r="BC318" s="1">
        <v>0</v>
      </c>
      <c r="BD318" s="1" t="s">
        <v>1974</v>
      </c>
      <c r="BE318" s="1" t="s">
        <v>248</v>
      </c>
      <c r="BF318" s="1" t="s">
        <v>528</v>
      </c>
      <c r="BG318" s="1" t="s">
        <v>83</v>
      </c>
    </row>
    <row r="319" spans="1:59" x14ac:dyDescent="0.35">
      <c r="A319" s="1">
        <v>318</v>
      </c>
      <c r="B319" s="1">
        <v>45844.573541666665</v>
      </c>
      <c r="C319" s="1" t="s">
        <v>1975</v>
      </c>
      <c r="D319" s="1" t="s">
        <v>1976</v>
      </c>
      <c r="E319" s="1" t="s">
        <v>352</v>
      </c>
      <c r="F319" s="1" t="s">
        <v>1977</v>
      </c>
      <c r="G319" s="1" t="s">
        <v>1978</v>
      </c>
      <c r="H319" s="1" t="s">
        <v>65</v>
      </c>
      <c r="I319" s="1" t="s">
        <v>66</v>
      </c>
      <c r="J319" s="1" t="s">
        <v>1972</v>
      </c>
      <c r="K319" s="1" t="s">
        <v>1979</v>
      </c>
      <c r="L319" s="1" t="s">
        <v>69</v>
      </c>
      <c r="M319" s="1" t="s">
        <v>69</v>
      </c>
      <c r="N319" s="1" t="s">
        <v>69</v>
      </c>
      <c r="O319" s="1" t="s">
        <v>69</v>
      </c>
      <c r="P319" s="1" t="s">
        <v>70</v>
      </c>
      <c r="Q319" s="1" t="s">
        <v>1168</v>
      </c>
      <c r="R319" s="1" t="s">
        <v>1208</v>
      </c>
      <c r="S319" s="1">
        <v>55</v>
      </c>
      <c r="T319" s="1" t="s">
        <v>383</v>
      </c>
      <c r="U319" s="1" t="s">
        <v>73</v>
      </c>
      <c r="V319" s="1" t="s">
        <v>74</v>
      </c>
      <c r="W319" s="1" t="s">
        <v>74</v>
      </c>
      <c r="X319" s="1">
        <v>5</v>
      </c>
      <c r="Y319" s="1">
        <v>5</v>
      </c>
      <c r="Z319" s="1" t="s">
        <v>83</v>
      </c>
      <c r="AA319" s="1">
        <v>6</v>
      </c>
      <c r="AB319" s="1">
        <v>6</v>
      </c>
      <c r="AC319" s="1" t="s">
        <v>83</v>
      </c>
      <c r="AD319" s="1">
        <v>6</v>
      </c>
      <c r="AE319" s="1">
        <v>6</v>
      </c>
      <c r="AF319" s="1" t="s">
        <v>83</v>
      </c>
      <c r="AG319" s="1">
        <v>0</v>
      </c>
      <c r="AH319" s="1">
        <v>0</v>
      </c>
      <c r="AI319" s="1" t="s">
        <v>83</v>
      </c>
      <c r="AJ319" s="1">
        <v>5</v>
      </c>
      <c r="AK319" s="1">
        <v>5</v>
      </c>
      <c r="AL319" s="1" t="s">
        <v>83</v>
      </c>
      <c r="AM319" s="1">
        <v>5</v>
      </c>
      <c r="AN319" s="1">
        <v>5</v>
      </c>
      <c r="AO319" s="1" t="s">
        <v>83</v>
      </c>
      <c r="AP319" s="1">
        <v>5</v>
      </c>
      <c r="AQ319" s="1">
        <v>5</v>
      </c>
      <c r="AR319" s="1" t="s">
        <v>83</v>
      </c>
      <c r="AS319" s="1">
        <v>5</v>
      </c>
      <c r="AT319" s="1">
        <v>5</v>
      </c>
      <c r="AU319" s="1" t="s">
        <v>83</v>
      </c>
      <c r="AV319" s="1">
        <v>5</v>
      </c>
      <c r="AW319" s="1">
        <v>5</v>
      </c>
      <c r="AX319" s="1" t="s">
        <v>83</v>
      </c>
      <c r="AY319" s="1">
        <v>0</v>
      </c>
      <c r="AZ319" s="1">
        <v>0</v>
      </c>
      <c r="BA319" s="1">
        <v>1</v>
      </c>
      <c r="BB319" s="1" t="s">
        <v>1980</v>
      </c>
      <c r="BC319" s="1">
        <v>1</v>
      </c>
      <c r="BD319" s="1" t="s">
        <v>1981</v>
      </c>
      <c r="BE319" s="1" t="s">
        <v>1305</v>
      </c>
      <c r="BF319" s="1" t="s">
        <v>1982</v>
      </c>
      <c r="BG319" s="1" t="s">
        <v>83</v>
      </c>
    </row>
    <row r="320" spans="1:59" x14ac:dyDescent="0.35">
      <c r="A320" s="1">
        <v>319</v>
      </c>
      <c r="B320" s="1">
        <v>45844.701435185183</v>
      </c>
      <c r="C320" s="1" t="s">
        <v>1983</v>
      </c>
      <c r="D320" s="1" t="s">
        <v>1984</v>
      </c>
      <c r="E320" s="1" t="s">
        <v>63</v>
      </c>
      <c r="F320" s="1" t="s">
        <v>1372</v>
      </c>
      <c r="G320" s="1" t="s">
        <v>1985</v>
      </c>
      <c r="H320" s="1" t="s">
        <v>517</v>
      </c>
      <c r="I320" s="1" t="s">
        <v>518</v>
      </c>
      <c r="J320" s="1" t="s">
        <v>1965</v>
      </c>
      <c r="K320" s="1" t="s">
        <v>1986</v>
      </c>
      <c r="L320" s="1" t="s">
        <v>69</v>
      </c>
      <c r="M320" s="1" t="s">
        <v>69</v>
      </c>
      <c r="N320" s="1" t="s">
        <v>69</v>
      </c>
      <c r="O320" s="1" t="s">
        <v>69</v>
      </c>
      <c r="P320" s="1" t="s">
        <v>70</v>
      </c>
      <c r="Q320" s="1" t="s">
        <v>1168</v>
      </c>
      <c r="R320" s="1" t="s">
        <v>1160</v>
      </c>
      <c r="S320" s="1">
        <v>56</v>
      </c>
      <c r="T320" s="1" t="s">
        <v>182</v>
      </c>
      <c r="U320" s="1" t="s">
        <v>273</v>
      </c>
      <c r="V320" s="1" t="s">
        <v>232</v>
      </c>
      <c r="W320" s="1" t="s">
        <v>232</v>
      </c>
      <c r="X320" s="1">
        <v>6</v>
      </c>
      <c r="Y320" s="1">
        <v>6</v>
      </c>
      <c r="Z320" s="1" t="s">
        <v>83</v>
      </c>
      <c r="AA320" s="1">
        <v>6</v>
      </c>
      <c r="AB320" s="1">
        <v>6</v>
      </c>
      <c r="AC320" s="1" t="s">
        <v>83</v>
      </c>
      <c r="AD320" s="1">
        <v>6</v>
      </c>
      <c r="AE320" s="1">
        <v>6</v>
      </c>
      <c r="AF320" s="1" t="s">
        <v>83</v>
      </c>
      <c r="AG320" s="1">
        <v>0</v>
      </c>
      <c r="AH320" s="1">
        <v>0</v>
      </c>
      <c r="AI320" s="1" t="s">
        <v>83</v>
      </c>
      <c r="AJ320" s="1">
        <v>4</v>
      </c>
      <c r="AK320" s="1">
        <v>6</v>
      </c>
      <c r="AL320" s="1" t="s">
        <v>83</v>
      </c>
      <c r="AM320" s="1">
        <v>6</v>
      </c>
      <c r="AN320" s="1">
        <v>6</v>
      </c>
      <c r="AO320" s="1" t="s">
        <v>83</v>
      </c>
      <c r="AP320" s="1">
        <v>6</v>
      </c>
      <c r="AQ320" s="1">
        <v>6</v>
      </c>
      <c r="AR320" s="1" t="s">
        <v>83</v>
      </c>
      <c r="AS320" s="1">
        <v>6</v>
      </c>
      <c r="AT320" s="1">
        <v>6</v>
      </c>
      <c r="AU320" s="1" t="s">
        <v>83</v>
      </c>
      <c r="AV320" s="1">
        <v>6</v>
      </c>
      <c r="AW320" s="1">
        <v>6</v>
      </c>
      <c r="AX320" s="1" t="s">
        <v>83</v>
      </c>
      <c r="AY320" s="1">
        <v>0</v>
      </c>
      <c r="AZ320" s="1">
        <v>0</v>
      </c>
      <c r="BA320" s="1">
        <v>0</v>
      </c>
      <c r="BB320" s="1" t="s">
        <v>1223</v>
      </c>
      <c r="BC320" s="1">
        <v>3</v>
      </c>
      <c r="BD320" s="1" t="s">
        <v>503</v>
      </c>
      <c r="BE320" s="1" t="s">
        <v>503</v>
      </c>
      <c r="BF320" s="1" t="s">
        <v>503</v>
      </c>
      <c r="BG320" s="1" t="s">
        <v>83</v>
      </c>
    </row>
    <row r="321" spans="1:59" x14ac:dyDescent="0.35">
      <c r="A321" s="1">
        <v>320</v>
      </c>
      <c r="B321" s="1">
        <v>45844.798263888886</v>
      </c>
      <c r="C321" s="1" t="s">
        <v>1987</v>
      </c>
      <c r="D321" s="1" t="s">
        <v>1988</v>
      </c>
      <c r="E321" s="1" t="s">
        <v>63</v>
      </c>
      <c r="F321" s="1" t="s">
        <v>86</v>
      </c>
      <c r="G321" s="1" t="s">
        <v>1989</v>
      </c>
      <c r="H321" s="1" t="s">
        <v>210</v>
      </c>
      <c r="I321" s="1" t="s">
        <v>211</v>
      </c>
      <c r="J321" s="1" t="s">
        <v>1990</v>
      </c>
      <c r="K321" s="1" t="s">
        <v>1699</v>
      </c>
      <c r="L321" s="1" t="s">
        <v>69</v>
      </c>
      <c r="M321" s="1" t="s">
        <v>69</v>
      </c>
      <c r="N321" s="1" t="s">
        <v>69</v>
      </c>
      <c r="O321" s="1" t="s">
        <v>69</v>
      </c>
      <c r="P321" s="1" t="s">
        <v>106</v>
      </c>
      <c r="Q321" s="1" t="s">
        <v>1168</v>
      </c>
      <c r="R321" s="1" t="s">
        <v>2463</v>
      </c>
      <c r="S321" s="1">
        <v>33</v>
      </c>
      <c r="T321" s="1" t="s">
        <v>109</v>
      </c>
      <c r="U321" s="1" t="s">
        <v>1343</v>
      </c>
      <c r="V321" s="1" t="s">
        <v>74</v>
      </c>
      <c r="W321" s="1" t="s">
        <v>74</v>
      </c>
      <c r="X321" s="1">
        <v>5</v>
      </c>
      <c r="Y321" s="1">
        <v>5</v>
      </c>
      <c r="Z321" s="1" t="s">
        <v>83</v>
      </c>
      <c r="AA321" s="1">
        <v>5</v>
      </c>
      <c r="AB321" s="1">
        <v>5</v>
      </c>
      <c r="AC321" s="1" t="s">
        <v>83</v>
      </c>
      <c r="AD321" s="1">
        <v>5</v>
      </c>
      <c r="AE321" s="1">
        <v>5</v>
      </c>
      <c r="AF321" s="1" t="s">
        <v>83</v>
      </c>
      <c r="AG321" s="1">
        <v>5</v>
      </c>
      <c r="AH321" s="1">
        <v>5</v>
      </c>
      <c r="AI321" s="1" t="s">
        <v>83</v>
      </c>
      <c r="AJ321" s="1">
        <v>5</v>
      </c>
      <c r="AK321" s="1">
        <v>5</v>
      </c>
      <c r="AL321" s="1" t="s">
        <v>83</v>
      </c>
      <c r="AM321" s="1">
        <v>5</v>
      </c>
      <c r="AN321" s="1">
        <v>5</v>
      </c>
      <c r="AO321" s="1" t="s">
        <v>83</v>
      </c>
      <c r="AP321" s="1">
        <v>5</v>
      </c>
      <c r="AQ321" s="1">
        <v>5</v>
      </c>
      <c r="AR321" s="1" t="s">
        <v>83</v>
      </c>
      <c r="AS321" s="1">
        <v>5</v>
      </c>
      <c r="AT321" s="1">
        <v>5</v>
      </c>
      <c r="AU321" s="1" t="s">
        <v>83</v>
      </c>
      <c r="AV321" s="1">
        <v>5</v>
      </c>
      <c r="AW321" s="1">
        <v>5</v>
      </c>
      <c r="AX321" s="1" t="s">
        <v>83</v>
      </c>
      <c r="AY321" s="1">
        <v>0</v>
      </c>
      <c r="AZ321" s="1">
        <v>0</v>
      </c>
      <c r="BA321" s="1">
        <v>0</v>
      </c>
      <c r="BB321" s="1" t="s">
        <v>144</v>
      </c>
      <c r="BC321" s="1">
        <v>2</v>
      </c>
      <c r="BD321" s="1" t="s">
        <v>98</v>
      </c>
      <c r="BE321" s="1" t="s">
        <v>98</v>
      </c>
      <c r="BF321" s="1" t="s">
        <v>98</v>
      </c>
      <c r="BG321" s="1" t="s">
        <v>1991</v>
      </c>
    </row>
    <row r="322" spans="1:59" x14ac:dyDescent="0.35">
      <c r="A322" s="1">
        <v>321</v>
      </c>
      <c r="B322" s="1">
        <v>45845.756006944444</v>
      </c>
      <c r="C322" s="1" t="s">
        <v>1992</v>
      </c>
      <c r="D322" s="1" t="s">
        <v>1993</v>
      </c>
      <c r="E322" s="1" t="s">
        <v>772</v>
      </c>
      <c r="F322" s="1" t="s">
        <v>1994</v>
      </c>
      <c r="G322" s="1" t="s">
        <v>1995</v>
      </c>
      <c r="H322" s="1" t="s">
        <v>981</v>
      </c>
      <c r="I322" s="1" t="s">
        <v>982</v>
      </c>
      <c r="J322" s="1" t="s">
        <v>1996</v>
      </c>
      <c r="K322" s="1" t="s">
        <v>1997</v>
      </c>
      <c r="L322" s="1" t="s">
        <v>69</v>
      </c>
      <c r="M322" s="1" t="s">
        <v>69</v>
      </c>
      <c r="N322" s="1" t="s">
        <v>69</v>
      </c>
      <c r="O322" s="1" t="s">
        <v>69</v>
      </c>
      <c r="P322" s="1" t="s">
        <v>106</v>
      </c>
      <c r="Q322" s="1" t="s">
        <v>1180</v>
      </c>
      <c r="R322" s="1" t="s">
        <v>1342</v>
      </c>
      <c r="S322" s="1">
        <v>30</v>
      </c>
      <c r="T322" s="1" t="s">
        <v>92</v>
      </c>
      <c r="U322" s="1" t="s">
        <v>73</v>
      </c>
      <c r="V322" s="1" t="s">
        <v>991</v>
      </c>
      <c r="W322" s="1" t="s">
        <v>133</v>
      </c>
      <c r="X322" s="1">
        <v>5</v>
      </c>
      <c r="Y322" s="1">
        <v>6</v>
      </c>
      <c r="Z322" s="1" t="s">
        <v>83</v>
      </c>
      <c r="AA322" s="1">
        <v>5</v>
      </c>
      <c r="AB322" s="1">
        <v>5</v>
      </c>
      <c r="AC322" s="1" t="s">
        <v>83</v>
      </c>
      <c r="AD322" s="1">
        <v>5</v>
      </c>
      <c r="AE322" s="1">
        <v>5</v>
      </c>
      <c r="AF322" s="1" t="s">
        <v>83</v>
      </c>
      <c r="AG322" s="1">
        <v>0</v>
      </c>
      <c r="AH322" s="1">
        <v>0</v>
      </c>
      <c r="AI322" s="1" t="s">
        <v>83</v>
      </c>
      <c r="AJ322" s="1">
        <v>5</v>
      </c>
      <c r="AK322" s="1">
        <v>5</v>
      </c>
      <c r="AL322" s="1" t="s">
        <v>83</v>
      </c>
      <c r="AM322" s="1">
        <v>6</v>
      </c>
      <c r="AN322" s="1">
        <v>5</v>
      </c>
      <c r="AO322" s="1" t="s">
        <v>83</v>
      </c>
      <c r="AP322" s="1">
        <v>5</v>
      </c>
      <c r="AQ322" s="1">
        <v>5</v>
      </c>
      <c r="AR322" s="1" t="s">
        <v>83</v>
      </c>
      <c r="AS322" s="1">
        <v>5</v>
      </c>
      <c r="AT322" s="1">
        <v>5</v>
      </c>
      <c r="AU322" s="1" t="s">
        <v>83</v>
      </c>
      <c r="AV322" s="1">
        <v>5</v>
      </c>
      <c r="AW322" s="1">
        <v>5</v>
      </c>
      <c r="AX322" s="1" t="s">
        <v>83</v>
      </c>
      <c r="AY322" s="1">
        <v>0</v>
      </c>
      <c r="AZ322" s="1">
        <v>0</v>
      </c>
      <c r="BA322" s="1">
        <v>1</v>
      </c>
      <c r="BB322" s="1" t="s">
        <v>83</v>
      </c>
      <c r="BC322" s="1">
        <v>0</v>
      </c>
      <c r="BD322" s="1" t="s">
        <v>985</v>
      </c>
      <c r="BE322" s="1" t="s">
        <v>1998</v>
      </c>
      <c r="BF322" s="1" t="s">
        <v>985</v>
      </c>
      <c r="BG322" s="1" t="s">
        <v>83</v>
      </c>
    </row>
    <row r="323" spans="1:59" x14ac:dyDescent="0.35">
      <c r="A323" s="1">
        <v>322</v>
      </c>
      <c r="B323" s="1">
        <v>45846.602592592593</v>
      </c>
      <c r="C323" s="1" t="s">
        <v>1239</v>
      </c>
      <c r="D323" s="1" t="s">
        <v>1999</v>
      </c>
      <c r="E323" s="1" t="s">
        <v>63</v>
      </c>
      <c r="F323" s="1" t="s">
        <v>63</v>
      </c>
      <c r="G323" s="1" t="s">
        <v>2000</v>
      </c>
      <c r="H323" s="1" t="s">
        <v>103</v>
      </c>
      <c r="I323" s="1" t="s">
        <v>588</v>
      </c>
      <c r="J323" s="1" t="s">
        <v>2001</v>
      </c>
      <c r="K323" s="1" t="s">
        <v>2002</v>
      </c>
      <c r="L323" s="1" t="s">
        <v>69</v>
      </c>
      <c r="M323" s="1" t="s">
        <v>69</v>
      </c>
      <c r="N323" s="1" t="s">
        <v>69</v>
      </c>
      <c r="O323" s="1" t="s">
        <v>69</v>
      </c>
      <c r="P323" s="1" t="s">
        <v>70</v>
      </c>
      <c r="Q323" s="1" t="s">
        <v>1168</v>
      </c>
      <c r="R323" s="1" t="s">
        <v>590</v>
      </c>
      <c r="S323" s="1">
        <v>42</v>
      </c>
      <c r="T323" s="1" t="s">
        <v>197</v>
      </c>
      <c r="U323" s="1" t="s">
        <v>93</v>
      </c>
      <c r="V323" s="1" t="s">
        <v>154</v>
      </c>
      <c r="W323" s="1" t="s">
        <v>154</v>
      </c>
      <c r="X323" s="1">
        <v>6</v>
      </c>
      <c r="Y323" s="1">
        <v>5</v>
      </c>
      <c r="Z323" s="1" t="s">
        <v>83</v>
      </c>
      <c r="AA323" s="1">
        <v>6</v>
      </c>
      <c r="AB323" s="1">
        <v>5</v>
      </c>
      <c r="AC323" s="1" t="s">
        <v>83</v>
      </c>
      <c r="AD323" s="1">
        <v>6</v>
      </c>
      <c r="AE323" s="1">
        <v>6</v>
      </c>
      <c r="AF323" s="1" t="s">
        <v>83</v>
      </c>
      <c r="AG323" s="1">
        <v>0</v>
      </c>
      <c r="AH323" s="1">
        <v>0</v>
      </c>
      <c r="AI323" s="1" t="s">
        <v>83</v>
      </c>
      <c r="AJ323" s="1">
        <v>6</v>
      </c>
      <c r="AK323" s="1">
        <v>6</v>
      </c>
      <c r="AL323" s="1" t="s">
        <v>83</v>
      </c>
      <c r="AM323" s="1">
        <v>6</v>
      </c>
      <c r="AN323" s="1">
        <v>6</v>
      </c>
      <c r="AO323" s="1" t="s">
        <v>83</v>
      </c>
      <c r="AP323" s="1">
        <v>6</v>
      </c>
      <c r="AQ323" s="1">
        <v>6</v>
      </c>
      <c r="AR323" s="1" t="s">
        <v>83</v>
      </c>
      <c r="AS323" s="1">
        <v>6</v>
      </c>
      <c r="AT323" s="1">
        <v>6</v>
      </c>
      <c r="AU323" s="1" t="s">
        <v>83</v>
      </c>
      <c r="AV323" s="1">
        <v>6</v>
      </c>
      <c r="AW323" s="1">
        <v>6</v>
      </c>
      <c r="AX323" s="1" t="s">
        <v>83</v>
      </c>
      <c r="AY323" s="1">
        <v>1</v>
      </c>
      <c r="AZ323" s="1">
        <v>2</v>
      </c>
      <c r="BA323" s="1">
        <v>0</v>
      </c>
      <c r="BB323" s="1" t="s">
        <v>83</v>
      </c>
      <c r="BC323" s="1">
        <v>0</v>
      </c>
      <c r="BD323" s="1" t="s">
        <v>2003</v>
      </c>
      <c r="BE323" s="1" t="s">
        <v>2004</v>
      </c>
      <c r="BF323" s="1" t="s">
        <v>503</v>
      </c>
      <c r="BG323" s="1" t="s">
        <v>2005</v>
      </c>
    </row>
    <row r="324" spans="1:59" x14ac:dyDescent="0.35">
      <c r="A324" s="1">
        <v>323</v>
      </c>
      <c r="B324" s="1">
        <v>45846.610833333332</v>
      </c>
      <c r="C324" s="1" t="s">
        <v>2006</v>
      </c>
      <c r="D324" s="1" t="s">
        <v>2007</v>
      </c>
      <c r="E324" s="1" t="s">
        <v>63</v>
      </c>
      <c r="F324" s="1" t="s">
        <v>416</v>
      </c>
      <c r="G324" s="1" t="s">
        <v>2008</v>
      </c>
      <c r="H324" s="1" t="s">
        <v>103</v>
      </c>
      <c r="I324" s="1" t="s">
        <v>588</v>
      </c>
      <c r="J324" s="1" t="s">
        <v>2009</v>
      </c>
      <c r="K324" s="1" t="s">
        <v>1098</v>
      </c>
      <c r="L324" s="1" t="s">
        <v>69</v>
      </c>
      <c r="M324" s="1" t="s">
        <v>69</v>
      </c>
      <c r="N324" s="1" t="s">
        <v>69</v>
      </c>
      <c r="O324" s="1" t="s">
        <v>69</v>
      </c>
      <c r="P324" s="1" t="s">
        <v>106</v>
      </c>
      <c r="Q324" s="1" t="s">
        <v>1168</v>
      </c>
      <c r="R324" s="1" t="s">
        <v>561</v>
      </c>
      <c r="S324" s="1">
        <v>45</v>
      </c>
      <c r="T324" s="1" t="s">
        <v>197</v>
      </c>
      <c r="U324" s="1" t="s">
        <v>1343</v>
      </c>
      <c r="V324" s="1" t="s">
        <v>154</v>
      </c>
      <c r="W324" s="1" t="s">
        <v>154</v>
      </c>
      <c r="X324" s="1">
        <v>6</v>
      </c>
      <c r="Y324" s="1">
        <v>6</v>
      </c>
      <c r="Z324" s="1" t="s">
        <v>83</v>
      </c>
      <c r="AA324" s="1">
        <v>6</v>
      </c>
      <c r="AB324" s="1">
        <v>6</v>
      </c>
      <c r="AC324" s="1" t="s">
        <v>83</v>
      </c>
      <c r="AD324" s="1">
        <v>6</v>
      </c>
      <c r="AE324" s="1">
        <v>6</v>
      </c>
      <c r="AF324" s="1" t="s">
        <v>83</v>
      </c>
      <c r="AG324" s="1">
        <v>0</v>
      </c>
      <c r="AH324" s="1">
        <v>0</v>
      </c>
      <c r="AI324" s="1" t="s">
        <v>83</v>
      </c>
      <c r="AJ324" s="1">
        <v>6</v>
      </c>
      <c r="AK324" s="1">
        <v>6</v>
      </c>
      <c r="AL324" s="1" t="s">
        <v>83</v>
      </c>
      <c r="AM324" s="1">
        <v>6</v>
      </c>
      <c r="AN324" s="1">
        <v>6</v>
      </c>
      <c r="AO324" s="1" t="s">
        <v>83</v>
      </c>
      <c r="AP324" s="1">
        <v>6</v>
      </c>
      <c r="AQ324" s="1">
        <v>6</v>
      </c>
      <c r="AR324" s="1" t="s">
        <v>83</v>
      </c>
      <c r="AS324" s="1">
        <v>6</v>
      </c>
      <c r="AT324" s="1">
        <v>6</v>
      </c>
      <c r="AU324" s="1" t="s">
        <v>83</v>
      </c>
      <c r="AV324" s="1">
        <v>5</v>
      </c>
      <c r="AW324" s="1">
        <v>6</v>
      </c>
      <c r="AX324" s="1" t="s">
        <v>83</v>
      </c>
      <c r="AY324" s="1">
        <v>0</v>
      </c>
      <c r="AZ324" s="1">
        <v>0</v>
      </c>
      <c r="BA324" s="1">
        <v>2</v>
      </c>
      <c r="BB324" s="1" t="s">
        <v>83</v>
      </c>
      <c r="BC324" s="1">
        <v>0</v>
      </c>
      <c r="BD324" s="1" t="s">
        <v>2010</v>
      </c>
      <c r="BE324" s="1" t="s">
        <v>503</v>
      </c>
      <c r="BF324" s="1" t="s">
        <v>2011</v>
      </c>
      <c r="BG324" s="1" t="s">
        <v>2012</v>
      </c>
    </row>
    <row r="325" spans="1:59" x14ac:dyDescent="0.35">
      <c r="A325" s="1">
        <v>324</v>
      </c>
      <c r="B325" s="1">
        <v>45846.678912037038</v>
      </c>
      <c r="C325" s="1" t="s">
        <v>2013</v>
      </c>
      <c r="D325" s="1" t="s">
        <v>2014</v>
      </c>
      <c r="E325" s="1" t="s">
        <v>63</v>
      </c>
      <c r="F325" s="1" t="s">
        <v>338</v>
      </c>
      <c r="G325" s="1" t="s">
        <v>2015</v>
      </c>
      <c r="H325" s="1" t="s">
        <v>981</v>
      </c>
      <c r="I325" s="1" t="s">
        <v>982</v>
      </c>
      <c r="J325" s="1" t="s">
        <v>2016</v>
      </c>
      <c r="K325" s="1" t="s">
        <v>1294</v>
      </c>
      <c r="L325" s="1" t="s">
        <v>69</v>
      </c>
      <c r="M325" s="1" t="s">
        <v>69</v>
      </c>
      <c r="N325" s="1" t="s">
        <v>69</v>
      </c>
      <c r="O325" s="1" t="s">
        <v>69</v>
      </c>
      <c r="P325" s="1" t="s">
        <v>70</v>
      </c>
      <c r="Q325" s="1" t="s">
        <v>1168</v>
      </c>
      <c r="R325" s="1" t="s">
        <v>884</v>
      </c>
      <c r="S325" s="1">
        <v>38</v>
      </c>
      <c r="T325" s="1" t="s">
        <v>153</v>
      </c>
      <c r="U325" s="1" t="s">
        <v>93</v>
      </c>
      <c r="V325" s="1" t="s">
        <v>2017</v>
      </c>
      <c r="W325" s="1" t="s">
        <v>413</v>
      </c>
      <c r="X325" s="1">
        <v>6</v>
      </c>
      <c r="Y325" s="1">
        <v>6</v>
      </c>
      <c r="Z325" s="1" t="s">
        <v>83</v>
      </c>
      <c r="AA325" s="1">
        <v>6</v>
      </c>
      <c r="AB325" s="1">
        <v>6</v>
      </c>
      <c r="AC325" s="1" t="s">
        <v>83</v>
      </c>
      <c r="AD325" s="1">
        <v>6</v>
      </c>
      <c r="AE325" s="1">
        <v>6</v>
      </c>
      <c r="AF325" s="1" t="s">
        <v>83</v>
      </c>
      <c r="AG325" s="1">
        <v>0</v>
      </c>
      <c r="AH325" s="1">
        <v>0</v>
      </c>
      <c r="AI325" s="1" t="s">
        <v>83</v>
      </c>
      <c r="AJ325" s="1">
        <v>6</v>
      </c>
      <c r="AK325" s="1">
        <v>6</v>
      </c>
      <c r="AL325" s="1" t="s">
        <v>83</v>
      </c>
      <c r="AM325" s="1">
        <v>6</v>
      </c>
      <c r="AN325" s="1">
        <v>6</v>
      </c>
      <c r="AO325" s="1" t="s">
        <v>83</v>
      </c>
      <c r="AP325" s="1">
        <v>6</v>
      </c>
      <c r="AQ325" s="1">
        <v>6</v>
      </c>
      <c r="AR325" s="1" t="s">
        <v>83</v>
      </c>
      <c r="AS325" s="1">
        <v>6</v>
      </c>
      <c r="AT325" s="1">
        <v>6</v>
      </c>
      <c r="AU325" s="1" t="s">
        <v>83</v>
      </c>
      <c r="AV325" s="1">
        <v>6</v>
      </c>
      <c r="AW325" s="1">
        <v>6</v>
      </c>
      <c r="AX325" s="1" t="s">
        <v>83</v>
      </c>
      <c r="AY325" s="1">
        <v>0</v>
      </c>
      <c r="AZ325" s="1">
        <v>0</v>
      </c>
      <c r="BA325" s="1">
        <v>1</v>
      </c>
      <c r="BB325" s="1" t="s">
        <v>83</v>
      </c>
      <c r="BC325" s="1">
        <v>0</v>
      </c>
      <c r="BD325" s="1" t="s">
        <v>985</v>
      </c>
      <c r="BE325" s="1" t="s">
        <v>985</v>
      </c>
      <c r="BF325" s="1" t="s">
        <v>985</v>
      </c>
      <c r="BG325" s="1" t="s">
        <v>83</v>
      </c>
    </row>
    <row r="326" spans="1:59" x14ac:dyDescent="0.35">
      <c r="A326" s="1">
        <v>325</v>
      </c>
      <c r="B326" s="1">
        <v>45846.682500000003</v>
      </c>
      <c r="C326" s="1" t="s">
        <v>2018</v>
      </c>
      <c r="D326" s="1" t="s">
        <v>2019</v>
      </c>
      <c r="E326" s="1" t="s">
        <v>63</v>
      </c>
      <c r="F326" s="1" t="s">
        <v>397</v>
      </c>
      <c r="G326" s="1" t="s">
        <v>2020</v>
      </c>
      <c r="H326" s="1" t="s">
        <v>981</v>
      </c>
      <c r="I326" s="1" t="s">
        <v>982</v>
      </c>
      <c r="J326" s="1" t="s">
        <v>2016</v>
      </c>
      <c r="K326" s="1" t="s">
        <v>1133</v>
      </c>
      <c r="L326" s="1" t="s">
        <v>69</v>
      </c>
      <c r="M326" s="1" t="s">
        <v>69</v>
      </c>
      <c r="N326" s="1" t="s">
        <v>69</v>
      </c>
      <c r="O326" s="1" t="s">
        <v>69</v>
      </c>
      <c r="P326" s="1" t="s">
        <v>70</v>
      </c>
      <c r="Q326" s="1" t="s">
        <v>1168</v>
      </c>
      <c r="R326" s="1" t="s">
        <v>492</v>
      </c>
      <c r="S326" s="1">
        <v>24</v>
      </c>
      <c r="T326" s="1" t="s">
        <v>72</v>
      </c>
      <c r="U326" s="1" t="s">
        <v>93</v>
      </c>
      <c r="V326" s="1" t="s">
        <v>2021</v>
      </c>
      <c r="W326" s="1" t="s">
        <v>74</v>
      </c>
      <c r="X326" s="1">
        <v>6</v>
      </c>
      <c r="Y326" s="1">
        <v>6</v>
      </c>
      <c r="Z326" s="1" t="s">
        <v>83</v>
      </c>
      <c r="AA326" s="1">
        <v>6</v>
      </c>
      <c r="AB326" s="1">
        <v>6</v>
      </c>
      <c r="AC326" s="1" t="s">
        <v>83</v>
      </c>
      <c r="AD326" s="1">
        <v>5</v>
      </c>
      <c r="AE326" s="1">
        <v>6</v>
      </c>
      <c r="AF326" s="1" t="s">
        <v>83</v>
      </c>
      <c r="AG326" s="1">
        <v>0</v>
      </c>
      <c r="AH326" s="1">
        <v>0</v>
      </c>
      <c r="AI326" s="1" t="s">
        <v>83</v>
      </c>
      <c r="AJ326" s="1">
        <v>6</v>
      </c>
      <c r="AK326" s="1">
        <v>6</v>
      </c>
      <c r="AL326" s="1" t="s">
        <v>83</v>
      </c>
      <c r="AM326" s="1">
        <v>6</v>
      </c>
      <c r="AN326" s="1">
        <v>6</v>
      </c>
      <c r="AO326" s="1" t="s">
        <v>83</v>
      </c>
      <c r="AP326" s="1">
        <v>6</v>
      </c>
      <c r="AQ326" s="1">
        <v>6</v>
      </c>
      <c r="AR326" s="1" t="s">
        <v>83</v>
      </c>
      <c r="AS326" s="1">
        <v>6</v>
      </c>
      <c r="AT326" s="1">
        <v>6</v>
      </c>
      <c r="AU326" s="1" t="s">
        <v>83</v>
      </c>
      <c r="AV326" s="1">
        <v>5</v>
      </c>
      <c r="AW326" s="1">
        <v>6</v>
      </c>
      <c r="AX326" s="1" t="s">
        <v>83</v>
      </c>
      <c r="AY326" s="1">
        <v>0</v>
      </c>
      <c r="AZ326" s="1">
        <v>0</v>
      </c>
      <c r="BA326" s="1">
        <v>1</v>
      </c>
      <c r="BB326" s="1" t="s">
        <v>83</v>
      </c>
      <c r="BC326" s="1">
        <v>0</v>
      </c>
      <c r="BD326" s="1" t="s">
        <v>985</v>
      </c>
      <c r="BE326" s="1" t="s">
        <v>985</v>
      </c>
      <c r="BF326" s="1" t="s">
        <v>985</v>
      </c>
      <c r="BG326" s="1" t="s">
        <v>83</v>
      </c>
    </row>
    <row r="327" spans="1:59" x14ac:dyDescent="0.35">
      <c r="A327" s="1">
        <v>326</v>
      </c>
      <c r="B327" s="1">
        <v>45846.742962962962</v>
      </c>
      <c r="C327" s="1" t="s">
        <v>2022</v>
      </c>
      <c r="D327" s="1" t="s">
        <v>2023</v>
      </c>
      <c r="E327" s="1" t="s">
        <v>63</v>
      </c>
      <c r="F327" s="1" t="s">
        <v>338</v>
      </c>
      <c r="G327" s="1" t="s">
        <v>2024</v>
      </c>
      <c r="H327" s="1" t="s">
        <v>88</v>
      </c>
      <c r="I327" s="1" t="s">
        <v>89</v>
      </c>
      <c r="J327" s="1" t="s">
        <v>2001</v>
      </c>
      <c r="K327" s="1" t="s">
        <v>2025</v>
      </c>
      <c r="L327" s="1" t="s">
        <v>69</v>
      </c>
      <c r="M327" s="1" t="s">
        <v>69</v>
      </c>
      <c r="N327" s="1" t="s">
        <v>69</v>
      </c>
      <c r="O327" s="1" t="s">
        <v>69</v>
      </c>
      <c r="P327" s="1" t="s">
        <v>70</v>
      </c>
      <c r="Q327" s="1" t="s">
        <v>1168</v>
      </c>
      <c r="R327" s="1" t="s">
        <v>680</v>
      </c>
      <c r="S327" s="1">
        <v>39</v>
      </c>
      <c r="T327" s="1" t="s">
        <v>153</v>
      </c>
      <c r="U327" s="1" t="s">
        <v>254</v>
      </c>
      <c r="V327" s="1" t="s">
        <v>154</v>
      </c>
      <c r="W327" s="1" t="s">
        <v>154</v>
      </c>
      <c r="X327" s="1">
        <v>5</v>
      </c>
      <c r="Y327" s="1">
        <v>6</v>
      </c>
      <c r="Z327" s="1" t="s">
        <v>83</v>
      </c>
      <c r="AA327" s="1">
        <v>6</v>
      </c>
      <c r="AB327" s="1">
        <v>6</v>
      </c>
      <c r="AC327" s="1" t="s">
        <v>83</v>
      </c>
      <c r="AD327" s="1">
        <v>5</v>
      </c>
      <c r="AE327" s="1">
        <v>5</v>
      </c>
      <c r="AF327" s="1" t="s">
        <v>83</v>
      </c>
      <c r="AG327" s="1">
        <v>0</v>
      </c>
      <c r="AH327" s="1">
        <v>0</v>
      </c>
      <c r="AI327" s="1" t="s">
        <v>83</v>
      </c>
      <c r="AJ327" s="1">
        <v>6</v>
      </c>
      <c r="AK327" s="1">
        <v>6</v>
      </c>
      <c r="AL327" s="1" t="s">
        <v>83</v>
      </c>
      <c r="AM327" s="1">
        <v>6</v>
      </c>
      <c r="AN327" s="1">
        <v>6</v>
      </c>
      <c r="AO327" s="1" t="s">
        <v>83</v>
      </c>
      <c r="AP327" s="1">
        <v>6</v>
      </c>
      <c r="AQ327" s="1">
        <v>6</v>
      </c>
      <c r="AR327" s="1" t="s">
        <v>83</v>
      </c>
      <c r="AS327" s="1">
        <v>6</v>
      </c>
      <c r="AT327" s="1">
        <v>6</v>
      </c>
      <c r="AU327" s="1" t="s">
        <v>83</v>
      </c>
      <c r="AV327" s="1">
        <v>5</v>
      </c>
      <c r="AW327" s="1">
        <v>5</v>
      </c>
      <c r="AX327" s="1" t="s">
        <v>83</v>
      </c>
      <c r="AY327" s="1">
        <v>0</v>
      </c>
      <c r="AZ327" s="1">
        <v>0</v>
      </c>
      <c r="BA327" s="1">
        <v>0</v>
      </c>
      <c r="BB327" s="1" t="s">
        <v>2026</v>
      </c>
      <c r="BC327" s="1">
        <v>2</v>
      </c>
      <c r="BD327" s="1" t="s">
        <v>98</v>
      </c>
      <c r="BE327" s="1" t="s">
        <v>98</v>
      </c>
      <c r="BF327" s="1" t="s">
        <v>2027</v>
      </c>
      <c r="BG327" s="1" t="s">
        <v>98</v>
      </c>
    </row>
    <row r="328" spans="1:59" x14ac:dyDescent="0.35">
      <c r="A328" s="1">
        <v>327</v>
      </c>
      <c r="B328" s="1">
        <v>45846.745138888888</v>
      </c>
      <c r="C328" s="1" t="s">
        <v>2028</v>
      </c>
      <c r="D328" s="1" t="s">
        <v>2029</v>
      </c>
      <c r="E328" s="1" t="s">
        <v>63</v>
      </c>
      <c r="F328" s="1" t="s">
        <v>179</v>
      </c>
      <c r="G328" s="1" t="s">
        <v>2030</v>
      </c>
      <c r="H328" s="1" t="s">
        <v>65</v>
      </c>
      <c r="I328" s="1" t="s">
        <v>66</v>
      </c>
      <c r="J328" s="1" t="s">
        <v>2001</v>
      </c>
      <c r="K328" s="1" t="s">
        <v>2031</v>
      </c>
      <c r="L328" s="1" t="s">
        <v>69</v>
      </c>
      <c r="M328" s="1" t="s">
        <v>69</v>
      </c>
      <c r="N328" s="1" t="s">
        <v>69</v>
      </c>
      <c r="O328" s="1" t="s">
        <v>69</v>
      </c>
      <c r="P328" s="1" t="s">
        <v>70</v>
      </c>
      <c r="Q328" s="1" t="s">
        <v>1168</v>
      </c>
      <c r="R328" s="1" t="s">
        <v>1342</v>
      </c>
      <c r="S328" s="1">
        <v>30</v>
      </c>
      <c r="T328" s="1" t="s">
        <v>92</v>
      </c>
      <c r="U328" s="1" t="s">
        <v>73</v>
      </c>
      <c r="V328" s="1" t="s">
        <v>74</v>
      </c>
      <c r="W328" s="1" t="s">
        <v>74</v>
      </c>
      <c r="X328" s="1">
        <v>6</v>
      </c>
      <c r="Y328" s="1">
        <v>6</v>
      </c>
      <c r="Z328" s="1" t="s">
        <v>83</v>
      </c>
      <c r="AA328" s="1">
        <v>6</v>
      </c>
      <c r="AB328" s="1">
        <v>6</v>
      </c>
      <c r="AC328" s="1" t="s">
        <v>83</v>
      </c>
      <c r="AD328" s="1">
        <v>6</v>
      </c>
      <c r="AE328" s="1">
        <v>6</v>
      </c>
      <c r="AF328" s="1" t="s">
        <v>83</v>
      </c>
      <c r="AG328" s="1">
        <v>0</v>
      </c>
      <c r="AH328" s="1">
        <v>0</v>
      </c>
      <c r="AI328" s="1" t="s">
        <v>83</v>
      </c>
      <c r="AJ328" s="1">
        <v>6</v>
      </c>
      <c r="AK328" s="1">
        <v>6</v>
      </c>
      <c r="AL328" s="1" t="s">
        <v>83</v>
      </c>
      <c r="AM328" s="1">
        <v>6</v>
      </c>
      <c r="AN328" s="1">
        <v>6</v>
      </c>
      <c r="AO328" s="1" t="s">
        <v>83</v>
      </c>
      <c r="AP328" s="1">
        <v>6</v>
      </c>
      <c r="AQ328" s="1">
        <v>6</v>
      </c>
      <c r="AR328" s="1" t="s">
        <v>83</v>
      </c>
      <c r="AS328" s="1">
        <v>6</v>
      </c>
      <c r="AT328" s="1">
        <v>6</v>
      </c>
      <c r="AU328" s="1" t="s">
        <v>83</v>
      </c>
      <c r="AV328" s="1">
        <v>6</v>
      </c>
      <c r="AW328" s="1">
        <v>6</v>
      </c>
      <c r="AX328" s="1" t="s">
        <v>83</v>
      </c>
      <c r="AY328" s="1">
        <v>0</v>
      </c>
      <c r="AZ328" s="1">
        <v>0</v>
      </c>
      <c r="BA328" s="1">
        <v>0</v>
      </c>
      <c r="BB328" s="1" t="s">
        <v>144</v>
      </c>
      <c r="BC328" s="1">
        <v>3</v>
      </c>
      <c r="BD328" s="1" t="s">
        <v>2032</v>
      </c>
      <c r="BE328" s="1" t="s">
        <v>442</v>
      </c>
      <c r="BF328" s="1" t="s">
        <v>442</v>
      </c>
      <c r="BG328" s="1" t="s">
        <v>83</v>
      </c>
    </row>
    <row r="329" spans="1:59" x14ac:dyDescent="0.35">
      <c r="A329" s="1">
        <v>328</v>
      </c>
      <c r="B329" s="1">
        <v>45846.748715277776</v>
      </c>
      <c r="C329" s="1" t="s">
        <v>2033</v>
      </c>
      <c r="D329" s="1" t="s">
        <v>2034</v>
      </c>
      <c r="E329" s="1" t="s">
        <v>63</v>
      </c>
      <c r="F329" s="1" t="s">
        <v>179</v>
      </c>
      <c r="G329" s="1" t="s">
        <v>2035</v>
      </c>
      <c r="H329" s="1" t="s">
        <v>65</v>
      </c>
      <c r="I329" s="1" t="s">
        <v>66</v>
      </c>
      <c r="J329" s="1" t="s">
        <v>2001</v>
      </c>
      <c r="K329" s="1" t="s">
        <v>2036</v>
      </c>
      <c r="L329" s="1" t="s">
        <v>69</v>
      </c>
      <c r="M329" s="1" t="s">
        <v>69</v>
      </c>
      <c r="N329" s="1" t="s">
        <v>69</v>
      </c>
      <c r="O329" s="1" t="s">
        <v>69</v>
      </c>
      <c r="P329" s="1" t="s">
        <v>70</v>
      </c>
      <c r="Q329" s="1" t="s">
        <v>1168</v>
      </c>
      <c r="R329" s="1" t="s">
        <v>253</v>
      </c>
      <c r="S329" s="1">
        <v>60</v>
      </c>
      <c r="T329" s="1" t="s">
        <v>182</v>
      </c>
      <c r="U329" s="1" t="s">
        <v>93</v>
      </c>
      <c r="V329" s="1" t="s">
        <v>2037</v>
      </c>
      <c r="W329" s="1" t="s">
        <v>184</v>
      </c>
      <c r="X329" s="1">
        <v>5</v>
      </c>
      <c r="Y329" s="1">
        <v>5</v>
      </c>
      <c r="Z329" s="1" t="s">
        <v>83</v>
      </c>
      <c r="AA329" s="1">
        <v>5</v>
      </c>
      <c r="AB329" s="1">
        <v>5</v>
      </c>
      <c r="AC329" s="1" t="s">
        <v>83</v>
      </c>
      <c r="AD329" s="1">
        <v>6</v>
      </c>
      <c r="AE329" s="1">
        <v>6</v>
      </c>
      <c r="AF329" s="1" t="s">
        <v>83</v>
      </c>
      <c r="AG329" s="1">
        <v>0</v>
      </c>
      <c r="AH329" s="1">
        <v>0</v>
      </c>
      <c r="AI329" s="1" t="s">
        <v>83</v>
      </c>
      <c r="AJ329" s="1">
        <v>5</v>
      </c>
      <c r="AK329" s="1">
        <v>5</v>
      </c>
      <c r="AL329" s="1" t="s">
        <v>83</v>
      </c>
      <c r="AM329" s="1">
        <v>5</v>
      </c>
      <c r="AN329" s="1">
        <v>5</v>
      </c>
      <c r="AO329" s="1" t="s">
        <v>83</v>
      </c>
      <c r="AP329" s="1">
        <v>6</v>
      </c>
      <c r="AQ329" s="1">
        <v>6</v>
      </c>
      <c r="AR329" s="1" t="s">
        <v>83</v>
      </c>
      <c r="AS329" s="1">
        <v>6</v>
      </c>
      <c r="AT329" s="1">
        <v>6</v>
      </c>
      <c r="AU329" s="1" t="s">
        <v>83</v>
      </c>
      <c r="AV329" s="1">
        <v>5</v>
      </c>
      <c r="AW329" s="1">
        <v>5</v>
      </c>
      <c r="AX329" s="1" t="s">
        <v>83</v>
      </c>
      <c r="AY329" s="1">
        <v>0</v>
      </c>
      <c r="AZ329" s="1">
        <v>0</v>
      </c>
      <c r="BA329" s="1">
        <v>0</v>
      </c>
      <c r="BB329" s="1" t="s">
        <v>2038</v>
      </c>
      <c r="BC329" s="1">
        <v>3</v>
      </c>
      <c r="BD329" s="1" t="s">
        <v>2039</v>
      </c>
      <c r="BE329" s="1" t="s">
        <v>1305</v>
      </c>
      <c r="BF329" s="1" t="s">
        <v>2040</v>
      </c>
      <c r="BG329" s="1" t="s">
        <v>83</v>
      </c>
    </row>
    <row r="330" spans="1:59" x14ac:dyDescent="0.35">
      <c r="A330" s="1">
        <v>329</v>
      </c>
      <c r="B330" s="1">
        <v>45846.798495370371</v>
      </c>
      <c r="C330" s="1" t="s">
        <v>2041</v>
      </c>
      <c r="D330" s="1" t="s">
        <v>2042</v>
      </c>
      <c r="E330" s="1" t="s">
        <v>63</v>
      </c>
      <c r="F330" s="1" t="s">
        <v>125</v>
      </c>
      <c r="G330" s="1" t="s">
        <v>2043</v>
      </c>
      <c r="H330" s="1" t="s">
        <v>65</v>
      </c>
      <c r="I330" s="1" t="s">
        <v>66</v>
      </c>
      <c r="J330" s="1" t="s">
        <v>2001</v>
      </c>
      <c r="K330" s="1" t="s">
        <v>2044</v>
      </c>
      <c r="L330" s="1" t="s">
        <v>69</v>
      </c>
      <c r="M330" s="1" t="s">
        <v>69</v>
      </c>
      <c r="N330" s="1" t="s">
        <v>69</v>
      </c>
      <c r="O330" s="1" t="s">
        <v>69</v>
      </c>
      <c r="P330" s="1" t="s">
        <v>70</v>
      </c>
      <c r="Q330" s="1" t="s">
        <v>1168</v>
      </c>
      <c r="R330" s="1" t="s">
        <v>404</v>
      </c>
      <c r="S330" s="1">
        <v>42</v>
      </c>
      <c r="T330" s="1" t="s">
        <v>197</v>
      </c>
      <c r="U330" s="1" t="s">
        <v>73</v>
      </c>
      <c r="V330" s="1" t="s">
        <v>110</v>
      </c>
      <c r="W330" s="1" t="s">
        <v>110</v>
      </c>
      <c r="X330" s="1">
        <v>5</v>
      </c>
      <c r="Y330" s="1">
        <v>5</v>
      </c>
      <c r="Z330" s="1" t="s">
        <v>83</v>
      </c>
      <c r="AA330" s="1">
        <v>6</v>
      </c>
      <c r="AB330" s="1">
        <v>6</v>
      </c>
      <c r="AC330" s="1" t="s">
        <v>83</v>
      </c>
      <c r="AD330" s="1">
        <v>6</v>
      </c>
      <c r="AE330" s="1">
        <v>6</v>
      </c>
      <c r="AF330" s="1" t="s">
        <v>83</v>
      </c>
      <c r="AG330" s="1">
        <v>0</v>
      </c>
      <c r="AH330" s="1">
        <v>0</v>
      </c>
      <c r="AI330" s="1" t="s">
        <v>83</v>
      </c>
      <c r="AJ330" s="1">
        <v>5</v>
      </c>
      <c r="AK330" s="1">
        <v>5</v>
      </c>
      <c r="AL330" s="1" t="s">
        <v>83</v>
      </c>
      <c r="AM330" s="1">
        <v>5</v>
      </c>
      <c r="AN330" s="1">
        <v>5</v>
      </c>
      <c r="AO330" s="1" t="s">
        <v>83</v>
      </c>
      <c r="AP330" s="1">
        <v>5</v>
      </c>
      <c r="AQ330" s="1">
        <v>5</v>
      </c>
      <c r="AR330" s="1" t="s">
        <v>83</v>
      </c>
      <c r="AS330" s="1">
        <v>5</v>
      </c>
      <c r="AT330" s="1">
        <v>5</v>
      </c>
      <c r="AU330" s="1" t="s">
        <v>83</v>
      </c>
      <c r="AV330" s="1">
        <v>5</v>
      </c>
      <c r="AW330" s="1">
        <v>5</v>
      </c>
      <c r="AX330" s="1" t="s">
        <v>83</v>
      </c>
      <c r="AY330" s="1">
        <v>0</v>
      </c>
      <c r="AZ330" s="1">
        <v>0</v>
      </c>
      <c r="BA330" s="1">
        <v>0</v>
      </c>
      <c r="BB330" s="1" t="s">
        <v>2045</v>
      </c>
      <c r="BC330" s="1">
        <v>1</v>
      </c>
      <c r="BD330" s="1" t="s">
        <v>2046</v>
      </c>
      <c r="BE330" s="1" t="s">
        <v>2047</v>
      </c>
      <c r="BF330" s="1" t="s">
        <v>2048</v>
      </c>
      <c r="BG330" s="1" t="s">
        <v>83</v>
      </c>
    </row>
    <row r="331" spans="1:59" x14ac:dyDescent="0.35">
      <c r="A331" s="1">
        <v>330</v>
      </c>
      <c r="B331" s="1">
        <v>45846.800937499997</v>
      </c>
      <c r="C331" s="1" t="s">
        <v>2049</v>
      </c>
      <c r="D331" s="1" t="s">
        <v>2050</v>
      </c>
      <c r="E331" s="1" t="s">
        <v>63</v>
      </c>
      <c r="F331" s="1" t="s">
        <v>125</v>
      </c>
      <c r="G331" s="1" t="s">
        <v>2051</v>
      </c>
      <c r="H331" s="1" t="s">
        <v>65</v>
      </c>
      <c r="I331" s="1" t="s">
        <v>66</v>
      </c>
      <c r="J331" s="1" t="s">
        <v>2001</v>
      </c>
      <c r="K331" s="1" t="s">
        <v>2052</v>
      </c>
      <c r="L331" s="1" t="s">
        <v>69</v>
      </c>
      <c r="M331" s="1" t="s">
        <v>69</v>
      </c>
      <c r="N331" s="1" t="s">
        <v>69</v>
      </c>
      <c r="O331" s="1" t="s">
        <v>69</v>
      </c>
      <c r="P331" s="1" t="s">
        <v>70</v>
      </c>
      <c r="Q331" s="1" t="s">
        <v>1168</v>
      </c>
      <c r="R331" s="1" t="s">
        <v>884</v>
      </c>
      <c r="S331" s="1">
        <v>38</v>
      </c>
      <c r="T331" s="1" t="s">
        <v>153</v>
      </c>
      <c r="U331" s="1" t="s">
        <v>73</v>
      </c>
      <c r="V331" s="1" t="s">
        <v>110</v>
      </c>
      <c r="W331" s="1" t="s">
        <v>110</v>
      </c>
      <c r="X331" s="1">
        <v>6</v>
      </c>
      <c r="Y331" s="1">
        <v>6</v>
      </c>
      <c r="Z331" s="1" t="s">
        <v>83</v>
      </c>
      <c r="AA331" s="1">
        <v>6</v>
      </c>
      <c r="AB331" s="1">
        <v>6</v>
      </c>
      <c r="AC331" s="1" t="s">
        <v>83</v>
      </c>
      <c r="AD331" s="1">
        <v>6</v>
      </c>
      <c r="AE331" s="1">
        <v>6</v>
      </c>
      <c r="AF331" s="1" t="s">
        <v>83</v>
      </c>
      <c r="AG331" s="1">
        <v>0</v>
      </c>
      <c r="AH331" s="1">
        <v>0</v>
      </c>
      <c r="AI331" s="1" t="s">
        <v>83</v>
      </c>
      <c r="AJ331" s="1">
        <v>6</v>
      </c>
      <c r="AK331" s="1">
        <v>6</v>
      </c>
      <c r="AL331" s="1" t="s">
        <v>83</v>
      </c>
      <c r="AM331" s="1">
        <v>6</v>
      </c>
      <c r="AN331" s="1">
        <v>6</v>
      </c>
      <c r="AO331" s="1" t="s">
        <v>83</v>
      </c>
      <c r="AP331" s="1">
        <v>6</v>
      </c>
      <c r="AQ331" s="1">
        <v>6</v>
      </c>
      <c r="AR331" s="1" t="s">
        <v>83</v>
      </c>
      <c r="AS331" s="1">
        <v>6</v>
      </c>
      <c r="AT331" s="1">
        <v>6</v>
      </c>
      <c r="AU331" s="1" t="s">
        <v>83</v>
      </c>
      <c r="AV331" s="1">
        <v>6</v>
      </c>
      <c r="AW331" s="1">
        <v>6</v>
      </c>
      <c r="AX331" s="1" t="s">
        <v>83</v>
      </c>
      <c r="AY331" s="1">
        <v>1</v>
      </c>
      <c r="AZ331" s="1">
        <v>0</v>
      </c>
      <c r="BA331" s="1">
        <v>0</v>
      </c>
      <c r="BB331" s="1" t="s">
        <v>83</v>
      </c>
      <c r="BC331" s="1">
        <v>0</v>
      </c>
      <c r="BD331" s="1" t="s">
        <v>2053</v>
      </c>
      <c r="BE331" s="1" t="s">
        <v>462</v>
      </c>
      <c r="BF331" s="1" t="s">
        <v>248</v>
      </c>
      <c r="BG331" s="1" t="s">
        <v>83</v>
      </c>
    </row>
    <row r="332" spans="1:59" x14ac:dyDescent="0.35">
      <c r="A332" s="1">
        <v>331</v>
      </c>
      <c r="B332" s="1">
        <v>45846.804837962962</v>
      </c>
      <c r="C332" s="1" t="s">
        <v>2054</v>
      </c>
      <c r="D332" s="1" t="s">
        <v>2055</v>
      </c>
      <c r="E332" s="1" t="s">
        <v>63</v>
      </c>
      <c r="F332" s="1" t="s">
        <v>136</v>
      </c>
      <c r="G332" s="1" t="s">
        <v>2056</v>
      </c>
      <c r="H332" s="1" t="s">
        <v>65</v>
      </c>
      <c r="I332" s="1" t="s">
        <v>66</v>
      </c>
      <c r="J332" s="1" t="s">
        <v>2001</v>
      </c>
      <c r="K332" s="1" t="s">
        <v>2057</v>
      </c>
      <c r="L332" s="1" t="s">
        <v>69</v>
      </c>
      <c r="M332" s="1" t="s">
        <v>69</v>
      </c>
      <c r="N332" s="1" t="s">
        <v>69</v>
      </c>
      <c r="O332" s="1" t="s">
        <v>69</v>
      </c>
      <c r="P332" s="1" t="s">
        <v>70</v>
      </c>
      <c r="Q332" s="1" t="s">
        <v>1168</v>
      </c>
      <c r="R332" s="1" t="s">
        <v>1208</v>
      </c>
      <c r="S332" s="1">
        <v>55</v>
      </c>
      <c r="T332" s="1" t="s">
        <v>383</v>
      </c>
      <c r="U332" s="1" t="s">
        <v>1343</v>
      </c>
      <c r="V332" s="1" t="s">
        <v>154</v>
      </c>
      <c r="W332" s="1" t="s">
        <v>154</v>
      </c>
      <c r="X332" s="1">
        <v>6</v>
      </c>
      <c r="Y332" s="1">
        <v>6</v>
      </c>
      <c r="Z332" s="1" t="s">
        <v>83</v>
      </c>
      <c r="AA332" s="1">
        <v>5</v>
      </c>
      <c r="AB332" s="1">
        <v>5</v>
      </c>
      <c r="AC332" s="1" t="s">
        <v>83</v>
      </c>
      <c r="AD332" s="1">
        <v>5</v>
      </c>
      <c r="AE332" s="1">
        <v>5</v>
      </c>
      <c r="AF332" s="1" t="s">
        <v>83</v>
      </c>
      <c r="AG332" s="1">
        <v>0</v>
      </c>
      <c r="AH332" s="1">
        <v>0</v>
      </c>
      <c r="AI332" s="1" t="s">
        <v>83</v>
      </c>
      <c r="AJ332" s="1">
        <v>6</v>
      </c>
      <c r="AK332" s="1">
        <v>6</v>
      </c>
      <c r="AL332" s="1" t="s">
        <v>83</v>
      </c>
      <c r="AM332" s="1">
        <v>5</v>
      </c>
      <c r="AN332" s="1">
        <v>5</v>
      </c>
      <c r="AO332" s="1" t="s">
        <v>83</v>
      </c>
      <c r="AP332" s="1">
        <v>6</v>
      </c>
      <c r="AQ332" s="1">
        <v>6</v>
      </c>
      <c r="AR332" s="1" t="s">
        <v>83</v>
      </c>
      <c r="AS332" s="1">
        <v>6</v>
      </c>
      <c r="AT332" s="1">
        <v>6</v>
      </c>
      <c r="AU332" s="1" t="s">
        <v>83</v>
      </c>
      <c r="AV332" s="1">
        <v>4</v>
      </c>
      <c r="AW332" s="1">
        <v>5</v>
      </c>
      <c r="AX332" s="1" t="s">
        <v>83</v>
      </c>
      <c r="AY332" s="1">
        <v>1</v>
      </c>
      <c r="AZ332" s="1">
        <v>1</v>
      </c>
      <c r="BA332" s="1">
        <v>0</v>
      </c>
      <c r="BB332" s="1" t="s">
        <v>2058</v>
      </c>
      <c r="BC332" s="1">
        <v>2</v>
      </c>
      <c r="BD332" s="1" t="s">
        <v>2059</v>
      </c>
      <c r="BE332" s="1" t="s">
        <v>2060</v>
      </c>
      <c r="BF332" s="1" t="s">
        <v>2061</v>
      </c>
      <c r="BG332" s="1" t="s">
        <v>83</v>
      </c>
    </row>
    <row r="333" spans="1:59" x14ac:dyDescent="0.35">
      <c r="A333" s="1">
        <v>332</v>
      </c>
      <c r="B333" s="1">
        <v>45847.260960648149</v>
      </c>
      <c r="C333" s="1" t="s">
        <v>2062</v>
      </c>
      <c r="D333" s="1" t="s">
        <v>2063</v>
      </c>
      <c r="E333" s="1" t="s">
        <v>904</v>
      </c>
      <c r="F333" s="1" t="s">
        <v>1963</v>
      </c>
      <c r="G333" s="1" t="s">
        <v>2064</v>
      </c>
      <c r="H333" s="1" t="s">
        <v>138</v>
      </c>
      <c r="I333" s="1" t="s">
        <v>2065</v>
      </c>
      <c r="J333" s="1" t="s">
        <v>2066</v>
      </c>
      <c r="K333" s="1" t="s">
        <v>2067</v>
      </c>
      <c r="L333" s="1" t="s">
        <v>69</v>
      </c>
      <c r="M333" s="1" t="s">
        <v>69</v>
      </c>
      <c r="N333" s="1" t="s">
        <v>69</v>
      </c>
      <c r="O333" s="1" t="s">
        <v>69</v>
      </c>
      <c r="P333" s="1" t="s">
        <v>106</v>
      </c>
      <c r="Q333" s="1" t="s">
        <v>1168</v>
      </c>
      <c r="R333" s="1" t="s">
        <v>2450</v>
      </c>
      <c r="S333" s="1">
        <v>52</v>
      </c>
      <c r="T333" s="1" t="s">
        <v>383</v>
      </c>
      <c r="U333" s="1" t="s">
        <v>73</v>
      </c>
      <c r="V333" s="1" t="s">
        <v>2068</v>
      </c>
      <c r="W333" s="1" t="s">
        <v>133</v>
      </c>
      <c r="X333" s="1">
        <v>4</v>
      </c>
      <c r="Y333" s="1">
        <v>5</v>
      </c>
      <c r="Z333" s="1" t="s">
        <v>83</v>
      </c>
      <c r="AA333" s="1">
        <v>3</v>
      </c>
      <c r="AB333" s="1">
        <v>5</v>
      </c>
      <c r="AC333" s="1" t="s">
        <v>2526</v>
      </c>
      <c r="AD333" s="1">
        <v>3</v>
      </c>
      <c r="AE333" s="1">
        <v>5</v>
      </c>
      <c r="AF333" s="1" t="s">
        <v>2527</v>
      </c>
      <c r="AG333" s="1">
        <v>0</v>
      </c>
      <c r="AH333" s="1">
        <v>0</v>
      </c>
      <c r="AI333" s="1" t="s">
        <v>83</v>
      </c>
      <c r="AJ333" s="1">
        <v>4</v>
      </c>
      <c r="AK333" s="1">
        <v>5</v>
      </c>
      <c r="AL333" s="1" t="s">
        <v>83</v>
      </c>
      <c r="AM333" s="1">
        <v>4</v>
      </c>
      <c r="AN333" s="1">
        <v>6</v>
      </c>
      <c r="AO333" s="1" t="s">
        <v>83</v>
      </c>
      <c r="AP333" s="1">
        <v>5</v>
      </c>
      <c r="AQ333" s="1">
        <v>6</v>
      </c>
      <c r="AR333" s="1" t="s">
        <v>83</v>
      </c>
      <c r="AS333" s="1">
        <v>4</v>
      </c>
      <c r="AT333" s="1">
        <v>5</v>
      </c>
      <c r="AU333" s="1" t="s">
        <v>83</v>
      </c>
      <c r="AV333" s="1">
        <v>4</v>
      </c>
      <c r="AW333" s="1">
        <v>6</v>
      </c>
      <c r="AX333" s="1" t="s">
        <v>83</v>
      </c>
      <c r="AY333" s="1">
        <v>0</v>
      </c>
      <c r="AZ333" s="1">
        <v>0</v>
      </c>
      <c r="BA333" s="1">
        <v>0</v>
      </c>
      <c r="BB333" s="1" t="s">
        <v>734</v>
      </c>
      <c r="BC333" s="1">
        <v>2</v>
      </c>
      <c r="BD333" s="1" t="s">
        <v>2069</v>
      </c>
      <c r="BE333" s="1" t="s">
        <v>2069</v>
      </c>
      <c r="BF333" s="1" t="s">
        <v>2069</v>
      </c>
      <c r="BG333" s="1" t="s">
        <v>2070</v>
      </c>
    </row>
    <row r="334" spans="1:59" x14ac:dyDescent="0.35">
      <c r="A334" s="1">
        <v>333</v>
      </c>
      <c r="B334" s="1">
        <v>45847.674004629633</v>
      </c>
      <c r="C334" s="1" t="s">
        <v>2071</v>
      </c>
      <c r="D334" s="1" t="s">
        <v>86</v>
      </c>
      <c r="E334" s="1" t="s">
        <v>63</v>
      </c>
      <c r="F334" s="1" t="s">
        <v>86</v>
      </c>
      <c r="G334" s="1" t="s">
        <v>2072</v>
      </c>
      <c r="H334" s="1" t="s">
        <v>1679</v>
      </c>
      <c r="I334" s="1" t="s">
        <v>439</v>
      </c>
      <c r="J334" s="1" t="s">
        <v>2073</v>
      </c>
      <c r="K334" s="1" t="s">
        <v>1116</v>
      </c>
      <c r="L334" s="1" t="s">
        <v>69</v>
      </c>
      <c r="M334" s="1" t="s">
        <v>69</v>
      </c>
      <c r="N334" s="1" t="s">
        <v>69</v>
      </c>
      <c r="O334" s="1" t="s">
        <v>69</v>
      </c>
      <c r="P334" s="1" t="s">
        <v>106</v>
      </c>
      <c r="Q334" s="1" t="s">
        <v>1168</v>
      </c>
      <c r="R334" s="1" t="s">
        <v>873</v>
      </c>
      <c r="S334" s="1">
        <v>37</v>
      </c>
      <c r="T334" s="1" t="s">
        <v>153</v>
      </c>
      <c r="U334" s="1" t="s">
        <v>93</v>
      </c>
      <c r="V334" s="1" t="s">
        <v>2074</v>
      </c>
      <c r="W334" s="1" t="s">
        <v>74</v>
      </c>
      <c r="X334" s="1">
        <v>5</v>
      </c>
      <c r="Y334" s="1">
        <v>5</v>
      </c>
      <c r="Z334" s="1" t="s">
        <v>83</v>
      </c>
      <c r="AA334" s="1">
        <v>5</v>
      </c>
      <c r="AB334" s="1">
        <v>5</v>
      </c>
      <c r="AC334" s="1" t="s">
        <v>83</v>
      </c>
      <c r="AD334" s="1">
        <v>5</v>
      </c>
      <c r="AE334" s="1">
        <v>5</v>
      </c>
      <c r="AF334" s="1" t="s">
        <v>83</v>
      </c>
      <c r="AG334" s="1">
        <v>0</v>
      </c>
      <c r="AH334" s="1">
        <v>0</v>
      </c>
      <c r="AI334" s="1" t="s">
        <v>83</v>
      </c>
      <c r="AJ334" s="1">
        <v>5</v>
      </c>
      <c r="AK334" s="1">
        <v>5</v>
      </c>
      <c r="AL334" s="1" t="s">
        <v>83</v>
      </c>
      <c r="AM334" s="1">
        <v>5</v>
      </c>
      <c r="AN334" s="1">
        <v>5</v>
      </c>
      <c r="AO334" s="1" t="s">
        <v>83</v>
      </c>
      <c r="AP334" s="1">
        <v>5</v>
      </c>
      <c r="AQ334" s="1">
        <v>5</v>
      </c>
      <c r="AR334" s="1" t="s">
        <v>83</v>
      </c>
      <c r="AS334" s="1">
        <v>6</v>
      </c>
      <c r="AT334" s="1">
        <v>6</v>
      </c>
      <c r="AU334" s="1" t="s">
        <v>83</v>
      </c>
      <c r="AV334" s="1">
        <v>6</v>
      </c>
      <c r="AW334" s="1">
        <v>6</v>
      </c>
      <c r="AX334" s="1" t="s">
        <v>83</v>
      </c>
      <c r="AY334" s="1">
        <v>0</v>
      </c>
      <c r="AZ334" s="1">
        <v>2</v>
      </c>
      <c r="BA334" s="1">
        <v>0</v>
      </c>
      <c r="BB334" s="1" t="s">
        <v>83</v>
      </c>
      <c r="BC334" s="1">
        <v>0</v>
      </c>
      <c r="BD334" s="1" t="s">
        <v>503</v>
      </c>
      <c r="BE334" s="1" t="s">
        <v>503</v>
      </c>
      <c r="BF334" s="1" t="s">
        <v>503</v>
      </c>
      <c r="BG334" s="1" t="s">
        <v>83</v>
      </c>
    </row>
    <row r="335" spans="1:59" x14ac:dyDescent="0.35">
      <c r="A335" s="1">
        <v>334</v>
      </c>
      <c r="B335" s="1">
        <v>45847.677986111114</v>
      </c>
      <c r="C335" s="1" t="s">
        <v>2075</v>
      </c>
      <c r="D335" s="1" t="s">
        <v>2076</v>
      </c>
      <c r="E335" s="1" t="s">
        <v>63</v>
      </c>
      <c r="F335" s="1" t="s">
        <v>179</v>
      </c>
      <c r="G335" s="1" t="s">
        <v>2077</v>
      </c>
      <c r="H335" s="1" t="s">
        <v>1679</v>
      </c>
      <c r="I335" s="1" t="s">
        <v>439</v>
      </c>
      <c r="J335" s="1" t="s">
        <v>2073</v>
      </c>
      <c r="K335" s="1" t="s">
        <v>2078</v>
      </c>
      <c r="L335" s="1" t="s">
        <v>69</v>
      </c>
      <c r="M335" s="1" t="s">
        <v>69</v>
      </c>
      <c r="N335" s="1" t="s">
        <v>69</v>
      </c>
      <c r="O335" s="1" t="s">
        <v>69</v>
      </c>
      <c r="P335" s="1" t="s">
        <v>70</v>
      </c>
      <c r="Q335" s="1" t="s">
        <v>1168</v>
      </c>
      <c r="R335" s="1" t="s">
        <v>1325</v>
      </c>
      <c r="S335" s="1">
        <v>50</v>
      </c>
      <c r="T335" s="1" t="s">
        <v>225</v>
      </c>
      <c r="U335" s="1" t="s">
        <v>273</v>
      </c>
      <c r="V335" s="1" t="s">
        <v>2079</v>
      </c>
      <c r="W335" s="1" t="s">
        <v>110</v>
      </c>
      <c r="X335" s="1">
        <v>6</v>
      </c>
      <c r="Y335" s="1">
        <v>6</v>
      </c>
      <c r="Z335" s="1" t="s">
        <v>83</v>
      </c>
      <c r="AA335" s="1">
        <v>6</v>
      </c>
      <c r="AB335" s="1">
        <v>6</v>
      </c>
      <c r="AC335" s="1" t="s">
        <v>83</v>
      </c>
      <c r="AD335" s="1">
        <v>6</v>
      </c>
      <c r="AE335" s="1">
        <v>6</v>
      </c>
      <c r="AF335" s="1" t="s">
        <v>83</v>
      </c>
      <c r="AG335" s="1">
        <v>0</v>
      </c>
      <c r="AH335" s="1">
        <v>0</v>
      </c>
      <c r="AI335" s="1" t="s">
        <v>83</v>
      </c>
      <c r="AJ335" s="1">
        <v>6</v>
      </c>
      <c r="AK335" s="1">
        <v>6</v>
      </c>
      <c r="AL335" s="1" t="s">
        <v>83</v>
      </c>
      <c r="AM335" s="1">
        <v>6</v>
      </c>
      <c r="AN335" s="1">
        <v>6</v>
      </c>
      <c r="AO335" s="1" t="s">
        <v>83</v>
      </c>
      <c r="AP335" s="1">
        <v>6</v>
      </c>
      <c r="AQ335" s="1">
        <v>6</v>
      </c>
      <c r="AR335" s="1" t="s">
        <v>83</v>
      </c>
      <c r="AS335" s="1">
        <v>6</v>
      </c>
      <c r="AT335" s="1">
        <v>6</v>
      </c>
      <c r="AU335" s="1" t="s">
        <v>83</v>
      </c>
      <c r="AV335" s="1">
        <v>6</v>
      </c>
      <c r="AW335" s="1">
        <v>6</v>
      </c>
      <c r="AX335" s="1" t="s">
        <v>83</v>
      </c>
      <c r="AY335" s="1">
        <v>0</v>
      </c>
      <c r="AZ335" s="1">
        <v>2</v>
      </c>
      <c r="BA335" s="1">
        <v>0</v>
      </c>
      <c r="BB335" s="1" t="s">
        <v>83</v>
      </c>
      <c r="BC335" s="1">
        <v>0</v>
      </c>
      <c r="BD335" s="1" t="s">
        <v>503</v>
      </c>
      <c r="BE335" s="1" t="s">
        <v>503</v>
      </c>
      <c r="BF335" s="1" t="s">
        <v>2080</v>
      </c>
      <c r="BG335" s="1" t="s">
        <v>83</v>
      </c>
    </row>
    <row r="336" spans="1:59" x14ac:dyDescent="0.35">
      <c r="A336" s="1">
        <v>335</v>
      </c>
      <c r="B336" s="1">
        <v>45847.719444444447</v>
      </c>
      <c r="C336" s="1" t="s">
        <v>2081</v>
      </c>
      <c r="D336" s="1" t="s">
        <v>2082</v>
      </c>
      <c r="E336" s="1" t="s">
        <v>63</v>
      </c>
      <c r="F336" s="1" t="s">
        <v>179</v>
      </c>
      <c r="G336" s="1" t="s">
        <v>2083</v>
      </c>
      <c r="H336" s="1" t="s">
        <v>88</v>
      </c>
      <c r="I336" s="1" t="s">
        <v>89</v>
      </c>
      <c r="J336" s="1" t="s">
        <v>2084</v>
      </c>
      <c r="K336" s="1" t="s">
        <v>1726</v>
      </c>
      <c r="L336" s="1" t="s">
        <v>69</v>
      </c>
      <c r="M336" s="1" t="s">
        <v>69</v>
      </c>
      <c r="N336" s="1" t="s">
        <v>69</v>
      </c>
      <c r="O336" s="1" t="s">
        <v>69</v>
      </c>
      <c r="P336" s="1" t="s">
        <v>106</v>
      </c>
      <c r="Q336" s="1" t="s">
        <v>1168</v>
      </c>
      <c r="R336" s="1" t="s">
        <v>91</v>
      </c>
      <c r="S336" s="1">
        <v>27</v>
      </c>
      <c r="T336" s="1" t="s">
        <v>92</v>
      </c>
      <c r="U336" s="1" t="s">
        <v>73</v>
      </c>
      <c r="V336" s="1" t="s">
        <v>74</v>
      </c>
      <c r="W336" s="1" t="s">
        <v>74</v>
      </c>
      <c r="X336" s="1">
        <v>6</v>
      </c>
      <c r="Y336" s="1">
        <v>5</v>
      </c>
      <c r="Z336" s="1" t="s">
        <v>83</v>
      </c>
      <c r="AA336" s="1">
        <v>6</v>
      </c>
      <c r="AB336" s="1">
        <v>5</v>
      </c>
      <c r="AC336" s="1" t="s">
        <v>83</v>
      </c>
      <c r="AD336" s="1">
        <v>6</v>
      </c>
      <c r="AE336" s="1">
        <v>6</v>
      </c>
      <c r="AF336" s="1" t="s">
        <v>83</v>
      </c>
      <c r="AG336" s="1">
        <v>0</v>
      </c>
      <c r="AH336" s="1">
        <v>0</v>
      </c>
      <c r="AI336" s="1" t="s">
        <v>83</v>
      </c>
      <c r="AJ336" s="1">
        <v>6</v>
      </c>
      <c r="AK336" s="1">
        <v>6</v>
      </c>
      <c r="AL336" s="1" t="s">
        <v>83</v>
      </c>
      <c r="AM336" s="1">
        <v>6</v>
      </c>
      <c r="AN336" s="1">
        <v>6</v>
      </c>
      <c r="AO336" s="1" t="s">
        <v>83</v>
      </c>
      <c r="AP336" s="1">
        <v>6</v>
      </c>
      <c r="AQ336" s="1">
        <v>6</v>
      </c>
      <c r="AR336" s="1" t="s">
        <v>83</v>
      </c>
      <c r="AS336" s="1">
        <v>6</v>
      </c>
      <c r="AT336" s="1">
        <v>5</v>
      </c>
      <c r="AU336" s="1" t="s">
        <v>83</v>
      </c>
      <c r="AV336" s="1">
        <v>5</v>
      </c>
      <c r="AW336" s="1">
        <v>5</v>
      </c>
      <c r="AX336" s="1" t="s">
        <v>83</v>
      </c>
      <c r="AY336" s="1">
        <v>1</v>
      </c>
      <c r="AZ336" s="1">
        <v>0</v>
      </c>
      <c r="BA336" s="1">
        <v>0</v>
      </c>
      <c r="BB336" s="1" t="s">
        <v>83</v>
      </c>
      <c r="BC336" s="1">
        <v>0</v>
      </c>
      <c r="BD336" s="1" t="s">
        <v>98</v>
      </c>
      <c r="BE336" s="1" t="s">
        <v>98</v>
      </c>
      <c r="BF336" s="1" t="s">
        <v>98</v>
      </c>
      <c r="BG336" s="1" t="s">
        <v>98</v>
      </c>
    </row>
    <row r="337" spans="1:59" x14ac:dyDescent="0.35">
      <c r="A337" s="1">
        <v>336</v>
      </c>
      <c r="B337" s="1">
        <v>45847.721574074072</v>
      </c>
      <c r="C337" s="1" t="s">
        <v>2085</v>
      </c>
      <c r="D337" s="1" t="s">
        <v>2086</v>
      </c>
      <c r="E337" s="1" t="s">
        <v>63</v>
      </c>
      <c r="F337" s="1" t="s">
        <v>86</v>
      </c>
      <c r="G337" s="1" t="s">
        <v>2087</v>
      </c>
      <c r="H337" s="1" t="s">
        <v>88</v>
      </c>
      <c r="I337" s="1" t="s">
        <v>2088</v>
      </c>
      <c r="J337" s="1" t="s">
        <v>2084</v>
      </c>
      <c r="K337" s="1" t="s">
        <v>2089</v>
      </c>
      <c r="L337" s="1" t="s">
        <v>69</v>
      </c>
      <c r="M337" s="1" t="s">
        <v>69</v>
      </c>
      <c r="N337" s="1" t="s">
        <v>69</v>
      </c>
      <c r="O337" s="1" t="s">
        <v>69</v>
      </c>
      <c r="P337" s="1" t="s">
        <v>70</v>
      </c>
      <c r="Q337" s="1" t="s">
        <v>1168</v>
      </c>
      <c r="R337" s="1" t="s">
        <v>108</v>
      </c>
      <c r="S337" s="1">
        <v>32</v>
      </c>
      <c r="T337" s="1" t="s">
        <v>109</v>
      </c>
      <c r="U337" s="1" t="s">
        <v>73</v>
      </c>
      <c r="V337" s="1" t="s">
        <v>110</v>
      </c>
      <c r="W337" s="1" t="s">
        <v>110</v>
      </c>
      <c r="X337" s="1">
        <v>5</v>
      </c>
      <c r="Y337" s="1">
        <v>6</v>
      </c>
      <c r="Z337" s="1" t="s">
        <v>83</v>
      </c>
      <c r="AA337" s="1">
        <v>5</v>
      </c>
      <c r="AB337" s="1">
        <v>6</v>
      </c>
      <c r="AC337" s="1" t="s">
        <v>83</v>
      </c>
      <c r="AD337" s="1">
        <v>6</v>
      </c>
      <c r="AE337" s="1">
        <v>6</v>
      </c>
      <c r="AF337" s="1" t="s">
        <v>83</v>
      </c>
      <c r="AG337" s="1">
        <v>0</v>
      </c>
      <c r="AH337" s="1">
        <v>0</v>
      </c>
      <c r="AI337" s="1" t="s">
        <v>83</v>
      </c>
      <c r="AJ337" s="1">
        <v>6</v>
      </c>
      <c r="AK337" s="1">
        <v>6</v>
      </c>
      <c r="AL337" s="1" t="s">
        <v>83</v>
      </c>
      <c r="AM337" s="1">
        <v>5</v>
      </c>
      <c r="AN337" s="1">
        <v>6</v>
      </c>
      <c r="AO337" s="1" t="s">
        <v>83</v>
      </c>
      <c r="AP337" s="1">
        <v>6</v>
      </c>
      <c r="AQ337" s="1">
        <v>6</v>
      </c>
      <c r="AR337" s="1" t="s">
        <v>83</v>
      </c>
      <c r="AS337" s="1">
        <v>5</v>
      </c>
      <c r="AT337" s="1">
        <v>6</v>
      </c>
      <c r="AU337" s="1" t="s">
        <v>83</v>
      </c>
      <c r="AV337" s="1">
        <v>5</v>
      </c>
      <c r="AW337" s="1">
        <v>6</v>
      </c>
      <c r="AX337" s="1" t="s">
        <v>83</v>
      </c>
      <c r="AY337" s="1">
        <v>0</v>
      </c>
      <c r="AZ337" s="1">
        <v>0</v>
      </c>
      <c r="BA337" s="1">
        <v>0</v>
      </c>
      <c r="BB337" s="1" t="s">
        <v>2074</v>
      </c>
      <c r="BC337" s="1">
        <v>1</v>
      </c>
      <c r="BD337" s="1" t="s">
        <v>98</v>
      </c>
      <c r="BE337" s="1" t="s">
        <v>98</v>
      </c>
      <c r="BF337" s="1" t="s">
        <v>98</v>
      </c>
      <c r="BG337" s="1" t="s">
        <v>98</v>
      </c>
    </row>
    <row r="338" spans="1:59" x14ac:dyDescent="0.35">
      <c r="A338" s="1">
        <v>337</v>
      </c>
      <c r="B338" s="1">
        <v>45847.725462962961</v>
      </c>
      <c r="C338" s="1" t="s">
        <v>2090</v>
      </c>
      <c r="D338" s="1" t="s">
        <v>2091</v>
      </c>
      <c r="E338" s="1" t="s">
        <v>63</v>
      </c>
      <c r="F338" s="1" t="s">
        <v>63</v>
      </c>
      <c r="G338" s="1" t="s">
        <v>2092</v>
      </c>
      <c r="H338" s="1" t="s">
        <v>88</v>
      </c>
      <c r="I338" s="1" t="s">
        <v>2088</v>
      </c>
      <c r="J338" s="1" t="s">
        <v>2084</v>
      </c>
      <c r="K338" s="1" t="s">
        <v>560</v>
      </c>
      <c r="L338" s="1" t="s">
        <v>69</v>
      </c>
      <c r="M338" s="1" t="s">
        <v>69</v>
      </c>
      <c r="N338" s="1" t="s">
        <v>69</v>
      </c>
      <c r="O338" s="1" t="s">
        <v>69</v>
      </c>
      <c r="P338" s="1" t="s">
        <v>70</v>
      </c>
      <c r="Q338" s="1" t="s">
        <v>1168</v>
      </c>
      <c r="R338" s="1" t="s">
        <v>680</v>
      </c>
      <c r="S338" s="1">
        <v>39</v>
      </c>
      <c r="T338" s="1" t="s">
        <v>153</v>
      </c>
      <c r="U338" s="1" t="s">
        <v>254</v>
      </c>
      <c r="V338" s="1" t="s">
        <v>110</v>
      </c>
      <c r="W338" s="1" t="s">
        <v>110</v>
      </c>
      <c r="X338" s="1">
        <v>6</v>
      </c>
      <c r="Y338" s="1">
        <v>6</v>
      </c>
      <c r="Z338" s="1" t="s">
        <v>83</v>
      </c>
      <c r="AA338" s="1">
        <v>6</v>
      </c>
      <c r="AB338" s="1">
        <v>6</v>
      </c>
      <c r="AC338" s="1" t="s">
        <v>83</v>
      </c>
      <c r="AD338" s="1">
        <v>5</v>
      </c>
      <c r="AE338" s="1">
        <v>5</v>
      </c>
      <c r="AF338" s="1" t="s">
        <v>83</v>
      </c>
      <c r="AG338" s="1">
        <v>0</v>
      </c>
      <c r="AH338" s="1">
        <v>0</v>
      </c>
      <c r="AI338" s="1" t="s">
        <v>83</v>
      </c>
      <c r="AJ338" s="1">
        <v>5</v>
      </c>
      <c r="AK338" s="1">
        <v>6</v>
      </c>
      <c r="AL338" s="1" t="s">
        <v>83</v>
      </c>
      <c r="AM338" s="1">
        <v>6</v>
      </c>
      <c r="AN338" s="1">
        <v>6</v>
      </c>
      <c r="AO338" s="1" t="s">
        <v>83</v>
      </c>
      <c r="AP338" s="1">
        <v>6</v>
      </c>
      <c r="AQ338" s="1">
        <v>6</v>
      </c>
      <c r="AR338" s="1" t="s">
        <v>83</v>
      </c>
      <c r="AS338" s="1">
        <v>6</v>
      </c>
      <c r="AT338" s="1">
        <v>6</v>
      </c>
      <c r="AU338" s="1" t="s">
        <v>83</v>
      </c>
      <c r="AV338" s="1">
        <v>5</v>
      </c>
      <c r="AW338" s="1">
        <v>5</v>
      </c>
      <c r="AX338" s="1" t="s">
        <v>83</v>
      </c>
      <c r="AY338" s="1">
        <v>0</v>
      </c>
      <c r="AZ338" s="1">
        <v>0</v>
      </c>
      <c r="BA338" s="1">
        <v>1</v>
      </c>
      <c r="BB338" s="1" t="s">
        <v>83</v>
      </c>
      <c r="BC338" s="1">
        <v>0</v>
      </c>
      <c r="BD338" s="1" t="s">
        <v>98</v>
      </c>
      <c r="BE338" s="1" t="s">
        <v>98</v>
      </c>
      <c r="BF338" s="1" t="s">
        <v>2093</v>
      </c>
      <c r="BG338" s="1" t="s">
        <v>98</v>
      </c>
    </row>
    <row r="339" spans="1:59" x14ac:dyDescent="0.35">
      <c r="A339" s="1">
        <v>338</v>
      </c>
      <c r="B339" s="1">
        <v>45847.728506944448</v>
      </c>
      <c r="C339" s="1" t="s">
        <v>2094</v>
      </c>
      <c r="D339" s="1" t="s">
        <v>2095</v>
      </c>
      <c r="E339" s="1" t="s">
        <v>63</v>
      </c>
      <c r="F339" s="1" t="s">
        <v>86</v>
      </c>
      <c r="G339" s="1" t="s">
        <v>2096</v>
      </c>
      <c r="H339" s="1" t="s">
        <v>88</v>
      </c>
      <c r="I339" s="1" t="s">
        <v>89</v>
      </c>
      <c r="J339" s="1" t="s">
        <v>2084</v>
      </c>
      <c r="K339" s="1" t="s">
        <v>927</v>
      </c>
      <c r="L339" s="1" t="s">
        <v>69</v>
      </c>
      <c r="M339" s="1" t="s">
        <v>69</v>
      </c>
      <c r="N339" s="1" t="s">
        <v>69</v>
      </c>
      <c r="O339" s="1" t="s">
        <v>69</v>
      </c>
      <c r="P339" s="1" t="s">
        <v>70</v>
      </c>
      <c r="Q339" s="1" t="s">
        <v>1168</v>
      </c>
      <c r="R339" s="1" t="s">
        <v>807</v>
      </c>
      <c r="S339" s="1">
        <v>36</v>
      </c>
      <c r="T339" s="1" t="s">
        <v>153</v>
      </c>
      <c r="U339" s="1" t="s">
        <v>73</v>
      </c>
      <c r="V339" s="1" t="s">
        <v>232</v>
      </c>
      <c r="W339" s="1" t="s">
        <v>232</v>
      </c>
      <c r="X339" s="1">
        <v>6</v>
      </c>
      <c r="Y339" s="1">
        <v>6</v>
      </c>
      <c r="Z339" s="1" t="s">
        <v>83</v>
      </c>
      <c r="AA339" s="1">
        <v>6</v>
      </c>
      <c r="AB339" s="1">
        <v>6</v>
      </c>
      <c r="AC339" s="1" t="s">
        <v>83</v>
      </c>
      <c r="AD339" s="1">
        <v>6</v>
      </c>
      <c r="AE339" s="1">
        <v>6</v>
      </c>
      <c r="AF339" s="1" t="s">
        <v>83</v>
      </c>
      <c r="AG339" s="1">
        <v>0</v>
      </c>
      <c r="AH339" s="1">
        <v>0</v>
      </c>
      <c r="AI339" s="1" t="s">
        <v>83</v>
      </c>
      <c r="AJ339" s="1">
        <v>6</v>
      </c>
      <c r="AK339" s="1">
        <v>6</v>
      </c>
      <c r="AL339" s="1" t="s">
        <v>83</v>
      </c>
      <c r="AM339" s="1">
        <v>6</v>
      </c>
      <c r="AN339" s="1">
        <v>6</v>
      </c>
      <c r="AO339" s="1" t="s">
        <v>83</v>
      </c>
      <c r="AP339" s="1">
        <v>6</v>
      </c>
      <c r="AQ339" s="1">
        <v>6</v>
      </c>
      <c r="AR339" s="1" t="s">
        <v>83</v>
      </c>
      <c r="AS339" s="1">
        <v>6</v>
      </c>
      <c r="AT339" s="1">
        <v>6</v>
      </c>
      <c r="AU339" s="1" t="s">
        <v>83</v>
      </c>
      <c r="AV339" s="1">
        <v>6</v>
      </c>
      <c r="AW339" s="1">
        <v>6</v>
      </c>
      <c r="AX339" s="1" t="s">
        <v>83</v>
      </c>
      <c r="AY339" s="1">
        <v>0</v>
      </c>
      <c r="AZ339" s="1">
        <v>0</v>
      </c>
      <c r="BA339" s="1">
        <v>2</v>
      </c>
      <c r="BB339" s="1" t="s">
        <v>83</v>
      </c>
      <c r="BC339" s="1">
        <v>0</v>
      </c>
      <c r="BD339" s="1" t="s">
        <v>98</v>
      </c>
      <c r="BE339" s="1" t="s">
        <v>98</v>
      </c>
      <c r="BF339" s="1" t="s">
        <v>98</v>
      </c>
      <c r="BG339" s="1" t="s">
        <v>98</v>
      </c>
    </row>
    <row r="340" spans="1:59" x14ac:dyDescent="0.35">
      <c r="A340" s="1">
        <v>339</v>
      </c>
      <c r="B340" s="1">
        <v>45847.731168981481</v>
      </c>
      <c r="C340" s="1" t="s">
        <v>2097</v>
      </c>
      <c r="D340" s="1" t="s">
        <v>2098</v>
      </c>
      <c r="E340" s="1" t="s">
        <v>63</v>
      </c>
      <c r="F340" s="1" t="s">
        <v>149</v>
      </c>
      <c r="G340" s="1" t="s">
        <v>2099</v>
      </c>
      <c r="H340" s="1" t="s">
        <v>88</v>
      </c>
      <c r="I340" s="1" t="s">
        <v>89</v>
      </c>
      <c r="J340" s="1" t="s">
        <v>2084</v>
      </c>
      <c r="K340" s="1" t="s">
        <v>2100</v>
      </c>
      <c r="L340" s="1" t="s">
        <v>69</v>
      </c>
      <c r="M340" s="1" t="s">
        <v>69</v>
      </c>
      <c r="N340" s="1" t="s">
        <v>69</v>
      </c>
      <c r="O340" s="1" t="s">
        <v>69</v>
      </c>
      <c r="P340" s="1" t="s">
        <v>106</v>
      </c>
      <c r="Q340" s="1" t="s">
        <v>1168</v>
      </c>
      <c r="R340" s="1" t="s">
        <v>538</v>
      </c>
      <c r="S340" s="1">
        <v>41</v>
      </c>
      <c r="T340" s="1" t="s">
        <v>197</v>
      </c>
      <c r="U340" s="1" t="s">
        <v>273</v>
      </c>
      <c r="V340" s="1" t="s">
        <v>110</v>
      </c>
      <c r="W340" s="1" t="s">
        <v>110</v>
      </c>
      <c r="X340" s="1">
        <v>5</v>
      </c>
      <c r="Y340" s="1">
        <v>6</v>
      </c>
      <c r="Z340" s="1" t="s">
        <v>83</v>
      </c>
      <c r="AA340" s="1">
        <v>5</v>
      </c>
      <c r="AB340" s="1">
        <v>5</v>
      </c>
      <c r="AC340" s="1" t="s">
        <v>83</v>
      </c>
      <c r="AD340" s="1">
        <v>5</v>
      </c>
      <c r="AE340" s="1">
        <v>5</v>
      </c>
      <c r="AF340" s="1" t="s">
        <v>83</v>
      </c>
      <c r="AG340" s="1">
        <v>0</v>
      </c>
      <c r="AH340" s="1">
        <v>0</v>
      </c>
      <c r="AI340" s="1" t="s">
        <v>83</v>
      </c>
      <c r="AJ340" s="1">
        <v>5</v>
      </c>
      <c r="AK340" s="1">
        <v>5</v>
      </c>
      <c r="AL340" s="1" t="s">
        <v>83</v>
      </c>
      <c r="AM340" s="1">
        <v>5</v>
      </c>
      <c r="AN340" s="1">
        <v>5</v>
      </c>
      <c r="AO340" s="1" t="s">
        <v>83</v>
      </c>
      <c r="AP340" s="1">
        <v>5</v>
      </c>
      <c r="AQ340" s="1">
        <v>5</v>
      </c>
      <c r="AR340" s="1" t="s">
        <v>83</v>
      </c>
      <c r="AS340" s="1">
        <v>5</v>
      </c>
      <c r="AT340" s="1">
        <v>5</v>
      </c>
      <c r="AU340" s="1" t="s">
        <v>83</v>
      </c>
      <c r="AV340" s="1">
        <v>5</v>
      </c>
      <c r="AW340" s="1">
        <v>5</v>
      </c>
      <c r="AX340" s="1" t="s">
        <v>83</v>
      </c>
      <c r="AY340" s="1">
        <v>0</v>
      </c>
      <c r="AZ340" s="1">
        <v>0</v>
      </c>
      <c r="BA340" s="1">
        <v>2</v>
      </c>
      <c r="BB340" s="1" t="s">
        <v>83</v>
      </c>
      <c r="BC340" s="1">
        <v>0</v>
      </c>
      <c r="BD340" s="1" t="s">
        <v>98</v>
      </c>
      <c r="BE340" s="1" t="s">
        <v>98</v>
      </c>
      <c r="BF340" s="1" t="s">
        <v>98</v>
      </c>
      <c r="BG340" s="1" t="s">
        <v>98</v>
      </c>
    </row>
    <row r="341" spans="1:59" x14ac:dyDescent="0.35">
      <c r="A341" s="1">
        <v>340</v>
      </c>
      <c r="B341" s="1">
        <v>45847.733090277776</v>
      </c>
      <c r="C341" s="1" t="s">
        <v>2101</v>
      </c>
      <c r="D341" s="1" t="s">
        <v>2102</v>
      </c>
      <c r="E341" s="1" t="s">
        <v>904</v>
      </c>
      <c r="F341" s="1" t="s">
        <v>1566</v>
      </c>
      <c r="G341" s="1" t="s">
        <v>2103</v>
      </c>
      <c r="H341" s="1" t="s">
        <v>1679</v>
      </c>
      <c r="I341" s="1" t="s">
        <v>439</v>
      </c>
      <c r="J341" s="1" t="s">
        <v>2073</v>
      </c>
      <c r="K341" s="1" t="s">
        <v>2104</v>
      </c>
      <c r="L341" s="1" t="s">
        <v>69</v>
      </c>
      <c r="M341" s="1" t="s">
        <v>69</v>
      </c>
      <c r="N341" s="1" t="s">
        <v>69</v>
      </c>
      <c r="O341" s="1" t="s">
        <v>69</v>
      </c>
      <c r="P341" s="1" t="s">
        <v>106</v>
      </c>
      <c r="Q341" s="1" t="s">
        <v>1168</v>
      </c>
      <c r="R341" s="1" t="s">
        <v>1325</v>
      </c>
      <c r="S341" s="1">
        <v>50</v>
      </c>
      <c r="T341" s="1" t="s">
        <v>225</v>
      </c>
      <c r="U341" s="1" t="s">
        <v>93</v>
      </c>
      <c r="V341" s="1" t="s">
        <v>74</v>
      </c>
      <c r="W341" s="1" t="s">
        <v>74</v>
      </c>
      <c r="X341" s="1">
        <v>6</v>
      </c>
      <c r="Y341" s="1">
        <v>6</v>
      </c>
      <c r="Z341" s="1" t="s">
        <v>83</v>
      </c>
      <c r="AA341" s="1">
        <v>5</v>
      </c>
      <c r="AB341" s="1">
        <v>5</v>
      </c>
      <c r="AC341" s="1" t="s">
        <v>83</v>
      </c>
      <c r="AD341" s="1">
        <v>6</v>
      </c>
      <c r="AE341" s="1">
        <v>6</v>
      </c>
      <c r="AF341" s="1" t="s">
        <v>83</v>
      </c>
      <c r="AG341" s="1">
        <v>0</v>
      </c>
      <c r="AH341" s="1">
        <v>0</v>
      </c>
      <c r="AI341" s="1" t="s">
        <v>83</v>
      </c>
      <c r="AJ341" s="1">
        <v>6</v>
      </c>
      <c r="AK341" s="1">
        <v>6</v>
      </c>
      <c r="AL341" s="1" t="s">
        <v>83</v>
      </c>
      <c r="AM341" s="1">
        <v>6</v>
      </c>
      <c r="AN341" s="1">
        <v>6</v>
      </c>
      <c r="AO341" s="1" t="s">
        <v>83</v>
      </c>
      <c r="AP341" s="1">
        <v>5</v>
      </c>
      <c r="AQ341" s="1">
        <v>5</v>
      </c>
      <c r="AR341" s="1" t="s">
        <v>83</v>
      </c>
      <c r="AS341" s="1">
        <v>6</v>
      </c>
      <c r="AT341" s="1">
        <v>6</v>
      </c>
      <c r="AU341" s="1" t="s">
        <v>83</v>
      </c>
      <c r="AV341" s="1">
        <v>6</v>
      </c>
      <c r="AW341" s="1">
        <v>6</v>
      </c>
      <c r="AX341" s="1" t="s">
        <v>83</v>
      </c>
      <c r="AY341" s="1">
        <v>1</v>
      </c>
      <c r="AZ341" s="1">
        <v>0</v>
      </c>
      <c r="BA341" s="1">
        <v>0</v>
      </c>
      <c r="BB341" s="1" t="s">
        <v>83</v>
      </c>
      <c r="BC341" s="1">
        <v>0</v>
      </c>
      <c r="BD341" s="1" t="s">
        <v>1728</v>
      </c>
      <c r="BE341" s="1" t="s">
        <v>503</v>
      </c>
      <c r="BF341" s="1" t="s">
        <v>2105</v>
      </c>
      <c r="BG341" s="1" t="s">
        <v>83</v>
      </c>
    </row>
    <row r="342" spans="1:59" x14ac:dyDescent="0.35">
      <c r="A342" s="1">
        <v>341</v>
      </c>
      <c r="B342" s="1">
        <v>45847.734039351853</v>
      </c>
      <c r="C342" s="1" t="s">
        <v>2106</v>
      </c>
      <c r="D342" s="1" t="s">
        <v>2107</v>
      </c>
      <c r="E342" s="1" t="s">
        <v>63</v>
      </c>
      <c r="F342" s="1" t="s">
        <v>63</v>
      </c>
      <c r="G342" s="1" t="s">
        <v>2108</v>
      </c>
      <c r="H342" s="1" t="s">
        <v>88</v>
      </c>
      <c r="I342" s="1" t="s">
        <v>89</v>
      </c>
      <c r="J342" s="1" t="s">
        <v>2084</v>
      </c>
      <c r="K342" s="1" t="s">
        <v>491</v>
      </c>
      <c r="L342" s="1" t="s">
        <v>69</v>
      </c>
      <c r="M342" s="1" t="s">
        <v>69</v>
      </c>
      <c r="N342" s="1" t="s">
        <v>69</v>
      </c>
      <c r="O342" s="1" t="s">
        <v>69</v>
      </c>
      <c r="P342" s="1" t="s">
        <v>70</v>
      </c>
      <c r="Q342" s="1" t="s">
        <v>1168</v>
      </c>
      <c r="R342" s="1" t="s">
        <v>404</v>
      </c>
      <c r="S342" s="1">
        <v>42</v>
      </c>
      <c r="T342" s="1" t="s">
        <v>197</v>
      </c>
      <c r="U342" s="1" t="s">
        <v>73</v>
      </c>
      <c r="V342" s="1" t="s">
        <v>74</v>
      </c>
      <c r="W342" s="1" t="s">
        <v>74</v>
      </c>
      <c r="X342" s="1">
        <v>5</v>
      </c>
      <c r="Y342" s="1">
        <v>6</v>
      </c>
      <c r="Z342" s="1" t="s">
        <v>83</v>
      </c>
      <c r="AA342" s="1">
        <v>5</v>
      </c>
      <c r="AB342" s="1">
        <v>6</v>
      </c>
      <c r="AC342" s="1" t="s">
        <v>83</v>
      </c>
      <c r="AD342" s="1">
        <v>6</v>
      </c>
      <c r="AE342" s="1">
        <v>6</v>
      </c>
      <c r="AF342" s="1" t="s">
        <v>83</v>
      </c>
      <c r="AG342" s="1">
        <v>0</v>
      </c>
      <c r="AH342" s="1">
        <v>0</v>
      </c>
      <c r="AI342" s="1" t="s">
        <v>83</v>
      </c>
      <c r="AJ342" s="1">
        <v>5</v>
      </c>
      <c r="AK342" s="1">
        <v>6</v>
      </c>
      <c r="AL342" s="1" t="s">
        <v>83</v>
      </c>
      <c r="AM342" s="1">
        <v>5</v>
      </c>
      <c r="AN342" s="1">
        <v>5</v>
      </c>
      <c r="AO342" s="1" t="s">
        <v>83</v>
      </c>
      <c r="AP342" s="1">
        <v>5</v>
      </c>
      <c r="AQ342" s="1">
        <v>5</v>
      </c>
      <c r="AR342" s="1" t="s">
        <v>83</v>
      </c>
      <c r="AS342" s="1">
        <v>5</v>
      </c>
      <c r="AT342" s="1">
        <v>5</v>
      </c>
      <c r="AU342" s="1" t="s">
        <v>83</v>
      </c>
      <c r="AV342" s="1">
        <v>5</v>
      </c>
      <c r="AW342" s="1">
        <v>5</v>
      </c>
      <c r="AX342" s="1" t="s">
        <v>83</v>
      </c>
      <c r="AY342" s="1">
        <v>0</v>
      </c>
      <c r="AZ342" s="1">
        <v>0</v>
      </c>
      <c r="BA342" s="1">
        <v>1</v>
      </c>
      <c r="BB342" s="1" t="s">
        <v>83</v>
      </c>
      <c r="BC342" s="1">
        <v>0</v>
      </c>
      <c r="BD342" s="1" t="s">
        <v>98</v>
      </c>
      <c r="BE342" s="1" t="s">
        <v>98</v>
      </c>
      <c r="BF342" s="1" t="s">
        <v>98</v>
      </c>
      <c r="BG342" s="1" t="s">
        <v>98</v>
      </c>
    </row>
    <row r="343" spans="1:59" x14ac:dyDescent="0.35">
      <c r="A343" s="1">
        <v>342</v>
      </c>
      <c r="B343" s="1">
        <v>45847.737025462964</v>
      </c>
      <c r="C343" s="1" t="s">
        <v>2109</v>
      </c>
      <c r="D343" s="1" t="s">
        <v>2110</v>
      </c>
      <c r="E343" s="1" t="s">
        <v>63</v>
      </c>
      <c r="F343" s="1" t="s">
        <v>125</v>
      </c>
      <c r="G343" s="1" t="s">
        <v>2111</v>
      </c>
      <c r="H343" s="1" t="s">
        <v>88</v>
      </c>
      <c r="I343" s="1" t="s">
        <v>2088</v>
      </c>
      <c r="J343" s="1" t="s">
        <v>2084</v>
      </c>
      <c r="K343" s="1" t="s">
        <v>291</v>
      </c>
      <c r="L343" s="1" t="s">
        <v>69</v>
      </c>
      <c r="M343" s="1" t="s">
        <v>69</v>
      </c>
      <c r="N343" s="1" t="s">
        <v>69</v>
      </c>
      <c r="O343" s="1" t="s">
        <v>69</v>
      </c>
      <c r="P343" s="1" t="s">
        <v>70</v>
      </c>
      <c r="Q343" s="1" t="s">
        <v>1168</v>
      </c>
      <c r="R343" s="1" t="s">
        <v>108</v>
      </c>
      <c r="S343" s="1">
        <v>32</v>
      </c>
      <c r="T343" s="1" t="s">
        <v>109</v>
      </c>
      <c r="U343" s="1" t="s">
        <v>73</v>
      </c>
      <c r="V343" s="1" t="s">
        <v>232</v>
      </c>
      <c r="W343" s="1" t="s">
        <v>232</v>
      </c>
      <c r="X343" s="1">
        <v>4</v>
      </c>
      <c r="Y343" s="1">
        <v>5</v>
      </c>
      <c r="Z343" s="1" t="s">
        <v>83</v>
      </c>
      <c r="AA343" s="1">
        <v>5</v>
      </c>
      <c r="AB343" s="1">
        <v>5</v>
      </c>
      <c r="AC343" s="1" t="s">
        <v>83</v>
      </c>
      <c r="AD343" s="1">
        <v>4</v>
      </c>
      <c r="AE343" s="1">
        <v>4</v>
      </c>
      <c r="AF343" s="1" t="s">
        <v>83</v>
      </c>
      <c r="AG343" s="1">
        <v>0</v>
      </c>
      <c r="AH343" s="1">
        <v>0</v>
      </c>
      <c r="AI343" s="1" t="s">
        <v>83</v>
      </c>
      <c r="AJ343" s="1">
        <v>4</v>
      </c>
      <c r="AK343" s="1">
        <v>4</v>
      </c>
      <c r="AL343" s="1" t="s">
        <v>83</v>
      </c>
      <c r="AM343" s="1">
        <v>4</v>
      </c>
      <c r="AN343" s="1">
        <v>5</v>
      </c>
      <c r="AO343" s="1" t="s">
        <v>83</v>
      </c>
      <c r="AP343" s="1">
        <v>4</v>
      </c>
      <c r="AQ343" s="1">
        <v>5</v>
      </c>
      <c r="AR343" s="1" t="s">
        <v>83</v>
      </c>
      <c r="AS343" s="1">
        <v>5</v>
      </c>
      <c r="AT343" s="1">
        <v>5</v>
      </c>
      <c r="AU343" s="1" t="s">
        <v>83</v>
      </c>
      <c r="AV343" s="1">
        <v>5</v>
      </c>
      <c r="AW343" s="1">
        <v>5</v>
      </c>
      <c r="AX343" s="1" t="s">
        <v>83</v>
      </c>
      <c r="AY343" s="1">
        <v>0</v>
      </c>
      <c r="AZ343" s="1">
        <v>0</v>
      </c>
      <c r="BA343" s="1">
        <v>2</v>
      </c>
      <c r="BB343" s="1" t="s">
        <v>83</v>
      </c>
      <c r="BC343" s="1">
        <v>0</v>
      </c>
      <c r="BD343" s="1" t="s">
        <v>2112</v>
      </c>
      <c r="BE343" s="1" t="s">
        <v>98</v>
      </c>
      <c r="BF343" s="1" t="s">
        <v>98</v>
      </c>
      <c r="BG343" s="1" t="s">
        <v>98</v>
      </c>
    </row>
    <row r="344" spans="1:59" x14ac:dyDescent="0.35">
      <c r="A344" s="1">
        <v>343</v>
      </c>
      <c r="B344" s="1">
        <v>45847.74082175926</v>
      </c>
      <c r="C344" s="1" t="s">
        <v>2114</v>
      </c>
      <c r="D344" s="1" t="s">
        <v>2115</v>
      </c>
      <c r="E344" s="1" t="s">
        <v>2116</v>
      </c>
      <c r="F344" s="1" t="s">
        <v>2117</v>
      </c>
      <c r="G344" s="1" t="s">
        <v>2118</v>
      </c>
      <c r="H344" s="1" t="s">
        <v>88</v>
      </c>
      <c r="I344" s="1" t="s">
        <v>2088</v>
      </c>
      <c r="J344" s="1" t="s">
        <v>2084</v>
      </c>
      <c r="K344" s="1" t="s">
        <v>2119</v>
      </c>
      <c r="L344" s="1" t="s">
        <v>69</v>
      </c>
      <c r="M344" s="1" t="s">
        <v>69</v>
      </c>
      <c r="N344" s="1" t="s">
        <v>69</v>
      </c>
      <c r="O344" s="1" t="s">
        <v>69</v>
      </c>
      <c r="P344" s="1" t="s">
        <v>106</v>
      </c>
      <c r="Q344" s="1" t="s">
        <v>1168</v>
      </c>
      <c r="R344" s="1" t="s">
        <v>1037</v>
      </c>
      <c r="S344" s="1">
        <v>51</v>
      </c>
      <c r="T344" s="1" t="s">
        <v>383</v>
      </c>
      <c r="U344" s="1" t="s">
        <v>73</v>
      </c>
      <c r="V344" s="1" t="s">
        <v>110</v>
      </c>
      <c r="W344" s="1" t="s">
        <v>110</v>
      </c>
      <c r="X344" s="1">
        <v>6</v>
      </c>
      <c r="Y344" s="1">
        <v>6</v>
      </c>
      <c r="Z344" s="1" t="s">
        <v>83</v>
      </c>
      <c r="AA344" s="1">
        <v>6</v>
      </c>
      <c r="AB344" s="1">
        <v>6</v>
      </c>
      <c r="AC344" s="1" t="s">
        <v>83</v>
      </c>
      <c r="AD344" s="1">
        <v>6</v>
      </c>
      <c r="AE344" s="1">
        <v>6</v>
      </c>
      <c r="AF344" s="1" t="s">
        <v>83</v>
      </c>
      <c r="AG344" s="1">
        <v>0</v>
      </c>
      <c r="AH344" s="1">
        <v>0</v>
      </c>
      <c r="AI344" s="1" t="s">
        <v>83</v>
      </c>
      <c r="AJ344" s="1">
        <v>6</v>
      </c>
      <c r="AK344" s="1">
        <v>6</v>
      </c>
      <c r="AL344" s="1" t="s">
        <v>83</v>
      </c>
      <c r="AM344" s="1">
        <v>6</v>
      </c>
      <c r="AN344" s="1">
        <v>6</v>
      </c>
      <c r="AO344" s="1" t="s">
        <v>83</v>
      </c>
      <c r="AP344" s="1">
        <v>6</v>
      </c>
      <c r="AQ344" s="1">
        <v>6</v>
      </c>
      <c r="AR344" s="1" t="s">
        <v>83</v>
      </c>
      <c r="AS344" s="1">
        <v>6</v>
      </c>
      <c r="AT344" s="1">
        <v>6</v>
      </c>
      <c r="AU344" s="1" t="s">
        <v>83</v>
      </c>
      <c r="AV344" s="1">
        <v>6</v>
      </c>
      <c r="AW344" s="1">
        <v>6</v>
      </c>
      <c r="AX344" s="1" t="s">
        <v>83</v>
      </c>
      <c r="AY344" s="1">
        <v>0</v>
      </c>
      <c r="AZ344" s="1">
        <v>0</v>
      </c>
      <c r="BA344" s="1">
        <v>1</v>
      </c>
      <c r="BB344" s="1" t="s">
        <v>83</v>
      </c>
      <c r="BC344" s="1">
        <v>0</v>
      </c>
      <c r="BD344" s="1" t="s">
        <v>98</v>
      </c>
      <c r="BE344" s="1" t="s">
        <v>98</v>
      </c>
      <c r="BF344" s="1" t="s">
        <v>98</v>
      </c>
      <c r="BG344" s="1" t="s">
        <v>98</v>
      </c>
    </row>
    <row r="345" spans="1:59" x14ac:dyDescent="0.35">
      <c r="A345" s="1">
        <v>344</v>
      </c>
      <c r="B345" s="1">
        <v>45847.744652777779</v>
      </c>
      <c r="C345" s="1" t="s">
        <v>2120</v>
      </c>
      <c r="D345" s="1" t="s">
        <v>2121</v>
      </c>
      <c r="E345" s="1" t="s">
        <v>1723</v>
      </c>
      <c r="F345" s="1" t="s">
        <v>2122</v>
      </c>
      <c r="G345" s="1" t="s">
        <v>2123</v>
      </c>
      <c r="H345" s="1" t="s">
        <v>1679</v>
      </c>
      <c r="I345" s="1" t="s">
        <v>439</v>
      </c>
      <c r="J345" s="1" t="s">
        <v>2073</v>
      </c>
      <c r="K345" s="1" t="s">
        <v>1399</v>
      </c>
      <c r="L345" s="1" t="s">
        <v>69</v>
      </c>
      <c r="M345" s="1" t="s">
        <v>69</v>
      </c>
      <c r="N345" s="1" t="s">
        <v>69</v>
      </c>
      <c r="O345" s="1" t="s">
        <v>69</v>
      </c>
      <c r="P345" s="1" t="s">
        <v>70</v>
      </c>
      <c r="Q345" s="1" t="s">
        <v>1168</v>
      </c>
      <c r="R345" s="1" t="s">
        <v>566</v>
      </c>
      <c r="S345" s="1">
        <v>25</v>
      </c>
      <c r="T345" s="1" t="s">
        <v>72</v>
      </c>
      <c r="U345" s="1" t="s">
        <v>73</v>
      </c>
      <c r="V345" s="1" t="s">
        <v>110</v>
      </c>
      <c r="W345" s="1" t="s">
        <v>110</v>
      </c>
      <c r="X345" s="1">
        <v>6</v>
      </c>
      <c r="Y345" s="1">
        <v>6</v>
      </c>
      <c r="Z345" s="1" t="s">
        <v>83</v>
      </c>
      <c r="AA345" s="1">
        <v>6</v>
      </c>
      <c r="AB345" s="1">
        <v>6</v>
      </c>
      <c r="AC345" s="1" t="s">
        <v>83</v>
      </c>
      <c r="AD345" s="1">
        <v>6</v>
      </c>
      <c r="AE345" s="1">
        <v>6</v>
      </c>
      <c r="AF345" s="1" t="s">
        <v>83</v>
      </c>
      <c r="AG345" s="1">
        <v>0</v>
      </c>
      <c r="AH345" s="1">
        <v>0</v>
      </c>
      <c r="AI345" s="1" t="s">
        <v>83</v>
      </c>
      <c r="AJ345" s="1">
        <v>6</v>
      </c>
      <c r="AK345" s="1">
        <v>6</v>
      </c>
      <c r="AL345" s="1" t="s">
        <v>83</v>
      </c>
      <c r="AM345" s="1">
        <v>6</v>
      </c>
      <c r="AN345" s="1">
        <v>6</v>
      </c>
      <c r="AO345" s="1" t="s">
        <v>83</v>
      </c>
      <c r="AP345" s="1">
        <v>6</v>
      </c>
      <c r="AQ345" s="1">
        <v>6</v>
      </c>
      <c r="AR345" s="1" t="s">
        <v>83</v>
      </c>
      <c r="AS345" s="1">
        <v>6</v>
      </c>
      <c r="AT345" s="1">
        <v>6</v>
      </c>
      <c r="AU345" s="1" t="s">
        <v>83</v>
      </c>
      <c r="AV345" s="1">
        <v>6</v>
      </c>
      <c r="AW345" s="1">
        <v>6</v>
      </c>
      <c r="AX345" s="1" t="s">
        <v>83</v>
      </c>
      <c r="AY345" s="1">
        <v>0</v>
      </c>
      <c r="AZ345" s="1">
        <v>0</v>
      </c>
      <c r="BA345" s="1">
        <v>2</v>
      </c>
      <c r="BB345" s="1" t="s">
        <v>83</v>
      </c>
      <c r="BC345" s="1">
        <v>0</v>
      </c>
      <c r="BD345" s="1" t="s">
        <v>2124</v>
      </c>
      <c r="BE345" s="1" t="s">
        <v>442</v>
      </c>
      <c r="BF345" s="1" t="s">
        <v>442</v>
      </c>
      <c r="BG345" s="1" t="s">
        <v>83</v>
      </c>
    </row>
    <row r="346" spans="1:59" x14ac:dyDescent="0.35">
      <c r="A346" s="1">
        <v>345</v>
      </c>
      <c r="B346" s="1">
        <v>45847.747847222221</v>
      </c>
      <c r="C346" s="1" t="s">
        <v>2125</v>
      </c>
      <c r="D346" s="1" t="s">
        <v>2126</v>
      </c>
      <c r="E346" s="1" t="s">
        <v>63</v>
      </c>
      <c r="F346" s="1" t="s">
        <v>2127</v>
      </c>
      <c r="G346" s="1" t="s">
        <v>2128</v>
      </c>
      <c r="H346" s="1" t="s">
        <v>1679</v>
      </c>
      <c r="I346" s="1" t="s">
        <v>439</v>
      </c>
      <c r="J346" s="1" t="s">
        <v>2073</v>
      </c>
      <c r="K346" s="1" t="s">
        <v>2129</v>
      </c>
      <c r="L346" s="1" t="s">
        <v>69</v>
      </c>
      <c r="M346" s="1" t="s">
        <v>69</v>
      </c>
      <c r="N346" s="1" t="s">
        <v>69</v>
      </c>
      <c r="O346" s="1" t="s">
        <v>69</v>
      </c>
      <c r="P346" s="1" t="s">
        <v>70</v>
      </c>
      <c r="Q346" s="1" t="s">
        <v>1168</v>
      </c>
      <c r="R346" s="1" t="s">
        <v>1694</v>
      </c>
      <c r="S346" s="1">
        <v>40</v>
      </c>
      <c r="T346" s="1" t="s">
        <v>153</v>
      </c>
      <c r="U346" s="1" t="s">
        <v>254</v>
      </c>
      <c r="V346" s="1" t="s">
        <v>110</v>
      </c>
      <c r="W346" s="1" t="s">
        <v>110</v>
      </c>
      <c r="X346" s="1">
        <v>6</v>
      </c>
      <c r="Y346" s="1">
        <v>6</v>
      </c>
      <c r="Z346" s="1" t="s">
        <v>83</v>
      </c>
      <c r="AA346" s="1">
        <v>6</v>
      </c>
      <c r="AB346" s="1">
        <v>6</v>
      </c>
      <c r="AC346" s="1" t="s">
        <v>83</v>
      </c>
      <c r="AD346" s="1">
        <v>6</v>
      </c>
      <c r="AE346" s="1">
        <v>6</v>
      </c>
      <c r="AF346" s="1" t="s">
        <v>83</v>
      </c>
      <c r="AG346" s="1">
        <v>0</v>
      </c>
      <c r="AH346" s="1">
        <v>0</v>
      </c>
      <c r="AI346" s="1" t="s">
        <v>83</v>
      </c>
      <c r="AJ346" s="1">
        <v>6</v>
      </c>
      <c r="AK346" s="1">
        <v>6</v>
      </c>
      <c r="AL346" s="1" t="s">
        <v>83</v>
      </c>
      <c r="AM346" s="1">
        <v>6</v>
      </c>
      <c r="AN346" s="1">
        <v>6</v>
      </c>
      <c r="AO346" s="1" t="s">
        <v>83</v>
      </c>
      <c r="AP346" s="1">
        <v>6</v>
      </c>
      <c r="AQ346" s="1">
        <v>6</v>
      </c>
      <c r="AR346" s="1" t="s">
        <v>83</v>
      </c>
      <c r="AS346" s="1">
        <v>6</v>
      </c>
      <c r="AT346" s="1">
        <v>6</v>
      </c>
      <c r="AU346" s="1" t="s">
        <v>83</v>
      </c>
      <c r="AV346" s="1">
        <v>6</v>
      </c>
      <c r="AW346" s="1">
        <v>6</v>
      </c>
      <c r="AX346" s="1" t="s">
        <v>83</v>
      </c>
      <c r="AY346" s="1">
        <v>0</v>
      </c>
      <c r="AZ346" s="1">
        <v>0</v>
      </c>
      <c r="BA346" s="1">
        <v>0</v>
      </c>
      <c r="BB346" s="1" t="s">
        <v>1278</v>
      </c>
      <c r="BC346" s="1">
        <v>1</v>
      </c>
      <c r="BD346" s="1" t="s">
        <v>442</v>
      </c>
      <c r="BE346" s="1" t="s">
        <v>442</v>
      </c>
      <c r="BF346" s="1" t="s">
        <v>2130</v>
      </c>
      <c r="BG346" s="1" t="s">
        <v>83</v>
      </c>
    </row>
    <row r="347" spans="1:59" x14ac:dyDescent="0.35">
      <c r="A347" s="1">
        <v>346</v>
      </c>
      <c r="B347" s="1">
        <v>45847.751064814816</v>
      </c>
      <c r="C347" s="1" t="s">
        <v>2131</v>
      </c>
      <c r="D347" s="1" t="s">
        <v>2132</v>
      </c>
      <c r="E347" s="1" t="s">
        <v>63</v>
      </c>
      <c r="F347" s="1" t="s">
        <v>480</v>
      </c>
      <c r="G347" s="1" t="s">
        <v>2133</v>
      </c>
      <c r="H347" s="1" t="s">
        <v>1679</v>
      </c>
      <c r="I347" s="1" t="s">
        <v>439</v>
      </c>
      <c r="J347" s="1" t="s">
        <v>2073</v>
      </c>
      <c r="K347" s="1" t="s">
        <v>2134</v>
      </c>
      <c r="L347" s="1" t="s">
        <v>69</v>
      </c>
      <c r="M347" s="1" t="s">
        <v>69</v>
      </c>
      <c r="N347" s="1" t="s">
        <v>69</v>
      </c>
      <c r="O347" s="1" t="s">
        <v>69</v>
      </c>
      <c r="P347" s="1" t="s">
        <v>70</v>
      </c>
      <c r="Q347" s="1" t="s">
        <v>1168</v>
      </c>
      <c r="R347" s="1" t="s">
        <v>1325</v>
      </c>
      <c r="S347" s="1">
        <v>50</v>
      </c>
      <c r="T347" s="1" t="s">
        <v>225</v>
      </c>
      <c r="U347" s="1" t="s">
        <v>273</v>
      </c>
      <c r="V347" s="1" t="s">
        <v>74</v>
      </c>
      <c r="W347" s="1" t="s">
        <v>74</v>
      </c>
      <c r="X347" s="1">
        <v>6</v>
      </c>
      <c r="Y347" s="1">
        <v>6</v>
      </c>
      <c r="Z347" s="1" t="s">
        <v>83</v>
      </c>
      <c r="AA347" s="1">
        <v>6</v>
      </c>
      <c r="AB347" s="1">
        <v>6</v>
      </c>
      <c r="AC347" s="1" t="s">
        <v>83</v>
      </c>
      <c r="AD347" s="1">
        <v>4</v>
      </c>
      <c r="AE347" s="1">
        <v>4</v>
      </c>
      <c r="AF347" s="1" t="s">
        <v>83</v>
      </c>
      <c r="AG347" s="1">
        <v>0</v>
      </c>
      <c r="AH347" s="1">
        <v>0</v>
      </c>
      <c r="AI347" s="1" t="s">
        <v>83</v>
      </c>
      <c r="AJ347" s="1">
        <v>5</v>
      </c>
      <c r="AK347" s="1">
        <v>5</v>
      </c>
      <c r="AL347" s="1" t="s">
        <v>83</v>
      </c>
      <c r="AM347" s="1">
        <v>5</v>
      </c>
      <c r="AN347" s="1">
        <v>5</v>
      </c>
      <c r="AO347" s="1" t="s">
        <v>83</v>
      </c>
      <c r="AP347" s="1">
        <v>6</v>
      </c>
      <c r="AQ347" s="1">
        <v>6</v>
      </c>
      <c r="AR347" s="1" t="s">
        <v>83</v>
      </c>
      <c r="AS347" s="1">
        <v>5</v>
      </c>
      <c r="AT347" s="1">
        <v>5</v>
      </c>
      <c r="AU347" s="1" t="s">
        <v>83</v>
      </c>
      <c r="AV347" s="1">
        <v>6</v>
      </c>
      <c r="AW347" s="1">
        <v>6</v>
      </c>
      <c r="AX347" s="1" t="s">
        <v>83</v>
      </c>
      <c r="AY347" s="1">
        <v>0</v>
      </c>
      <c r="AZ347" s="1">
        <v>0</v>
      </c>
      <c r="BA347" s="1">
        <v>0</v>
      </c>
      <c r="BB347" s="1" t="s">
        <v>2135</v>
      </c>
      <c r="BC347" s="1">
        <v>2</v>
      </c>
      <c r="BD347" s="1" t="s">
        <v>442</v>
      </c>
      <c r="BE347" s="1" t="s">
        <v>442</v>
      </c>
      <c r="BF347" s="1" t="s">
        <v>442</v>
      </c>
      <c r="BG347" s="1" t="s">
        <v>83</v>
      </c>
    </row>
    <row r="348" spans="1:59" x14ac:dyDescent="0.35">
      <c r="A348" s="1">
        <v>347</v>
      </c>
      <c r="B348" s="1">
        <v>45847.901261574072</v>
      </c>
      <c r="C348" s="1" t="s">
        <v>2136</v>
      </c>
      <c r="D348" s="1" t="s">
        <v>2137</v>
      </c>
      <c r="E348" s="1" t="s">
        <v>904</v>
      </c>
      <c r="F348" s="1" t="s">
        <v>2138</v>
      </c>
      <c r="G348" s="1" t="s">
        <v>2139</v>
      </c>
      <c r="H348" s="1" t="s">
        <v>578</v>
      </c>
      <c r="I348" s="1" t="s">
        <v>588</v>
      </c>
      <c r="J348" s="1" t="s">
        <v>2073</v>
      </c>
      <c r="K348" s="1" t="s">
        <v>2104</v>
      </c>
      <c r="L348" s="1" t="s">
        <v>69</v>
      </c>
      <c r="M348" s="1" t="s">
        <v>69</v>
      </c>
      <c r="N348" s="1" t="s">
        <v>69</v>
      </c>
      <c r="O348" s="1" t="s">
        <v>69</v>
      </c>
      <c r="P348" s="1" t="s">
        <v>70</v>
      </c>
      <c r="Q348" s="1" t="s">
        <v>1168</v>
      </c>
      <c r="R348" s="1" t="s">
        <v>2140</v>
      </c>
      <c r="S348" s="1">
        <v>29</v>
      </c>
      <c r="T348" s="1" t="s">
        <v>92</v>
      </c>
      <c r="U348" s="1" t="s">
        <v>93</v>
      </c>
      <c r="V348" s="1" t="s">
        <v>110</v>
      </c>
      <c r="W348" s="1" t="s">
        <v>110</v>
      </c>
      <c r="X348" s="1">
        <v>5</v>
      </c>
      <c r="Y348" s="1">
        <v>5</v>
      </c>
      <c r="Z348" s="1" t="s">
        <v>83</v>
      </c>
      <c r="AA348" s="1">
        <v>5</v>
      </c>
      <c r="AB348" s="1">
        <v>5</v>
      </c>
      <c r="AC348" s="1" t="s">
        <v>83</v>
      </c>
      <c r="AD348" s="1">
        <v>6</v>
      </c>
      <c r="AE348" s="1">
        <v>6</v>
      </c>
      <c r="AF348" s="1" t="s">
        <v>83</v>
      </c>
      <c r="AG348" s="1">
        <v>0</v>
      </c>
      <c r="AH348" s="1">
        <v>0</v>
      </c>
      <c r="AI348" s="1" t="s">
        <v>83</v>
      </c>
      <c r="AJ348" s="1">
        <v>5</v>
      </c>
      <c r="AK348" s="1">
        <v>5</v>
      </c>
      <c r="AL348" s="1" t="s">
        <v>83</v>
      </c>
      <c r="AM348" s="1">
        <v>6</v>
      </c>
      <c r="AN348" s="1">
        <v>6</v>
      </c>
      <c r="AO348" s="1" t="s">
        <v>83</v>
      </c>
      <c r="AP348" s="1">
        <v>6</v>
      </c>
      <c r="AQ348" s="1">
        <v>6</v>
      </c>
      <c r="AR348" s="1" t="s">
        <v>83</v>
      </c>
      <c r="AS348" s="1">
        <v>6</v>
      </c>
      <c r="AT348" s="1">
        <v>6</v>
      </c>
      <c r="AU348" s="1" t="s">
        <v>83</v>
      </c>
      <c r="AV348" s="1">
        <v>6</v>
      </c>
      <c r="AW348" s="1">
        <v>6</v>
      </c>
      <c r="AX348" s="1" t="s">
        <v>83</v>
      </c>
      <c r="AY348" s="1">
        <v>1</v>
      </c>
      <c r="AZ348" s="1">
        <v>0</v>
      </c>
      <c r="BA348" s="1">
        <v>1</v>
      </c>
      <c r="BB348" s="1" t="s">
        <v>83</v>
      </c>
      <c r="BC348" s="1">
        <v>0</v>
      </c>
      <c r="BD348" s="1" t="s">
        <v>2141</v>
      </c>
      <c r="BE348" s="1" t="s">
        <v>503</v>
      </c>
      <c r="BF348" s="1" t="s">
        <v>2069</v>
      </c>
      <c r="BG348" s="1" t="s">
        <v>83</v>
      </c>
    </row>
    <row r="349" spans="1:59" x14ac:dyDescent="0.35">
      <c r="A349" s="1">
        <v>348</v>
      </c>
      <c r="B349" s="1">
        <v>45847.910416666666</v>
      </c>
      <c r="C349" s="1" t="s">
        <v>2142</v>
      </c>
      <c r="D349" s="1" t="s">
        <v>2143</v>
      </c>
      <c r="E349" s="1" t="s">
        <v>2144</v>
      </c>
      <c r="F349" s="1" t="s">
        <v>2145</v>
      </c>
      <c r="G349" s="1" t="s">
        <v>2146</v>
      </c>
      <c r="H349" s="1" t="s">
        <v>578</v>
      </c>
      <c r="I349" s="1" t="s">
        <v>588</v>
      </c>
      <c r="J349" s="1" t="s">
        <v>2147</v>
      </c>
      <c r="K349" s="1" t="s">
        <v>2148</v>
      </c>
      <c r="L349" s="1" t="s">
        <v>69</v>
      </c>
      <c r="M349" s="1" t="s">
        <v>69</v>
      </c>
      <c r="N349" s="1" t="s">
        <v>69</v>
      </c>
      <c r="O349" s="1" t="s">
        <v>69</v>
      </c>
      <c r="P349" s="1" t="s">
        <v>70</v>
      </c>
      <c r="Q349" s="1" t="s">
        <v>1168</v>
      </c>
      <c r="R349" s="1" t="s">
        <v>671</v>
      </c>
      <c r="S349" s="1">
        <v>49</v>
      </c>
      <c r="T349" s="1" t="s">
        <v>225</v>
      </c>
      <c r="U349" s="1" t="s">
        <v>93</v>
      </c>
      <c r="V349" s="1" t="s">
        <v>110</v>
      </c>
      <c r="W349" s="1" t="s">
        <v>110</v>
      </c>
      <c r="X349" s="1">
        <v>5</v>
      </c>
      <c r="Y349" s="1">
        <v>5</v>
      </c>
      <c r="Z349" s="1" t="s">
        <v>83</v>
      </c>
      <c r="AA349" s="1">
        <v>5</v>
      </c>
      <c r="AB349" s="1">
        <v>5</v>
      </c>
      <c r="AC349" s="1" t="s">
        <v>83</v>
      </c>
      <c r="AD349" s="1">
        <v>6</v>
      </c>
      <c r="AE349" s="1">
        <v>6</v>
      </c>
      <c r="AF349" s="1" t="s">
        <v>83</v>
      </c>
      <c r="AG349" s="1">
        <v>0</v>
      </c>
      <c r="AH349" s="1">
        <v>0</v>
      </c>
      <c r="AI349" s="1" t="s">
        <v>83</v>
      </c>
      <c r="AJ349" s="1">
        <v>6</v>
      </c>
      <c r="AK349" s="1">
        <v>6</v>
      </c>
      <c r="AL349" s="1" t="s">
        <v>83</v>
      </c>
      <c r="AM349" s="1">
        <v>6</v>
      </c>
      <c r="AN349" s="1">
        <v>6</v>
      </c>
      <c r="AO349" s="1" t="s">
        <v>83</v>
      </c>
      <c r="AP349" s="1">
        <v>6</v>
      </c>
      <c r="AQ349" s="1">
        <v>6</v>
      </c>
      <c r="AR349" s="1" t="s">
        <v>83</v>
      </c>
      <c r="AS349" s="1">
        <v>6</v>
      </c>
      <c r="AT349" s="1">
        <v>6</v>
      </c>
      <c r="AU349" s="1" t="s">
        <v>83</v>
      </c>
      <c r="AV349" s="1">
        <v>5</v>
      </c>
      <c r="AW349" s="1">
        <v>5</v>
      </c>
      <c r="AX349" s="1" t="s">
        <v>83</v>
      </c>
      <c r="AY349" s="1">
        <v>0</v>
      </c>
      <c r="AZ349" s="1">
        <v>0</v>
      </c>
      <c r="BA349" s="1">
        <v>2</v>
      </c>
      <c r="BB349" s="1" t="s">
        <v>83</v>
      </c>
      <c r="BC349" s="1">
        <v>0</v>
      </c>
      <c r="BD349" s="1" t="s">
        <v>2004</v>
      </c>
      <c r="BE349" s="1" t="s">
        <v>2149</v>
      </c>
      <c r="BF349" s="1" t="s">
        <v>98</v>
      </c>
      <c r="BG349" s="1" t="s">
        <v>83</v>
      </c>
    </row>
    <row r="350" spans="1:59" x14ac:dyDescent="0.35">
      <c r="A350" s="1">
        <v>349</v>
      </c>
      <c r="B350" s="1">
        <v>45847.915925925925</v>
      </c>
      <c r="C350" s="1" t="s">
        <v>2150</v>
      </c>
      <c r="D350" s="1" t="s">
        <v>2151</v>
      </c>
      <c r="E350" s="1" t="s">
        <v>63</v>
      </c>
      <c r="F350" s="1" t="s">
        <v>63</v>
      </c>
      <c r="G350" s="1" t="s">
        <v>2146</v>
      </c>
      <c r="H350" s="1" t="s">
        <v>578</v>
      </c>
      <c r="I350" s="1" t="s">
        <v>588</v>
      </c>
      <c r="J350" s="1" t="s">
        <v>2073</v>
      </c>
      <c r="K350" s="1" t="s">
        <v>2152</v>
      </c>
      <c r="L350" s="1" t="s">
        <v>69</v>
      </c>
      <c r="M350" s="1" t="s">
        <v>69</v>
      </c>
      <c r="N350" s="1" t="s">
        <v>69</v>
      </c>
      <c r="O350" s="1" t="s">
        <v>69</v>
      </c>
      <c r="P350" s="1" t="s">
        <v>106</v>
      </c>
      <c r="Q350" s="1" t="s">
        <v>1168</v>
      </c>
      <c r="R350" s="1" t="s">
        <v>546</v>
      </c>
      <c r="S350" s="1">
        <v>31</v>
      </c>
      <c r="T350" s="1" t="s">
        <v>109</v>
      </c>
      <c r="U350" s="1" t="s">
        <v>1343</v>
      </c>
      <c r="V350" s="1" t="s">
        <v>110</v>
      </c>
      <c r="W350" s="1" t="s">
        <v>110</v>
      </c>
      <c r="X350" s="1">
        <v>5</v>
      </c>
      <c r="Y350" s="1">
        <v>6</v>
      </c>
      <c r="Z350" s="1" t="s">
        <v>83</v>
      </c>
      <c r="AA350" s="1">
        <v>6</v>
      </c>
      <c r="AB350" s="1">
        <v>5</v>
      </c>
      <c r="AC350" s="1" t="s">
        <v>83</v>
      </c>
      <c r="AD350" s="1">
        <v>5</v>
      </c>
      <c r="AE350" s="1">
        <v>6</v>
      </c>
      <c r="AF350" s="1" t="s">
        <v>83</v>
      </c>
      <c r="AG350" s="1">
        <v>0</v>
      </c>
      <c r="AH350" s="1">
        <v>0</v>
      </c>
      <c r="AI350" s="1" t="s">
        <v>83</v>
      </c>
      <c r="AJ350" s="1">
        <v>5</v>
      </c>
      <c r="AK350" s="1">
        <v>5</v>
      </c>
      <c r="AL350" s="1" t="s">
        <v>83</v>
      </c>
      <c r="AM350" s="1">
        <v>5</v>
      </c>
      <c r="AN350" s="1">
        <v>5</v>
      </c>
      <c r="AO350" s="1" t="s">
        <v>83</v>
      </c>
      <c r="AP350" s="1">
        <v>5</v>
      </c>
      <c r="AQ350" s="1">
        <v>5</v>
      </c>
      <c r="AR350" s="1" t="s">
        <v>83</v>
      </c>
      <c r="AS350" s="1">
        <v>6</v>
      </c>
      <c r="AT350" s="1">
        <v>6</v>
      </c>
      <c r="AU350" s="1" t="s">
        <v>83</v>
      </c>
      <c r="AV350" s="1">
        <v>4</v>
      </c>
      <c r="AW350" s="1">
        <v>5</v>
      </c>
      <c r="AX350" s="1" t="s">
        <v>83</v>
      </c>
      <c r="AY350" s="1">
        <v>2</v>
      </c>
      <c r="AZ350" s="1">
        <v>0</v>
      </c>
      <c r="BA350" s="1">
        <v>0</v>
      </c>
      <c r="BB350" s="1" t="s">
        <v>83</v>
      </c>
      <c r="BC350" s="1">
        <v>0</v>
      </c>
      <c r="BD350" s="1" t="s">
        <v>2153</v>
      </c>
      <c r="BE350" s="1" t="s">
        <v>909</v>
      </c>
      <c r="BF350" s="1" t="s">
        <v>2154</v>
      </c>
      <c r="BG350" s="1" t="s">
        <v>83</v>
      </c>
    </row>
    <row r="351" spans="1:59" x14ac:dyDescent="0.35">
      <c r="A351" s="1">
        <v>350</v>
      </c>
      <c r="B351" s="1">
        <v>45848.443668981483</v>
      </c>
      <c r="C351" s="1" t="s">
        <v>2155</v>
      </c>
      <c r="D351" s="1" t="s">
        <v>2156</v>
      </c>
      <c r="E351" s="1" t="s">
        <v>63</v>
      </c>
      <c r="F351" s="1" t="s">
        <v>1555</v>
      </c>
      <c r="G351" s="1" t="s">
        <v>2157</v>
      </c>
      <c r="H351" s="1" t="s">
        <v>578</v>
      </c>
      <c r="I351" s="1" t="s">
        <v>596</v>
      </c>
      <c r="J351" s="1" t="s">
        <v>2084</v>
      </c>
      <c r="K351" s="1" t="s">
        <v>2158</v>
      </c>
      <c r="L351" s="1" t="s">
        <v>69</v>
      </c>
      <c r="M351" s="1" t="s">
        <v>69</v>
      </c>
      <c r="N351" s="1" t="s">
        <v>69</v>
      </c>
      <c r="O351" s="1" t="s">
        <v>69</v>
      </c>
      <c r="P351" s="1" t="s">
        <v>70</v>
      </c>
      <c r="Q351" s="1" t="s">
        <v>1168</v>
      </c>
      <c r="R351" s="1" t="s">
        <v>1464</v>
      </c>
      <c r="S351" s="1">
        <v>28</v>
      </c>
      <c r="T351" s="1" t="s">
        <v>92</v>
      </c>
      <c r="U351" s="1" t="s">
        <v>73</v>
      </c>
      <c r="V351" s="1" t="s">
        <v>110</v>
      </c>
      <c r="W351" s="1" t="s">
        <v>110</v>
      </c>
      <c r="X351" s="1">
        <v>6</v>
      </c>
      <c r="Y351" s="1">
        <v>6</v>
      </c>
      <c r="Z351" s="1" t="s">
        <v>83</v>
      </c>
      <c r="AA351" s="1">
        <v>6</v>
      </c>
      <c r="AB351" s="1">
        <v>6</v>
      </c>
      <c r="AC351" s="1" t="s">
        <v>83</v>
      </c>
      <c r="AD351" s="1">
        <v>6</v>
      </c>
      <c r="AE351" s="1">
        <v>6</v>
      </c>
      <c r="AF351" s="1" t="s">
        <v>83</v>
      </c>
      <c r="AG351" s="1">
        <v>0</v>
      </c>
      <c r="AH351" s="1">
        <v>0</v>
      </c>
      <c r="AI351" s="1" t="s">
        <v>83</v>
      </c>
      <c r="AJ351" s="1">
        <v>6</v>
      </c>
      <c r="AK351" s="1">
        <v>6</v>
      </c>
      <c r="AL351" s="1" t="s">
        <v>83</v>
      </c>
      <c r="AM351" s="1">
        <v>6</v>
      </c>
      <c r="AN351" s="1">
        <v>6</v>
      </c>
      <c r="AO351" s="1" t="s">
        <v>83</v>
      </c>
      <c r="AP351" s="1">
        <v>6</v>
      </c>
      <c r="AQ351" s="1">
        <v>6</v>
      </c>
      <c r="AR351" s="1" t="s">
        <v>83</v>
      </c>
      <c r="AS351" s="1">
        <v>6</v>
      </c>
      <c r="AT351" s="1">
        <v>6</v>
      </c>
      <c r="AU351" s="1" t="s">
        <v>83</v>
      </c>
      <c r="AV351" s="1">
        <v>6</v>
      </c>
      <c r="AW351" s="1">
        <v>6</v>
      </c>
      <c r="AX351" s="1" t="s">
        <v>83</v>
      </c>
      <c r="AY351" s="1">
        <v>0</v>
      </c>
      <c r="AZ351" s="1">
        <v>0</v>
      </c>
      <c r="BA351" s="1">
        <v>0</v>
      </c>
      <c r="BB351" s="1" t="s">
        <v>631</v>
      </c>
      <c r="BC351" s="1">
        <v>1</v>
      </c>
      <c r="BD351" s="1" t="s">
        <v>643</v>
      </c>
      <c r="BE351" s="1" t="s">
        <v>2159</v>
      </c>
      <c r="BF351" s="1" t="s">
        <v>341</v>
      </c>
      <c r="BG351" s="1" t="s">
        <v>2160</v>
      </c>
    </row>
    <row r="352" spans="1:59" x14ac:dyDescent="0.35">
      <c r="A352" s="1">
        <v>351</v>
      </c>
      <c r="B352" s="1">
        <v>45848.451168981483</v>
      </c>
      <c r="C352" s="1" t="s">
        <v>2161</v>
      </c>
      <c r="D352" s="1" t="s">
        <v>2145</v>
      </c>
      <c r="E352" s="1" t="s">
        <v>2144</v>
      </c>
      <c r="F352" s="1" t="s">
        <v>2138</v>
      </c>
      <c r="G352" s="1" t="s">
        <v>2162</v>
      </c>
      <c r="H352" s="1" t="s">
        <v>578</v>
      </c>
      <c r="I352" s="1" t="s">
        <v>596</v>
      </c>
      <c r="J352" s="1" t="s">
        <v>2084</v>
      </c>
      <c r="K352" s="1" t="s">
        <v>2163</v>
      </c>
      <c r="L352" s="1" t="s">
        <v>69</v>
      </c>
      <c r="M352" s="1" t="s">
        <v>69</v>
      </c>
      <c r="N352" s="1" t="s">
        <v>69</v>
      </c>
      <c r="O352" s="1" t="s">
        <v>69</v>
      </c>
      <c r="P352" s="1" t="s">
        <v>70</v>
      </c>
      <c r="Q352" s="1" t="s">
        <v>1168</v>
      </c>
      <c r="R352" s="1" t="s">
        <v>1123</v>
      </c>
      <c r="S352" s="1">
        <v>48</v>
      </c>
      <c r="T352" s="1" t="s">
        <v>225</v>
      </c>
      <c r="U352" s="1" t="s">
        <v>93</v>
      </c>
      <c r="V352" s="1" t="s">
        <v>110</v>
      </c>
      <c r="W352" s="1" t="s">
        <v>110</v>
      </c>
      <c r="X352" s="1">
        <v>5</v>
      </c>
      <c r="Y352" s="1">
        <v>5</v>
      </c>
      <c r="Z352" s="1" t="s">
        <v>83</v>
      </c>
      <c r="AA352" s="1">
        <v>5</v>
      </c>
      <c r="AB352" s="1">
        <v>5</v>
      </c>
      <c r="AC352" s="1" t="s">
        <v>83</v>
      </c>
      <c r="AD352" s="1">
        <v>5</v>
      </c>
      <c r="AE352" s="1">
        <v>5</v>
      </c>
      <c r="AF352" s="1" t="s">
        <v>83</v>
      </c>
      <c r="AG352" s="1">
        <v>0</v>
      </c>
      <c r="AH352" s="1">
        <v>0</v>
      </c>
      <c r="AI352" s="1" t="s">
        <v>83</v>
      </c>
      <c r="AJ352" s="1">
        <v>5</v>
      </c>
      <c r="AK352" s="1">
        <v>5</v>
      </c>
      <c r="AL352" s="1" t="s">
        <v>83</v>
      </c>
      <c r="AM352" s="1">
        <v>5</v>
      </c>
      <c r="AN352" s="1">
        <v>5</v>
      </c>
      <c r="AO352" s="1" t="s">
        <v>83</v>
      </c>
      <c r="AP352" s="1">
        <v>5</v>
      </c>
      <c r="AQ352" s="1">
        <v>5</v>
      </c>
      <c r="AR352" s="1" t="s">
        <v>83</v>
      </c>
      <c r="AS352" s="1">
        <v>5</v>
      </c>
      <c r="AT352" s="1">
        <v>5</v>
      </c>
      <c r="AU352" s="1" t="s">
        <v>83</v>
      </c>
      <c r="AV352" s="1">
        <v>6</v>
      </c>
      <c r="AW352" s="1">
        <v>6</v>
      </c>
      <c r="AX352" s="1" t="s">
        <v>83</v>
      </c>
      <c r="AY352" s="1">
        <v>0</v>
      </c>
      <c r="AZ352" s="1">
        <v>0</v>
      </c>
      <c r="BA352" s="1">
        <v>2</v>
      </c>
      <c r="BB352" s="1" t="s">
        <v>83</v>
      </c>
      <c r="BC352" s="1">
        <v>0</v>
      </c>
      <c r="BD352" s="1" t="s">
        <v>462</v>
      </c>
      <c r="BE352" s="1" t="s">
        <v>98</v>
      </c>
      <c r="BF352" s="1" t="s">
        <v>2164</v>
      </c>
      <c r="BG352" s="1" t="s">
        <v>83</v>
      </c>
    </row>
    <row r="353" spans="1:59" x14ac:dyDescent="0.35">
      <c r="A353" s="1">
        <v>352</v>
      </c>
      <c r="B353" s="1">
        <v>45848.488530092596</v>
      </c>
      <c r="C353" s="1" t="s">
        <v>2165</v>
      </c>
      <c r="D353" s="1" t="s">
        <v>2166</v>
      </c>
      <c r="E353" s="1" t="s">
        <v>267</v>
      </c>
      <c r="F353" s="1" t="s">
        <v>267</v>
      </c>
      <c r="G353" s="1" t="s">
        <v>2167</v>
      </c>
      <c r="H353" s="1" t="s">
        <v>578</v>
      </c>
      <c r="I353" s="1" t="s">
        <v>596</v>
      </c>
      <c r="J353" s="1" t="s">
        <v>2168</v>
      </c>
      <c r="K353" s="1" t="s">
        <v>2169</v>
      </c>
      <c r="L353" s="1" t="s">
        <v>69</v>
      </c>
      <c r="M353" s="1" t="s">
        <v>69</v>
      </c>
      <c r="N353" s="1" t="s">
        <v>69</v>
      </c>
      <c r="O353" s="1" t="s">
        <v>69</v>
      </c>
      <c r="P353" s="1" t="s">
        <v>106</v>
      </c>
      <c r="Q353" s="1" t="s">
        <v>1180</v>
      </c>
      <c r="R353" s="1" t="s">
        <v>873</v>
      </c>
      <c r="S353" s="1">
        <v>37</v>
      </c>
      <c r="T353" s="1" t="s">
        <v>153</v>
      </c>
      <c r="U353" s="1" t="s">
        <v>93</v>
      </c>
      <c r="V353" s="1" t="s">
        <v>110</v>
      </c>
      <c r="W353" s="1" t="s">
        <v>110</v>
      </c>
      <c r="X353" s="1">
        <v>4</v>
      </c>
      <c r="Y353" s="1">
        <v>5</v>
      </c>
      <c r="Z353" s="1" t="s">
        <v>83</v>
      </c>
      <c r="AA353" s="1">
        <v>5</v>
      </c>
      <c r="AB353" s="1">
        <v>5</v>
      </c>
      <c r="AC353" s="1" t="s">
        <v>83</v>
      </c>
      <c r="AD353" s="1">
        <v>5</v>
      </c>
      <c r="AE353" s="1">
        <v>5</v>
      </c>
      <c r="AF353" s="1" t="s">
        <v>83</v>
      </c>
      <c r="AG353" s="1">
        <v>0</v>
      </c>
      <c r="AH353" s="1">
        <v>0</v>
      </c>
      <c r="AI353" s="1" t="s">
        <v>83</v>
      </c>
      <c r="AJ353" s="1">
        <v>4</v>
      </c>
      <c r="AK353" s="1">
        <v>4</v>
      </c>
      <c r="AL353" s="1" t="s">
        <v>83</v>
      </c>
      <c r="AM353" s="1">
        <v>5</v>
      </c>
      <c r="AN353" s="1">
        <v>5</v>
      </c>
      <c r="AO353" s="1" t="s">
        <v>83</v>
      </c>
      <c r="AP353" s="1">
        <v>5</v>
      </c>
      <c r="AQ353" s="1">
        <v>5</v>
      </c>
      <c r="AR353" s="1" t="s">
        <v>83</v>
      </c>
      <c r="AS353" s="1">
        <v>4</v>
      </c>
      <c r="AT353" s="1">
        <v>4</v>
      </c>
      <c r="AU353" s="1" t="s">
        <v>83</v>
      </c>
      <c r="AV353" s="1">
        <v>5</v>
      </c>
      <c r="AW353" s="1">
        <v>5</v>
      </c>
      <c r="AX353" s="1" t="s">
        <v>83</v>
      </c>
      <c r="AY353" s="1">
        <v>0</v>
      </c>
      <c r="AZ353" s="1">
        <v>2</v>
      </c>
      <c r="BA353" s="1">
        <v>0</v>
      </c>
      <c r="BB353" s="1" t="s">
        <v>83</v>
      </c>
      <c r="BC353" s="1">
        <v>0</v>
      </c>
      <c r="BD353" s="1" t="s">
        <v>2170</v>
      </c>
      <c r="BE353" s="1" t="s">
        <v>2171</v>
      </c>
      <c r="BF353" s="1" t="s">
        <v>2172</v>
      </c>
      <c r="BG353" s="1" t="s">
        <v>83</v>
      </c>
    </row>
    <row r="354" spans="1:59" x14ac:dyDescent="0.35">
      <c r="A354" s="1">
        <v>353</v>
      </c>
      <c r="B354" s="1">
        <v>45848.649340277778</v>
      </c>
      <c r="C354" s="1" t="s">
        <v>2173</v>
      </c>
      <c r="D354" s="1" t="s">
        <v>2174</v>
      </c>
      <c r="E354" s="1" t="s">
        <v>1841</v>
      </c>
      <c r="F354" s="1" t="s">
        <v>1842</v>
      </c>
      <c r="G354" s="1" t="s">
        <v>2175</v>
      </c>
      <c r="H354" s="1" t="s">
        <v>657</v>
      </c>
      <c r="I354" s="1" t="s">
        <v>66</v>
      </c>
      <c r="J354" s="1" t="s">
        <v>2168</v>
      </c>
      <c r="K354" s="1" t="s">
        <v>2176</v>
      </c>
      <c r="L354" s="1" t="s">
        <v>69</v>
      </c>
      <c r="M354" s="1" t="s">
        <v>83</v>
      </c>
      <c r="N354" s="1" t="s">
        <v>69</v>
      </c>
      <c r="O354" s="1" t="s">
        <v>69</v>
      </c>
      <c r="P354" s="1" t="s">
        <v>106</v>
      </c>
      <c r="Q354" s="1" t="s">
        <v>1180</v>
      </c>
      <c r="R354" s="1" t="s">
        <v>2450</v>
      </c>
      <c r="S354" s="1">
        <v>52</v>
      </c>
      <c r="T354" s="1" t="s">
        <v>383</v>
      </c>
      <c r="U354" s="1" t="s">
        <v>93</v>
      </c>
      <c r="V354" s="1" t="s">
        <v>74</v>
      </c>
      <c r="W354" s="1" t="s">
        <v>74</v>
      </c>
      <c r="X354" s="1">
        <v>6</v>
      </c>
      <c r="Y354" s="1">
        <v>6</v>
      </c>
      <c r="Z354" s="1" t="s">
        <v>83</v>
      </c>
      <c r="AA354" s="1">
        <v>6</v>
      </c>
      <c r="AB354" s="1">
        <v>6</v>
      </c>
      <c r="AC354" s="1" t="s">
        <v>83</v>
      </c>
      <c r="AD354" s="1">
        <v>6</v>
      </c>
      <c r="AE354" s="1">
        <v>6</v>
      </c>
      <c r="AF354" s="1" t="s">
        <v>83</v>
      </c>
      <c r="AG354" s="1">
        <v>0</v>
      </c>
      <c r="AH354" s="1">
        <v>0</v>
      </c>
      <c r="AI354" s="1" t="s">
        <v>83</v>
      </c>
      <c r="AJ354" s="1">
        <v>6</v>
      </c>
      <c r="AK354" s="1">
        <v>6</v>
      </c>
      <c r="AL354" s="1" t="s">
        <v>83</v>
      </c>
      <c r="AM354" s="1">
        <v>6</v>
      </c>
      <c r="AN354" s="1">
        <v>6</v>
      </c>
      <c r="AO354" s="1" t="s">
        <v>83</v>
      </c>
      <c r="AP354" s="1">
        <v>6</v>
      </c>
      <c r="AQ354" s="1">
        <v>6</v>
      </c>
      <c r="AR354" s="1" t="s">
        <v>83</v>
      </c>
      <c r="AS354" s="1">
        <v>6</v>
      </c>
      <c r="AT354" s="1">
        <v>6</v>
      </c>
      <c r="AU354" s="1" t="s">
        <v>83</v>
      </c>
      <c r="AV354" s="1">
        <v>6</v>
      </c>
      <c r="AW354" s="1">
        <v>6</v>
      </c>
      <c r="AX354" s="1" t="s">
        <v>83</v>
      </c>
      <c r="AY354" s="1">
        <v>0</v>
      </c>
      <c r="AZ354" s="1">
        <v>0</v>
      </c>
      <c r="BA354" s="1">
        <v>0</v>
      </c>
      <c r="BB354" s="1" t="s">
        <v>1718</v>
      </c>
      <c r="BC354" s="1">
        <v>2</v>
      </c>
      <c r="BD354" s="1" t="s">
        <v>2177</v>
      </c>
      <c r="BE354" s="1" t="s">
        <v>248</v>
      </c>
      <c r="BF354" s="1" t="s">
        <v>503</v>
      </c>
      <c r="BG354" s="1" t="s">
        <v>83</v>
      </c>
    </row>
    <row r="355" spans="1:59" x14ac:dyDescent="0.35">
      <c r="A355" s="1">
        <v>354</v>
      </c>
      <c r="B355" s="1">
        <v>45848.691608796296</v>
      </c>
      <c r="C355" s="1" t="s">
        <v>2178</v>
      </c>
      <c r="D355" s="1" t="s">
        <v>2179</v>
      </c>
      <c r="E355" s="1" t="s">
        <v>63</v>
      </c>
      <c r="F355" s="1" t="s">
        <v>63</v>
      </c>
      <c r="G355" s="1" t="s">
        <v>2180</v>
      </c>
      <c r="H355" s="1" t="s">
        <v>88</v>
      </c>
      <c r="I355" s="1" t="s">
        <v>2088</v>
      </c>
      <c r="J355" s="1" t="s">
        <v>2168</v>
      </c>
      <c r="K355" s="1" t="s">
        <v>2181</v>
      </c>
      <c r="L355" s="1" t="s">
        <v>69</v>
      </c>
      <c r="M355" s="1" t="s">
        <v>69</v>
      </c>
      <c r="N355" s="1" t="s">
        <v>69</v>
      </c>
      <c r="O355" s="1" t="s">
        <v>69</v>
      </c>
      <c r="P355" s="1" t="s">
        <v>70</v>
      </c>
      <c r="Q355" s="1" t="s">
        <v>1180</v>
      </c>
      <c r="R355" s="1" t="s">
        <v>389</v>
      </c>
      <c r="S355" s="1">
        <v>47</v>
      </c>
      <c r="T355" s="1" t="s">
        <v>225</v>
      </c>
      <c r="U355" s="1" t="s">
        <v>73</v>
      </c>
      <c r="V355" s="1" t="s">
        <v>110</v>
      </c>
      <c r="W355" s="1" t="s">
        <v>110</v>
      </c>
      <c r="X355" s="1">
        <v>5</v>
      </c>
      <c r="Y355" s="1">
        <v>6</v>
      </c>
      <c r="Z355" s="1" t="s">
        <v>83</v>
      </c>
      <c r="AA355" s="1">
        <v>6</v>
      </c>
      <c r="AB355" s="1">
        <v>6</v>
      </c>
      <c r="AC355" s="1" t="s">
        <v>83</v>
      </c>
      <c r="AD355" s="1">
        <v>5</v>
      </c>
      <c r="AE355" s="1">
        <v>5</v>
      </c>
      <c r="AF355" s="1" t="s">
        <v>83</v>
      </c>
      <c r="AG355" s="1">
        <v>0</v>
      </c>
      <c r="AH355" s="1">
        <v>0</v>
      </c>
      <c r="AI355" s="1" t="s">
        <v>83</v>
      </c>
      <c r="AJ355" s="1">
        <v>6</v>
      </c>
      <c r="AK355" s="1">
        <v>6</v>
      </c>
      <c r="AL355" s="1" t="s">
        <v>83</v>
      </c>
      <c r="AM355" s="1">
        <v>6</v>
      </c>
      <c r="AN355" s="1">
        <v>6</v>
      </c>
      <c r="AO355" s="1" t="s">
        <v>83</v>
      </c>
      <c r="AP355" s="1">
        <v>6</v>
      </c>
      <c r="AQ355" s="1">
        <v>5</v>
      </c>
      <c r="AR355" s="1" t="s">
        <v>83</v>
      </c>
      <c r="AS355" s="1">
        <v>5</v>
      </c>
      <c r="AT355" s="1">
        <v>5</v>
      </c>
      <c r="AU355" s="1" t="s">
        <v>83</v>
      </c>
      <c r="AV355" s="1">
        <v>5</v>
      </c>
      <c r="AW355" s="1">
        <v>6</v>
      </c>
      <c r="AX355" s="1" t="s">
        <v>83</v>
      </c>
      <c r="AY355" s="1">
        <v>0</v>
      </c>
      <c r="AZ355" s="1">
        <v>0</v>
      </c>
      <c r="BA355" s="1">
        <v>2</v>
      </c>
      <c r="BB355" s="1" t="s">
        <v>83</v>
      </c>
      <c r="BC355" s="1">
        <v>0</v>
      </c>
      <c r="BD355" s="1" t="s">
        <v>2182</v>
      </c>
      <c r="BE355" s="1" t="s">
        <v>98</v>
      </c>
      <c r="BF355" s="1" t="s">
        <v>98</v>
      </c>
      <c r="BG355" s="1" t="s">
        <v>98</v>
      </c>
    </row>
    <row r="356" spans="1:59" x14ac:dyDescent="0.35">
      <c r="A356" s="1">
        <v>355</v>
      </c>
      <c r="B356" s="1">
        <v>45848.780150462961</v>
      </c>
      <c r="C356" s="1" t="s">
        <v>2183</v>
      </c>
      <c r="D356" s="1" t="s">
        <v>2184</v>
      </c>
      <c r="E356" s="1" t="s">
        <v>63</v>
      </c>
      <c r="F356" s="1" t="s">
        <v>397</v>
      </c>
      <c r="G356" s="1" t="s">
        <v>2185</v>
      </c>
      <c r="H356" s="1" t="s">
        <v>981</v>
      </c>
      <c r="I356" s="1" t="s">
        <v>982</v>
      </c>
      <c r="J356" s="1" t="s">
        <v>2186</v>
      </c>
      <c r="K356" s="1" t="s">
        <v>2187</v>
      </c>
      <c r="L356" s="1" t="s">
        <v>69</v>
      </c>
      <c r="M356" s="1" t="s">
        <v>69</v>
      </c>
      <c r="N356" s="1" t="s">
        <v>69</v>
      </c>
      <c r="O356" s="1" t="s">
        <v>69</v>
      </c>
      <c r="P356" s="1" t="s">
        <v>106</v>
      </c>
      <c r="Q356" s="1" t="s">
        <v>1168</v>
      </c>
      <c r="R356" s="1" t="s">
        <v>1123</v>
      </c>
      <c r="S356" s="1">
        <v>48</v>
      </c>
      <c r="T356" s="1" t="s">
        <v>225</v>
      </c>
      <c r="U356" s="1" t="s">
        <v>93</v>
      </c>
      <c r="V356" s="1" t="s">
        <v>110</v>
      </c>
      <c r="W356" s="1" t="s">
        <v>110</v>
      </c>
      <c r="X356" s="1">
        <v>6</v>
      </c>
      <c r="Y356" s="1">
        <v>5</v>
      </c>
      <c r="Z356" s="1" t="s">
        <v>83</v>
      </c>
      <c r="AA356" s="1">
        <v>6</v>
      </c>
      <c r="AB356" s="1">
        <v>5</v>
      </c>
      <c r="AC356" s="1" t="s">
        <v>83</v>
      </c>
      <c r="AD356" s="1">
        <v>5</v>
      </c>
      <c r="AE356" s="1">
        <v>5</v>
      </c>
      <c r="AF356" s="1" t="s">
        <v>83</v>
      </c>
      <c r="AG356" s="1">
        <v>0</v>
      </c>
      <c r="AH356" s="1">
        <v>0</v>
      </c>
      <c r="AI356" s="1" t="s">
        <v>83</v>
      </c>
      <c r="AJ356" s="1">
        <v>5</v>
      </c>
      <c r="AK356" s="1">
        <v>5</v>
      </c>
      <c r="AL356" s="1" t="s">
        <v>83</v>
      </c>
      <c r="AM356" s="1">
        <v>6</v>
      </c>
      <c r="AN356" s="1">
        <v>6</v>
      </c>
      <c r="AO356" s="1" t="s">
        <v>83</v>
      </c>
      <c r="AP356" s="1">
        <v>6</v>
      </c>
      <c r="AQ356" s="1">
        <v>6</v>
      </c>
      <c r="AR356" s="1" t="s">
        <v>83</v>
      </c>
      <c r="AS356" s="1">
        <v>6</v>
      </c>
      <c r="AT356" s="1">
        <v>6</v>
      </c>
      <c r="AU356" s="1" t="s">
        <v>83</v>
      </c>
      <c r="AV356" s="1">
        <v>6</v>
      </c>
      <c r="AW356" s="1">
        <v>6</v>
      </c>
      <c r="AX356" s="1" t="s">
        <v>83</v>
      </c>
      <c r="AY356" s="1">
        <v>0</v>
      </c>
      <c r="AZ356" s="1">
        <v>0</v>
      </c>
      <c r="BA356" s="1">
        <v>1</v>
      </c>
      <c r="BB356" s="1" t="s">
        <v>83</v>
      </c>
      <c r="BC356" s="1">
        <v>0</v>
      </c>
      <c r="BD356" s="1" t="s">
        <v>2188</v>
      </c>
      <c r="BE356" s="1" t="s">
        <v>2189</v>
      </c>
      <c r="BF356" s="1" t="s">
        <v>985</v>
      </c>
      <c r="BG356" s="1" t="s">
        <v>83</v>
      </c>
    </row>
    <row r="357" spans="1:59" x14ac:dyDescent="0.35">
      <c r="A357" s="1">
        <v>356</v>
      </c>
      <c r="B357" s="1">
        <v>45848.79146990741</v>
      </c>
      <c r="C357" s="1" t="s">
        <v>2190</v>
      </c>
      <c r="D357" s="1" t="s">
        <v>2191</v>
      </c>
      <c r="E357" s="1" t="s">
        <v>63</v>
      </c>
      <c r="F357" s="1" t="s">
        <v>63</v>
      </c>
      <c r="G357" s="1" t="s">
        <v>2192</v>
      </c>
      <c r="H357" s="1" t="s">
        <v>88</v>
      </c>
      <c r="I357" s="1" t="s">
        <v>2088</v>
      </c>
      <c r="J357" s="1" t="s">
        <v>2168</v>
      </c>
      <c r="K357" s="1" t="s">
        <v>2193</v>
      </c>
      <c r="L357" s="1" t="s">
        <v>69</v>
      </c>
      <c r="M357" s="1" t="s">
        <v>69</v>
      </c>
      <c r="N357" s="1" t="s">
        <v>69</v>
      </c>
      <c r="O357" s="1" t="s">
        <v>69</v>
      </c>
      <c r="P357" s="1" t="s">
        <v>106</v>
      </c>
      <c r="Q357" s="1" t="s">
        <v>1168</v>
      </c>
      <c r="R357" s="1" t="s">
        <v>826</v>
      </c>
      <c r="S357" s="1">
        <v>44</v>
      </c>
      <c r="T357" s="1" t="s">
        <v>197</v>
      </c>
      <c r="U357" s="1" t="s">
        <v>254</v>
      </c>
      <c r="V357" s="1" t="s">
        <v>110</v>
      </c>
      <c r="W357" s="1" t="s">
        <v>110</v>
      </c>
      <c r="X357" s="1">
        <v>5</v>
      </c>
      <c r="Y357" s="1">
        <v>6</v>
      </c>
      <c r="Z357" s="1" t="s">
        <v>83</v>
      </c>
      <c r="AA357" s="1">
        <v>6</v>
      </c>
      <c r="AB357" s="1">
        <v>6</v>
      </c>
      <c r="AC357" s="1" t="s">
        <v>83</v>
      </c>
      <c r="AD357" s="1">
        <v>5</v>
      </c>
      <c r="AE357" s="1">
        <v>6</v>
      </c>
      <c r="AF357" s="1" t="s">
        <v>83</v>
      </c>
      <c r="AG357" s="1">
        <v>0</v>
      </c>
      <c r="AH357" s="1">
        <v>0</v>
      </c>
      <c r="AI357" s="1" t="s">
        <v>83</v>
      </c>
      <c r="AJ357" s="1">
        <v>5</v>
      </c>
      <c r="AK357" s="1">
        <v>5</v>
      </c>
      <c r="AL357" s="1" t="s">
        <v>83</v>
      </c>
      <c r="AM357" s="1">
        <v>5</v>
      </c>
      <c r="AN357" s="1">
        <v>5</v>
      </c>
      <c r="AO357" s="1" t="s">
        <v>83</v>
      </c>
      <c r="AP357" s="1">
        <v>6</v>
      </c>
      <c r="AQ357" s="1">
        <v>6</v>
      </c>
      <c r="AR357" s="1" t="s">
        <v>83</v>
      </c>
      <c r="AS357" s="1">
        <v>6</v>
      </c>
      <c r="AT357" s="1">
        <v>6</v>
      </c>
      <c r="AU357" s="1" t="s">
        <v>83</v>
      </c>
      <c r="AV357" s="1">
        <v>5</v>
      </c>
      <c r="AW357" s="1">
        <v>5</v>
      </c>
      <c r="AX357" s="1" t="s">
        <v>83</v>
      </c>
      <c r="AY357" s="1">
        <v>0</v>
      </c>
      <c r="AZ357" s="1">
        <v>0</v>
      </c>
      <c r="BA357" s="1">
        <v>2</v>
      </c>
      <c r="BB357" s="1" t="s">
        <v>83</v>
      </c>
      <c r="BC357" s="1">
        <v>0</v>
      </c>
      <c r="BD357" s="1" t="s">
        <v>98</v>
      </c>
      <c r="BE357" s="1" t="s">
        <v>98</v>
      </c>
      <c r="BF357" s="1" t="s">
        <v>2194</v>
      </c>
      <c r="BG357" s="1" t="s">
        <v>83</v>
      </c>
    </row>
    <row r="358" spans="1:59" x14ac:dyDescent="0.35">
      <c r="A358" s="1">
        <v>357</v>
      </c>
      <c r="B358" s="1">
        <v>45848.80059027778</v>
      </c>
      <c r="C358" s="1" t="s">
        <v>2195</v>
      </c>
      <c r="D358" s="1" t="s">
        <v>2196</v>
      </c>
      <c r="E358" s="1" t="s">
        <v>63</v>
      </c>
      <c r="F358" s="1" t="s">
        <v>240</v>
      </c>
      <c r="G358" s="1" t="s">
        <v>2197</v>
      </c>
      <c r="H358" s="1" t="s">
        <v>981</v>
      </c>
      <c r="I358" s="1" t="s">
        <v>982</v>
      </c>
      <c r="J358" s="1" t="s">
        <v>2186</v>
      </c>
      <c r="K358" s="1" t="s">
        <v>1584</v>
      </c>
      <c r="L358" s="1" t="s">
        <v>69</v>
      </c>
      <c r="M358" s="1" t="s">
        <v>69</v>
      </c>
      <c r="N358" s="1" t="s">
        <v>69</v>
      </c>
      <c r="O358" s="1" t="s">
        <v>69</v>
      </c>
      <c r="P358" s="1" t="s">
        <v>70</v>
      </c>
      <c r="Q358" s="1" t="s">
        <v>1168</v>
      </c>
      <c r="R358" s="1" t="s">
        <v>807</v>
      </c>
      <c r="S358" s="1">
        <v>36</v>
      </c>
      <c r="T358" s="1" t="s">
        <v>153</v>
      </c>
      <c r="U358" s="1" t="s">
        <v>273</v>
      </c>
      <c r="V358" s="1" t="s">
        <v>2198</v>
      </c>
      <c r="W358" s="1" t="s">
        <v>110</v>
      </c>
      <c r="X358" s="1">
        <v>6</v>
      </c>
      <c r="Y358" s="1">
        <v>6</v>
      </c>
      <c r="Z358" s="1" t="s">
        <v>83</v>
      </c>
      <c r="AA358" s="1">
        <v>6</v>
      </c>
      <c r="AB358" s="1">
        <v>6</v>
      </c>
      <c r="AC358" s="1" t="s">
        <v>83</v>
      </c>
      <c r="AD358" s="1">
        <v>6</v>
      </c>
      <c r="AE358" s="1">
        <v>6</v>
      </c>
      <c r="AF358" s="1" t="s">
        <v>83</v>
      </c>
      <c r="AG358" s="1">
        <v>0</v>
      </c>
      <c r="AH358" s="1">
        <v>0</v>
      </c>
      <c r="AI358" s="1" t="s">
        <v>83</v>
      </c>
      <c r="AJ358" s="1">
        <v>6</v>
      </c>
      <c r="AK358" s="1">
        <v>6</v>
      </c>
      <c r="AL358" s="1" t="s">
        <v>83</v>
      </c>
      <c r="AM358" s="1">
        <v>6</v>
      </c>
      <c r="AN358" s="1">
        <v>6</v>
      </c>
      <c r="AO358" s="1" t="s">
        <v>83</v>
      </c>
      <c r="AP358" s="1">
        <v>6</v>
      </c>
      <c r="AQ358" s="1">
        <v>6</v>
      </c>
      <c r="AR358" s="1" t="s">
        <v>83</v>
      </c>
      <c r="AS358" s="1">
        <v>6</v>
      </c>
      <c r="AT358" s="1">
        <v>6</v>
      </c>
      <c r="AU358" s="1" t="s">
        <v>83</v>
      </c>
      <c r="AV358" s="1">
        <v>6</v>
      </c>
      <c r="AW358" s="1">
        <v>6</v>
      </c>
      <c r="AX358" s="1" t="s">
        <v>83</v>
      </c>
      <c r="AY358" s="1">
        <v>0</v>
      </c>
      <c r="AZ358" s="1">
        <v>0</v>
      </c>
      <c r="BA358" s="1">
        <v>4</v>
      </c>
      <c r="BB358" s="1" t="s">
        <v>83</v>
      </c>
      <c r="BC358" s="1">
        <v>0</v>
      </c>
      <c r="BD358" s="1" t="s">
        <v>985</v>
      </c>
      <c r="BE358" s="1" t="s">
        <v>985</v>
      </c>
      <c r="BF358" s="1" t="s">
        <v>985</v>
      </c>
      <c r="BG358" s="1" t="s">
        <v>83</v>
      </c>
    </row>
    <row r="359" spans="1:59" x14ac:dyDescent="0.35">
      <c r="A359" s="1">
        <v>358</v>
      </c>
      <c r="B359" s="1">
        <v>45848.803912037038</v>
      </c>
      <c r="C359" s="1" t="s">
        <v>2199</v>
      </c>
      <c r="D359" s="1" t="s">
        <v>2200</v>
      </c>
      <c r="E359" s="1" t="s">
        <v>63</v>
      </c>
      <c r="F359" s="1" t="s">
        <v>480</v>
      </c>
      <c r="G359" s="1" t="s">
        <v>2201</v>
      </c>
      <c r="H359" s="1" t="s">
        <v>981</v>
      </c>
      <c r="I359" s="1" t="s">
        <v>982</v>
      </c>
      <c r="J359" s="1" t="s">
        <v>2186</v>
      </c>
      <c r="K359" s="1" t="s">
        <v>2134</v>
      </c>
      <c r="L359" s="1" t="s">
        <v>69</v>
      </c>
      <c r="M359" s="1" t="s">
        <v>69</v>
      </c>
      <c r="N359" s="1" t="s">
        <v>69</v>
      </c>
      <c r="O359" s="1" t="s">
        <v>69</v>
      </c>
      <c r="P359" s="1" t="s">
        <v>70</v>
      </c>
      <c r="Q359" s="1" t="s">
        <v>1168</v>
      </c>
      <c r="R359" s="1" t="s">
        <v>389</v>
      </c>
      <c r="S359" s="1">
        <v>47</v>
      </c>
      <c r="T359" s="1" t="s">
        <v>225</v>
      </c>
      <c r="U359" s="1" t="s">
        <v>73</v>
      </c>
      <c r="V359" s="1" t="s">
        <v>232</v>
      </c>
      <c r="W359" s="1" t="s">
        <v>232</v>
      </c>
      <c r="X359" s="1">
        <v>6</v>
      </c>
      <c r="Y359" s="1">
        <v>6</v>
      </c>
      <c r="Z359" s="1" t="s">
        <v>83</v>
      </c>
      <c r="AA359" s="1">
        <v>6</v>
      </c>
      <c r="AB359" s="1">
        <v>6</v>
      </c>
      <c r="AC359" s="1" t="s">
        <v>83</v>
      </c>
      <c r="AD359" s="1">
        <v>4</v>
      </c>
      <c r="AE359" s="1">
        <v>6</v>
      </c>
      <c r="AF359" s="1" t="s">
        <v>83</v>
      </c>
      <c r="AG359" s="1">
        <v>0</v>
      </c>
      <c r="AH359" s="1">
        <v>0</v>
      </c>
      <c r="AI359" s="1" t="s">
        <v>83</v>
      </c>
      <c r="AJ359" s="1">
        <v>6</v>
      </c>
      <c r="AK359" s="1">
        <v>6</v>
      </c>
      <c r="AL359" s="1" t="s">
        <v>83</v>
      </c>
      <c r="AM359" s="1">
        <v>6</v>
      </c>
      <c r="AN359" s="1">
        <v>6</v>
      </c>
      <c r="AO359" s="1" t="s">
        <v>83</v>
      </c>
      <c r="AP359" s="1">
        <v>6</v>
      </c>
      <c r="AQ359" s="1">
        <v>6</v>
      </c>
      <c r="AR359" s="1" t="s">
        <v>83</v>
      </c>
      <c r="AS359" s="1">
        <v>6</v>
      </c>
      <c r="AT359" s="1">
        <v>6</v>
      </c>
      <c r="AU359" s="1" t="s">
        <v>83</v>
      </c>
      <c r="AV359" s="1">
        <v>6</v>
      </c>
      <c r="AW359" s="1">
        <v>6</v>
      </c>
      <c r="AX359" s="1" t="s">
        <v>83</v>
      </c>
      <c r="AY359" s="1">
        <v>0</v>
      </c>
      <c r="AZ359" s="1">
        <v>0</v>
      </c>
      <c r="BA359" s="1">
        <v>4</v>
      </c>
      <c r="BB359" s="1" t="s">
        <v>83</v>
      </c>
      <c r="BC359" s="1">
        <v>0</v>
      </c>
      <c r="BD359" s="1" t="s">
        <v>985</v>
      </c>
      <c r="BE359" s="1" t="s">
        <v>985</v>
      </c>
      <c r="BF359" s="1" t="s">
        <v>985</v>
      </c>
      <c r="BG359" s="1" t="s">
        <v>83</v>
      </c>
    </row>
    <row r="360" spans="1:59" x14ac:dyDescent="0.35">
      <c r="A360" s="1">
        <v>359</v>
      </c>
      <c r="B360" s="1">
        <v>45848.813692129632</v>
      </c>
      <c r="C360" s="1" t="s">
        <v>2202</v>
      </c>
      <c r="D360" s="1" t="s">
        <v>136</v>
      </c>
      <c r="E360" s="1" t="s">
        <v>63</v>
      </c>
      <c r="F360" s="1" t="s">
        <v>136</v>
      </c>
      <c r="G360" s="1" t="s">
        <v>2203</v>
      </c>
      <c r="H360" s="1" t="s">
        <v>210</v>
      </c>
      <c r="I360" s="1" t="s">
        <v>211</v>
      </c>
      <c r="J360" s="1" t="s">
        <v>2204</v>
      </c>
      <c r="K360" s="1" t="s">
        <v>2205</v>
      </c>
      <c r="L360" s="1" t="s">
        <v>69</v>
      </c>
      <c r="M360" s="1" t="s">
        <v>69</v>
      </c>
      <c r="N360" s="1" t="s">
        <v>69</v>
      </c>
      <c r="O360" s="1" t="s">
        <v>69</v>
      </c>
      <c r="P360" s="1" t="s">
        <v>70</v>
      </c>
      <c r="Q360" s="1" t="s">
        <v>1168</v>
      </c>
      <c r="R360" s="1" t="s">
        <v>2496</v>
      </c>
      <c r="S360" s="1">
        <v>23</v>
      </c>
      <c r="T360" s="1" t="s">
        <v>72</v>
      </c>
      <c r="U360" s="1" t="s">
        <v>73</v>
      </c>
      <c r="V360" s="1" t="s">
        <v>74</v>
      </c>
      <c r="W360" s="1" t="s">
        <v>74</v>
      </c>
      <c r="X360" s="1">
        <v>5</v>
      </c>
      <c r="Y360" s="1">
        <v>5</v>
      </c>
      <c r="Z360" s="1" t="s">
        <v>83</v>
      </c>
      <c r="AA360" s="1">
        <v>4</v>
      </c>
      <c r="AB360" s="1">
        <v>4</v>
      </c>
      <c r="AC360" s="1" t="s">
        <v>83</v>
      </c>
      <c r="AD360" s="1">
        <v>4</v>
      </c>
      <c r="AE360" s="1">
        <v>4</v>
      </c>
      <c r="AF360" s="1" t="s">
        <v>83</v>
      </c>
      <c r="AG360" s="1">
        <v>6</v>
      </c>
      <c r="AH360" s="1">
        <v>6</v>
      </c>
      <c r="AI360" s="1" t="s">
        <v>83</v>
      </c>
      <c r="AJ360" s="1">
        <v>5</v>
      </c>
      <c r="AK360" s="1">
        <v>5</v>
      </c>
      <c r="AL360" s="1" t="s">
        <v>83</v>
      </c>
      <c r="AM360" s="1">
        <v>5</v>
      </c>
      <c r="AN360" s="1">
        <v>5</v>
      </c>
      <c r="AO360" s="1" t="s">
        <v>83</v>
      </c>
      <c r="AP360" s="1">
        <v>5</v>
      </c>
      <c r="AQ360" s="1">
        <v>5</v>
      </c>
      <c r="AR360" s="1" t="s">
        <v>83</v>
      </c>
      <c r="AS360" s="1">
        <v>5</v>
      </c>
      <c r="AT360" s="1">
        <v>5</v>
      </c>
      <c r="AU360" s="1" t="s">
        <v>83</v>
      </c>
      <c r="AV360" s="1">
        <v>4</v>
      </c>
      <c r="AW360" s="1">
        <v>4</v>
      </c>
      <c r="AX360" s="1" t="s">
        <v>83</v>
      </c>
      <c r="AY360" s="1">
        <v>2</v>
      </c>
      <c r="AZ360" s="1">
        <v>0</v>
      </c>
      <c r="BA360" s="1">
        <v>0</v>
      </c>
      <c r="BB360" s="1" t="s">
        <v>83</v>
      </c>
      <c r="BC360" s="1">
        <v>0</v>
      </c>
      <c r="BD360" s="1" t="s">
        <v>98</v>
      </c>
      <c r="BE360" s="1" t="s">
        <v>98</v>
      </c>
      <c r="BF360" s="1" t="s">
        <v>98</v>
      </c>
      <c r="BG360" s="1" t="s">
        <v>98</v>
      </c>
    </row>
    <row r="361" spans="1:59" x14ac:dyDescent="0.35">
      <c r="A361" s="1">
        <v>360</v>
      </c>
      <c r="B361" s="1">
        <v>45848.813750000001</v>
      </c>
      <c r="C361" s="1" t="s">
        <v>2206</v>
      </c>
      <c r="D361" s="1" t="s">
        <v>2207</v>
      </c>
      <c r="E361" s="1" t="s">
        <v>904</v>
      </c>
      <c r="F361" s="1" t="s">
        <v>2208</v>
      </c>
      <c r="G361" s="1" t="s">
        <v>2209</v>
      </c>
      <c r="H361" s="1" t="s">
        <v>88</v>
      </c>
      <c r="I361" s="1" t="s">
        <v>2088</v>
      </c>
      <c r="J361" s="1" t="s">
        <v>2168</v>
      </c>
      <c r="K361" s="1" t="s">
        <v>1217</v>
      </c>
      <c r="L361" s="1" t="s">
        <v>69</v>
      </c>
      <c r="M361" s="1" t="s">
        <v>69</v>
      </c>
      <c r="N361" s="1" t="s">
        <v>69</v>
      </c>
      <c r="O361" s="1" t="s">
        <v>69</v>
      </c>
      <c r="P361" s="1" t="s">
        <v>106</v>
      </c>
      <c r="Q361" s="1" t="s">
        <v>1180</v>
      </c>
      <c r="R361" s="1" t="s">
        <v>91</v>
      </c>
      <c r="S361" s="1">
        <v>27</v>
      </c>
      <c r="T361" s="1" t="s">
        <v>92</v>
      </c>
      <c r="U361" s="1" t="s">
        <v>93</v>
      </c>
      <c r="V361" s="1" t="s">
        <v>74</v>
      </c>
      <c r="W361" s="1" t="s">
        <v>74</v>
      </c>
      <c r="X361" s="1">
        <v>5</v>
      </c>
      <c r="Y361" s="1">
        <v>5</v>
      </c>
      <c r="Z361" s="1" t="s">
        <v>83</v>
      </c>
      <c r="AA361" s="1">
        <v>5</v>
      </c>
      <c r="AB361" s="1">
        <v>5</v>
      </c>
      <c r="AC361" s="1" t="s">
        <v>83</v>
      </c>
      <c r="AD361" s="1">
        <v>6</v>
      </c>
      <c r="AE361" s="1">
        <v>5</v>
      </c>
      <c r="AF361" s="1" t="s">
        <v>83</v>
      </c>
      <c r="AG361" s="1">
        <v>0</v>
      </c>
      <c r="AH361" s="1">
        <v>0</v>
      </c>
      <c r="AI361" s="1" t="s">
        <v>83</v>
      </c>
      <c r="AJ361" s="1">
        <v>5</v>
      </c>
      <c r="AK361" s="1">
        <v>5</v>
      </c>
      <c r="AL361" s="1" t="s">
        <v>83</v>
      </c>
      <c r="AM361" s="1">
        <v>5</v>
      </c>
      <c r="AN361" s="1">
        <v>5</v>
      </c>
      <c r="AO361" s="1" t="s">
        <v>83</v>
      </c>
      <c r="AP361" s="1">
        <v>5</v>
      </c>
      <c r="AQ361" s="1">
        <v>5</v>
      </c>
      <c r="AR361" s="1" t="s">
        <v>83</v>
      </c>
      <c r="AS361" s="1">
        <v>5</v>
      </c>
      <c r="AT361" s="1">
        <v>5</v>
      </c>
      <c r="AU361" s="1" t="s">
        <v>83</v>
      </c>
      <c r="AV361" s="1">
        <v>5</v>
      </c>
      <c r="AW361" s="1">
        <v>5</v>
      </c>
      <c r="AX361" s="1" t="s">
        <v>83</v>
      </c>
      <c r="AY361" s="1">
        <v>0</v>
      </c>
      <c r="AZ361" s="1">
        <v>0</v>
      </c>
      <c r="BA361" s="1">
        <v>0</v>
      </c>
      <c r="BB361" s="1" t="s">
        <v>2210</v>
      </c>
      <c r="BC361" s="1">
        <v>1</v>
      </c>
      <c r="BD361" s="1" t="s">
        <v>98</v>
      </c>
      <c r="BE361" s="1" t="s">
        <v>98</v>
      </c>
      <c r="BF361" s="1" t="s">
        <v>98</v>
      </c>
      <c r="BG361" s="1" t="s">
        <v>98</v>
      </c>
    </row>
    <row r="362" spans="1:59" x14ac:dyDescent="0.35">
      <c r="A362" s="1">
        <v>361</v>
      </c>
      <c r="B362" s="1">
        <v>45848.820856481485</v>
      </c>
      <c r="C362" s="1" t="s">
        <v>2211</v>
      </c>
      <c r="D362" s="1" t="s">
        <v>2212</v>
      </c>
      <c r="E362" s="1" t="s">
        <v>63</v>
      </c>
      <c r="F362" s="1" t="s">
        <v>179</v>
      </c>
      <c r="G362" s="1" t="s">
        <v>2213</v>
      </c>
      <c r="H362" s="1" t="s">
        <v>210</v>
      </c>
      <c r="I362" s="1" t="s">
        <v>211</v>
      </c>
      <c r="J362" s="1" t="s">
        <v>2204</v>
      </c>
      <c r="K362" s="1" t="s">
        <v>2214</v>
      </c>
      <c r="L362" s="1" t="s">
        <v>69</v>
      </c>
      <c r="M362" s="1" t="s">
        <v>69</v>
      </c>
      <c r="N362" s="1" t="s">
        <v>69</v>
      </c>
      <c r="O362" s="1" t="s">
        <v>69</v>
      </c>
      <c r="P362" s="1" t="s">
        <v>70</v>
      </c>
      <c r="Q362" s="1" t="s">
        <v>1168</v>
      </c>
      <c r="R362" s="1" t="s">
        <v>2498</v>
      </c>
      <c r="S362" s="1">
        <v>26</v>
      </c>
      <c r="T362" s="1" t="s">
        <v>92</v>
      </c>
      <c r="U362" s="1" t="s">
        <v>73</v>
      </c>
      <c r="V362" s="1" t="s">
        <v>74</v>
      </c>
      <c r="W362" s="1" t="s">
        <v>74</v>
      </c>
      <c r="X362" s="1">
        <v>6</v>
      </c>
      <c r="Y362" s="1">
        <v>6</v>
      </c>
      <c r="Z362" s="1" t="s">
        <v>83</v>
      </c>
      <c r="AA362" s="1">
        <v>6</v>
      </c>
      <c r="AB362" s="1">
        <v>6</v>
      </c>
      <c r="AC362" s="1" t="s">
        <v>83</v>
      </c>
      <c r="AD362" s="1">
        <v>6</v>
      </c>
      <c r="AE362" s="1">
        <v>6</v>
      </c>
      <c r="AF362" s="1" t="s">
        <v>83</v>
      </c>
      <c r="AG362" s="1">
        <v>6</v>
      </c>
      <c r="AH362" s="1">
        <v>6</v>
      </c>
      <c r="AI362" s="1" t="s">
        <v>83</v>
      </c>
      <c r="AJ362" s="1">
        <v>6</v>
      </c>
      <c r="AK362" s="1">
        <v>6</v>
      </c>
      <c r="AL362" s="1" t="s">
        <v>83</v>
      </c>
      <c r="AM362" s="1">
        <v>6</v>
      </c>
      <c r="AN362" s="1">
        <v>6</v>
      </c>
      <c r="AO362" s="1" t="s">
        <v>83</v>
      </c>
      <c r="AP362" s="1">
        <v>6</v>
      </c>
      <c r="AQ362" s="1">
        <v>6</v>
      </c>
      <c r="AR362" s="1" t="s">
        <v>83</v>
      </c>
      <c r="AS362" s="1">
        <v>6</v>
      </c>
      <c r="AT362" s="1">
        <v>6</v>
      </c>
      <c r="AU362" s="1" t="s">
        <v>83</v>
      </c>
      <c r="AV362" s="1">
        <v>6</v>
      </c>
      <c r="AW362" s="1">
        <v>6</v>
      </c>
      <c r="AX362" s="1" t="s">
        <v>83</v>
      </c>
      <c r="AY362" s="1">
        <v>2</v>
      </c>
      <c r="AZ362" s="1">
        <v>0</v>
      </c>
      <c r="BA362" s="1">
        <v>0</v>
      </c>
      <c r="BB362" s="1" t="s">
        <v>83</v>
      </c>
      <c r="BC362" s="1">
        <v>0</v>
      </c>
      <c r="BD362" s="1" t="s">
        <v>98</v>
      </c>
      <c r="BE362" s="1" t="s">
        <v>98</v>
      </c>
      <c r="BF362" s="1" t="s">
        <v>98</v>
      </c>
      <c r="BG362" s="1" t="s">
        <v>98</v>
      </c>
    </row>
    <row r="363" spans="1:59" x14ac:dyDescent="0.35">
      <c r="A363" s="1">
        <v>362</v>
      </c>
      <c r="B363" s="1">
        <v>45848.838518518518</v>
      </c>
      <c r="C363" s="1" t="s">
        <v>2215</v>
      </c>
      <c r="D363" s="1" t="s">
        <v>2216</v>
      </c>
      <c r="E363" s="1" t="s">
        <v>63</v>
      </c>
      <c r="F363" s="1" t="s">
        <v>136</v>
      </c>
      <c r="G363" s="1" t="s">
        <v>2217</v>
      </c>
      <c r="H363" s="1" t="s">
        <v>242</v>
      </c>
      <c r="I363" s="1" t="s">
        <v>243</v>
      </c>
      <c r="J363" s="1" t="s">
        <v>2001</v>
      </c>
      <c r="K363" s="1" t="s">
        <v>2218</v>
      </c>
      <c r="L363" s="1" t="s">
        <v>69</v>
      </c>
      <c r="M363" s="1" t="s">
        <v>69</v>
      </c>
      <c r="N363" s="1" t="s">
        <v>69</v>
      </c>
      <c r="O363" s="1" t="s">
        <v>69</v>
      </c>
      <c r="P363" s="1" t="s">
        <v>70</v>
      </c>
      <c r="Q363" s="1" t="s">
        <v>1168</v>
      </c>
      <c r="R363" s="1" t="s">
        <v>404</v>
      </c>
      <c r="S363" s="1">
        <v>42</v>
      </c>
      <c r="T363" s="1" t="s">
        <v>197</v>
      </c>
      <c r="U363" s="1" t="s">
        <v>73</v>
      </c>
      <c r="V363" s="1" t="s">
        <v>232</v>
      </c>
      <c r="W363" s="1" t="s">
        <v>232</v>
      </c>
      <c r="X363" s="1">
        <v>5</v>
      </c>
      <c r="Y363" s="1">
        <v>6</v>
      </c>
      <c r="Z363" s="1" t="s">
        <v>83</v>
      </c>
      <c r="AA363" s="1">
        <v>6</v>
      </c>
      <c r="AB363" s="1">
        <v>6</v>
      </c>
      <c r="AC363" s="1" t="s">
        <v>83</v>
      </c>
      <c r="AD363" s="1">
        <v>6</v>
      </c>
      <c r="AE363" s="1">
        <v>6</v>
      </c>
      <c r="AF363" s="1" t="s">
        <v>83</v>
      </c>
      <c r="AG363" s="1">
        <v>0</v>
      </c>
      <c r="AH363" s="1">
        <v>0</v>
      </c>
      <c r="AI363" s="1" t="s">
        <v>83</v>
      </c>
      <c r="AJ363" s="1">
        <v>6</v>
      </c>
      <c r="AK363" s="1">
        <v>6</v>
      </c>
      <c r="AL363" s="1" t="s">
        <v>83</v>
      </c>
      <c r="AM363" s="1">
        <v>5</v>
      </c>
      <c r="AN363" s="1">
        <v>6</v>
      </c>
      <c r="AO363" s="1" t="s">
        <v>83</v>
      </c>
      <c r="AP363" s="1">
        <v>4</v>
      </c>
      <c r="AQ363" s="1">
        <v>6</v>
      </c>
      <c r="AR363" s="1" t="s">
        <v>83</v>
      </c>
      <c r="AS363" s="1">
        <v>5</v>
      </c>
      <c r="AT363" s="1">
        <v>6</v>
      </c>
      <c r="AU363" s="1" t="s">
        <v>83</v>
      </c>
      <c r="AV363" s="1">
        <v>6</v>
      </c>
      <c r="AW363" s="1">
        <v>6</v>
      </c>
      <c r="AX363" s="1" t="s">
        <v>83</v>
      </c>
      <c r="AY363" s="1">
        <v>0</v>
      </c>
      <c r="AZ363" s="1">
        <v>0</v>
      </c>
      <c r="BA363" s="1">
        <v>1</v>
      </c>
      <c r="BB363" s="1" t="s">
        <v>83</v>
      </c>
      <c r="BC363" s="1">
        <v>0</v>
      </c>
      <c r="BD363" s="1" t="s">
        <v>248</v>
      </c>
      <c r="BE363" s="1" t="s">
        <v>248</v>
      </c>
      <c r="BF363" s="1" t="s">
        <v>248</v>
      </c>
      <c r="BG363" s="1" t="s">
        <v>2219</v>
      </c>
    </row>
    <row r="364" spans="1:59" x14ac:dyDescent="0.35">
      <c r="A364" s="1">
        <v>363</v>
      </c>
      <c r="B364" s="1">
        <v>45848.843425925923</v>
      </c>
      <c r="C364" s="1" t="s">
        <v>2220</v>
      </c>
      <c r="D364" s="1" t="s">
        <v>2221</v>
      </c>
      <c r="E364" s="1" t="s">
        <v>63</v>
      </c>
      <c r="F364" s="1" t="s">
        <v>86</v>
      </c>
      <c r="G364" s="1" t="s">
        <v>2222</v>
      </c>
      <c r="H364" s="1" t="s">
        <v>242</v>
      </c>
      <c r="I364" s="1" t="s">
        <v>243</v>
      </c>
      <c r="J364" s="1" t="s">
        <v>2001</v>
      </c>
      <c r="K364" s="1" t="s">
        <v>2223</v>
      </c>
      <c r="L364" s="1" t="s">
        <v>69</v>
      </c>
      <c r="M364" s="1" t="s">
        <v>69</v>
      </c>
      <c r="N364" s="1" t="s">
        <v>69</v>
      </c>
      <c r="O364" s="1" t="s">
        <v>69</v>
      </c>
      <c r="P364" s="1" t="s">
        <v>106</v>
      </c>
      <c r="Q364" s="1" t="s">
        <v>1168</v>
      </c>
      <c r="R364" s="1" t="s">
        <v>441</v>
      </c>
      <c r="S364" s="1">
        <v>23</v>
      </c>
      <c r="T364" s="1" t="s">
        <v>72</v>
      </c>
      <c r="U364" s="1" t="s">
        <v>273</v>
      </c>
      <c r="V364" s="1" t="s">
        <v>74</v>
      </c>
      <c r="W364" s="1" t="s">
        <v>74</v>
      </c>
      <c r="X364" s="1">
        <v>5</v>
      </c>
      <c r="Y364" s="1">
        <v>5</v>
      </c>
      <c r="Z364" s="1" t="s">
        <v>83</v>
      </c>
      <c r="AA364" s="1">
        <v>4</v>
      </c>
      <c r="AB364" s="1">
        <v>5</v>
      </c>
      <c r="AC364" s="1" t="s">
        <v>83</v>
      </c>
      <c r="AD364" s="1">
        <v>5</v>
      </c>
      <c r="AE364" s="1">
        <v>5</v>
      </c>
      <c r="AF364" s="1" t="s">
        <v>2519</v>
      </c>
      <c r="AG364" s="1">
        <v>0</v>
      </c>
      <c r="AH364" s="1">
        <v>0</v>
      </c>
      <c r="AI364" s="1" t="s">
        <v>83</v>
      </c>
      <c r="AJ364" s="1">
        <v>5</v>
      </c>
      <c r="AK364" s="1">
        <v>5</v>
      </c>
      <c r="AL364" s="1" t="s">
        <v>83</v>
      </c>
      <c r="AM364" s="1">
        <v>5</v>
      </c>
      <c r="AN364" s="1">
        <v>5</v>
      </c>
      <c r="AO364" s="1" t="s">
        <v>83</v>
      </c>
      <c r="AP364" s="1">
        <v>5</v>
      </c>
      <c r="AQ364" s="1">
        <v>5</v>
      </c>
      <c r="AR364" s="1" t="s">
        <v>83</v>
      </c>
      <c r="AS364" s="1">
        <v>5</v>
      </c>
      <c r="AT364" s="1">
        <v>5</v>
      </c>
      <c r="AU364" s="1" t="s">
        <v>83</v>
      </c>
      <c r="AV364" s="1">
        <v>5</v>
      </c>
      <c r="AW364" s="1">
        <v>5</v>
      </c>
      <c r="AX364" s="1" t="s">
        <v>83</v>
      </c>
      <c r="AY364" s="1">
        <v>0</v>
      </c>
      <c r="AZ364" s="1">
        <v>0</v>
      </c>
      <c r="BA364" s="1">
        <v>0</v>
      </c>
      <c r="BB364" s="1" t="s">
        <v>2224</v>
      </c>
      <c r="BC364" s="1">
        <v>2</v>
      </c>
      <c r="BD364" s="1" t="s">
        <v>2225</v>
      </c>
      <c r="BE364" s="1" t="s">
        <v>248</v>
      </c>
      <c r="BF364" s="1" t="s">
        <v>248</v>
      </c>
      <c r="BG364" s="1" t="s">
        <v>1857</v>
      </c>
    </row>
    <row r="365" spans="1:59" x14ac:dyDescent="0.35">
      <c r="A365" s="1">
        <v>364</v>
      </c>
      <c r="B365" s="1">
        <v>45848.844097222223</v>
      </c>
      <c r="C365" s="1" t="s">
        <v>2226</v>
      </c>
      <c r="D365" s="1" t="s">
        <v>2227</v>
      </c>
      <c r="E365" s="1" t="s">
        <v>63</v>
      </c>
      <c r="F365" s="1" t="s">
        <v>86</v>
      </c>
      <c r="G365" s="1" t="s">
        <v>2228</v>
      </c>
      <c r="H365" s="1" t="s">
        <v>210</v>
      </c>
      <c r="I365" s="1" t="s">
        <v>211</v>
      </c>
      <c r="J365" s="1" t="s">
        <v>2204</v>
      </c>
      <c r="K365" s="1" t="s">
        <v>297</v>
      </c>
      <c r="L365" s="1" t="s">
        <v>69</v>
      </c>
      <c r="M365" s="1" t="s">
        <v>69</v>
      </c>
      <c r="N365" s="1" t="s">
        <v>69</v>
      </c>
      <c r="O365" s="1" t="s">
        <v>69</v>
      </c>
      <c r="P365" s="1" t="s">
        <v>70</v>
      </c>
      <c r="Q365" s="1" t="s">
        <v>1168</v>
      </c>
      <c r="R365" s="1" t="s">
        <v>2466</v>
      </c>
      <c r="S365" s="1">
        <v>19</v>
      </c>
      <c r="T365" s="1" t="s">
        <v>131</v>
      </c>
      <c r="U365" s="1" t="s">
        <v>73</v>
      </c>
      <c r="V365" s="1" t="s">
        <v>74</v>
      </c>
      <c r="W365" s="1" t="s">
        <v>74</v>
      </c>
      <c r="X365" s="1">
        <v>6</v>
      </c>
      <c r="Y365" s="1">
        <v>6</v>
      </c>
      <c r="Z365" s="1" t="s">
        <v>83</v>
      </c>
      <c r="AA365" s="1">
        <v>6</v>
      </c>
      <c r="AB365" s="1">
        <v>6</v>
      </c>
      <c r="AC365" s="1" t="s">
        <v>83</v>
      </c>
      <c r="AD365" s="1">
        <v>6</v>
      </c>
      <c r="AE365" s="1">
        <v>6</v>
      </c>
      <c r="AF365" s="1" t="s">
        <v>83</v>
      </c>
      <c r="AG365" s="1">
        <v>6</v>
      </c>
      <c r="AH365" s="1">
        <v>6</v>
      </c>
      <c r="AI365" s="1" t="s">
        <v>83</v>
      </c>
      <c r="AJ365" s="1">
        <v>6</v>
      </c>
      <c r="AK365" s="1">
        <v>6</v>
      </c>
      <c r="AL365" s="1" t="s">
        <v>83</v>
      </c>
      <c r="AM365" s="1">
        <v>6</v>
      </c>
      <c r="AN365" s="1">
        <v>6</v>
      </c>
      <c r="AO365" s="1" t="s">
        <v>83</v>
      </c>
      <c r="AP365" s="1">
        <v>6</v>
      </c>
      <c r="AQ365" s="1">
        <v>6</v>
      </c>
      <c r="AR365" s="1" t="s">
        <v>83</v>
      </c>
      <c r="AS365" s="1">
        <v>6</v>
      </c>
      <c r="AT365" s="1">
        <v>6</v>
      </c>
      <c r="AU365" s="1" t="s">
        <v>83</v>
      </c>
      <c r="AV365" s="1">
        <v>6</v>
      </c>
      <c r="AW365" s="1">
        <v>6</v>
      </c>
      <c r="AX365" s="1" t="s">
        <v>83</v>
      </c>
      <c r="AY365" s="1">
        <v>1</v>
      </c>
      <c r="AZ365" s="1">
        <v>0</v>
      </c>
      <c r="BA365" s="1">
        <v>0</v>
      </c>
      <c r="BB365" s="1" t="s">
        <v>83</v>
      </c>
      <c r="BC365" s="1">
        <v>0</v>
      </c>
      <c r="BD365" s="1" t="s">
        <v>98</v>
      </c>
      <c r="BE365" s="1" t="s">
        <v>98</v>
      </c>
      <c r="BF365" s="1" t="s">
        <v>98</v>
      </c>
      <c r="BG365" s="1" t="s">
        <v>98</v>
      </c>
    </row>
    <row r="366" spans="1:59" x14ac:dyDescent="0.35">
      <c r="A366" s="1">
        <v>365</v>
      </c>
      <c r="B366" s="1">
        <v>45848.847581018519</v>
      </c>
      <c r="C366" s="1" t="s">
        <v>2229</v>
      </c>
      <c r="D366" s="1" t="s">
        <v>2230</v>
      </c>
      <c r="E366" s="1" t="s">
        <v>63</v>
      </c>
      <c r="F366" s="1" t="s">
        <v>338</v>
      </c>
      <c r="G366" s="1" t="s">
        <v>2231</v>
      </c>
      <c r="H366" s="1" t="s">
        <v>981</v>
      </c>
      <c r="I366" s="1" t="s">
        <v>982</v>
      </c>
      <c r="J366" s="1" t="s">
        <v>2001</v>
      </c>
      <c r="K366" s="1" t="s">
        <v>2163</v>
      </c>
      <c r="L366" s="1" t="s">
        <v>69</v>
      </c>
      <c r="M366" s="1" t="s">
        <v>69</v>
      </c>
      <c r="N366" s="1" t="s">
        <v>69</v>
      </c>
      <c r="O366" s="1" t="s">
        <v>69</v>
      </c>
      <c r="P366" s="1" t="s">
        <v>70</v>
      </c>
      <c r="Q366" s="1" t="s">
        <v>1168</v>
      </c>
      <c r="R366" s="1" t="s">
        <v>1208</v>
      </c>
      <c r="S366" s="1">
        <v>55</v>
      </c>
      <c r="T366" s="1" t="s">
        <v>383</v>
      </c>
      <c r="U366" s="1" t="s">
        <v>273</v>
      </c>
      <c r="V366" s="1" t="s">
        <v>232</v>
      </c>
      <c r="W366" s="1" t="s">
        <v>232</v>
      </c>
      <c r="X366" s="1">
        <v>5</v>
      </c>
      <c r="Y366" s="1">
        <v>6</v>
      </c>
      <c r="Z366" s="1" t="s">
        <v>83</v>
      </c>
      <c r="AA366" s="1">
        <v>2</v>
      </c>
      <c r="AB366" s="1">
        <v>6</v>
      </c>
      <c r="AC366" s="1" t="s">
        <v>2528</v>
      </c>
      <c r="AD366" s="1">
        <v>2</v>
      </c>
      <c r="AE366" s="1">
        <v>6</v>
      </c>
      <c r="AF366" s="1" t="s">
        <v>2519</v>
      </c>
      <c r="AG366" s="1">
        <v>0</v>
      </c>
      <c r="AH366" s="1">
        <v>0</v>
      </c>
      <c r="AI366" s="1" t="s">
        <v>83</v>
      </c>
      <c r="AJ366" s="1">
        <v>5</v>
      </c>
      <c r="AK366" s="1">
        <v>6</v>
      </c>
      <c r="AL366" s="1" t="s">
        <v>83</v>
      </c>
      <c r="AM366" s="1">
        <v>5</v>
      </c>
      <c r="AN366" s="1">
        <v>5</v>
      </c>
      <c r="AO366" s="1" t="s">
        <v>83</v>
      </c>
      <c r="AP366" s="1">
        <v>5</v>
      </c>
      <c r="AQ366" s="1">
        <v>6</v>
      </c>
      <c r="AR366" s="1" t="s">
        <v>83</v>
      </c>
      <c r="AS366" s="1">
        <v>5</v>
      </c>
      <c r="AT366" s="1">
        <v>5</v>
      </c>
      <c r="AU366" s="1" t="s">
        <v>83</v>
      </c>
      <c r="AV366" s="1">
        <v>1</v>
      </c>
      <c r="AW366" s="1">
        <v>6</v>
      </c>
      <c r="AX366" s="1" t="s">
        <v>2529</v>
      </c>
      <c r="AY366" s="1">
        <v>0</v>
      </c>
      <c r="AZ366" s="1">
        <v>0</v>
      </c>
      <c r="BA366" s="1">
        <v>0</v>
      </c>
      <c r="BB366" s="1" t="s">
        <v>1515</v>
      </c>
      <c r="BC366" s="1">
        <v>2</v>
      </c>
      <c r="BD366" s="1" t="s">
        <v>98</v>
      </c>
      <c r="BE366" s="1" t="s">
        <v>98</v>
      </c>
      <c r="BF366" s="1" t="s">
        <v>98</v>
      </c>
      <c r="BG366" s="1" t="s">
        <v>98</v>
      </c>
    </row>
    <row r="367" spans="1:59" x14ac:dyDescent="0.35">
      <c r="A367" s="1">
        <v>366</v>
      </c>
      <c r="B367" s="1">
        <v>45848.900636574072</v>
      </c>
      <c r="C367" s="1" t="s">
        <v>2232</v>
      </c>
      <c r="D367" s="1" t="s">
        <v>2233</v>
      </c>
      <c r="E367" s="1" t="s">
        <v>63</v>
      </c>
      <c r="F367" s="1" t="s">
        <v>63</v>
      </c>
      <c r="G367" s="1" t="s">
        <v>2234</v>
      </c>
      <c r="H367" s="1" t="s">
        <v>88</v>
      </c>
      <c r="I367" s="1" t="s">
        <v>2088</v>
      </c>
      <c r="J367" s="1" t="s">
        <v>2235</v>
      </c>
      <c r="K367" s="1" t="s">
        <v>2236</v>
      </c>
      <c r="L367" s="1" t="s">
        <v>69</v>
      </c>
      <c r="M367" s="1" t="s">
        <v>69</v>
      </c>
      <c r="N367" s="1" t="s">
        <v>69</v>
      </c>
      <c r="O367" s="1" t="s">
        <v>69</v>
      </c>
      <c r="P367" s="1" t="s">
        <v>106</v>
      </c>
      <c r="Q367" s="1" t="s">
        <v>1168</v>
      </c>
      <c r="R367" s="1" t="s">
        <v>826</v>
      </c>
      <c r="S367" s="1">
        <v>44</v>
      </c>
      <c r="T367" s="1" t="s">
        <v>197</v>
      </c>
      <c r="U367" s="1" t="s">
        <v>73</v>
      </c>
      <c r="V367" s="1" t="s">
        <v>110</v>
      </c>
      <c r="W367" s="1" t="s">
        <v>110</v>
      </c>
      <c r="X367" s="1">
        <v>5</v>
      </c>
      <c r="Y367" s="1">
        <v>5</v>
      </c>
      <c r="Z367" s="1" t="s">
        <v>83</v>
      </c>
      <c r="AA367" s="1">
        <v>5</v>
      </c>
      <c r="AB367" s="1">
        <v>5</v>
      </c>
      <c r="AC367" s="1" t="s">
        <v>83</v>
      </c>
      <c r="AD367" s="1">
        <v>5</v>
      </c>
      <c r="AE367" s="1">
        <v>5</v>
      </c>
      <c r="AF367" s="1" t="s">
        <v>83</v>
      </c>
      <c r="AG367" s="1">
        <v>0</v>
      </c>
      <c r="AH367" s="1">
        <v>0</v>
      </c>
      <c r="AI367" s="1" t="s">
        <v>83</v>
      </c>
      <c r="AJ367" s="1">
        <v>5</v>
      </c>
      <c r="AK367" s="1">
        <v>5</v>
      </c>
      <c r="AL367" s="1" t="s">
        <v>83</v>
      </c>
      <c r="AM367" s="1">
        <v>5</v>
      </c>
      <c r="AN367" s="1">
        <v>5</v>
      </c>
      <c r="AO367" s="1" t="s">
        <v>83</v>
      </c>
      <c r="AP367" s="1">
        <v>5</v>
      </c>
      <c r="AQ367" s="1">
        <v>5</v>
      </c>
      <c r="AR367" s="1" t="s">
        <v>83</v>
      </c>
      <c r="AS367" s="1">
        <v>5</v>
      </c>
      <c r="AT367" s="1">
        <v>5</v>
      </c>
      <c r="AU367" s="1" t="s">
        <v>83</v>
      </c>
      <c r="AV367" s="1">
        <v>5</v>
      </c>
      <c r="AW367" s="1">
        <v>5</v>
      </c>
      <c r="AX367" s="1" t="s">
        <v>83</v>
      </c>
      <c r="AY367" s="1">
        <v>0</v>
      </c>
      <c r="AZ367" s="1">
        <v>0</v>
      </c>
      <c r="BA367" s="1">
        <v>1</v>
      </c>
      <c r="BB367" s="1" t="s">
        <v>83</v>
      </c>
      <c r="BC367" s="1">
        <v>0</v>
      </c>
      <c r="BD367" s="1" t="s">
        <v>98</v>
      </c>
      <c r="BE367" s="1" t="s">
        <v>98</v>
      </c>
      <c r="BF367" s="1" t="s">
        <v>98</v>
      </c>
      <c r="BG367" s="1" t="s">
        <v>2237</v>
      </c>
    </row>
    <row r="368" spans="1:59" x14ac:dyDescent="0.35">
      <c r="A368" s="1">
        <v>367</v>
      </c>
      <c r="B368" s="1">
        <v>45848.908564814818</v>
      </c>
      <c r="C368" s="1" t="s">
        <v>2238</v>
      </c>
      <c r="D368" s="1" t="s">
        <v>2239</v>
      </c>
      <c r="E368" s="1" t="s">
        <v>63</v>
      </c>
      <c r="F368" s="1" t="s">
        <v>1372</v>
      </c>
      <c r="G368" s="1" t="s">
        <v>2240</v>
      </c>
      <c r="H368" s="1" t="s">
        <v>210</v>
      </c>
      <c r="I368" s="1" t="s">
        <v>211</v>
      </c>
      <c r="J368" s="1" t="s">
        <v>2204</v>
      </c>
      <c r="K368" s="1" t="s">
        <v>2241</v>
      </c>
      <c r="L368" s="1" t="s">
        <v>69</v>
      </c>
      <c r="M368" s="1" t="s">
        <v>69</v>
      </c>
      <c r="N368" s="1" t="s">
        <v>69</v>
      </c>
      <c r="O368" s="1" t="s">
        <v>69</v>
      </c>
      <c r="P368" s="1" t="s">
        <v>70</v>
      </c>
      <c r="Q368" s="1" t="s">
        <v>1168</v>
      </c>
      <c r="R368" s="1" t="s">
        <v>2436</v>
      </c>
      <c r="S368" s="1">
        <v>24</v>
      </c>
      <c r="T368" s="1" t="s">
        <v>72</v>
      </c>
      <c r="U368" s="1" t="s">
        <v>93</v>
      </c>
      <c r="V368" s="1" t="s">
        <v>74</v>
      </c>
      <c r="W368" s="1" t="s">
        <v>74</v>
      </c>
      <c r="X368" s="1">
        <v>5</v>
      </c>
      <c r="Y368" s="1">
        <v>5</v>
      </c>
      <c r="Z368" s="1" t="s">
        <v>83</v>
      </c>
      <c r="AA368" s="1">
        <v>5</v>
      </c>
      <c r="AB368" s="1">
        <v>6</v>
      </c>
      <c r="AC368" s="1" t="s">
        <v>83</v>
      </c>
      <c r="AD368" s="1">
        <v>5</v>
      </c>
      <c r="AE368" s="1">
        <v>6</v>
      </c>
      <c r="AF368" s="1" t="s">
        <v>83</v>
      </c>
      <c r="AG368" s="1">
        <v>6</v>
      </c>
      <c r="AH368" s="1">
        <v>6</v>
      </c>
      <c r="AI368" s="1" t="s">
        <v>83</v>
      </c>
      <c r="AJ368" s="1">
        <v>6</v>
      </c>
      <c r="AK368" s="1">
        <v>6</v>
      </c>
      <c r="AL368" s="1" t="s">
        <v>83</v>
      </c>
      <c r="AM368" s="1">
        <v>5</v>
      </c>
      <c r="AN368" s="1">
        <v>6</v>
      </c>
      <c r="AO368" s="1" t="s">
        <v>83</v>
      </c>
      <c r="AP368" s="1">
        <v>5</v>
      </c>
      <c r="AQ368" s="1">
        <v>6</v>
      </c>
      <c r="AR368" s="1" t="s">
        <v>83</v>
      </c>
      <c r="AS368" s="1">
        <v>5</v>
      </c>
      <c r="AT368" s="1">
        <v>6</v>
      </c>
      <c r="AU368" s="1" t="s">
        <v>83</v>
      </c>
      <c r="AV368" s="1">
        <v>5</v>
      </c>
      <c r="AW368" s="1">
        <v>6</v>
      </c>
      <c r="AX368" s="1" t="s">
        <v>83</v>
      </c>
      <c r="AY368" s="1">
        <v>1</v>
      </c>
      <c r="AZ368" s="1">
        <v>0</v>
      </c>
      <c r="BA368" s="1">
        <v>0</v>
      </c>
      <c r="BB368" s="1" t="s">
        <v>83</v>
      </c>
      <c r="BC368" s="1">
        <v>0</v>
      </c>
      <c r="BD368" s="1" t="s">
        <v>98</v>
      </c>
      <c r="BE368" s="1" t="s">
        <v>98</v>
      </c>
      <c r="BF368" s="1" t="s">
        <v>98</v>
      </c>
      <c r="BG368" s="1" t="s">
        <v>2242</v>
      </c>
    </row>
    <row r="369" spans="1:59" x14ac:dyDescent="0.35">
      <c r="A369" s="1">
        <v>368</v>
      </c>
      <c r="B369" s="1">
        <v>45848.914467592593</v>
      </c>
      <c r="C369" s="1" t="s">
        <v>2243</v>
      </c>
      <c r="D369" s="1" t="s">
        <v>2244</v>
      </c>
      <c r="E369" s="1" t="s">
        <v>63</v>
      </c>
      <c r="F369" s="1" t="s">
        <v>466</v>
      </c>
      <c r="G369" s="1" t="s">
        <v>2245</v>
      </c>
      <c r="H369" s="1" t="s">
        <v>210</v>
      </c>
      <c r="I369" s="1" t="s">
        <v>211</v>
      </c>
      <c r="J369" s="1" t="s">
        <v>2204</v>
      </c>
      <c r="K369" s="1" t="s">
        <v>2246</v>
      </c>
      <c r="L369" s="1" t="s">
        <v>69</v>
      </c>
      <c r="M369" s="1" t="s">
        <v>69</v>
      </c>
      <c r="N369" s="1" t="s">
        <v>69</v>
      </c>
      <c r="O369" s="1" t="s">
        <v>69</v>
      </c>
      <c r="P369" s="1" t="s">
        <v>70</v>
      </c>
      <c r="Q369" s="1" t="s">
        <v>1168</v>
      </c>
      <c r="R369" s="1" t="s">
        <v>2475</v>
      </c>
      <c r="S369" s="1">
        <v>27</v>
      </c>
      <c r="T369" s="1" t="s">
        <v>92</v>
      </c>
      <c r="U369" s="1" t="s">
        <v>93</v>
      </c>
      <c r="V369" s="1" t="s">
        <v>74</v>
      </c>
      <c r="W369" s="1" t="s">
        <v>74</v>
      </c>
      <c r="X369" s="1">
        <v>6</v>
      </c>
      <c r="Y369" s="1">
        <v>6</v>
      </c>
      <c r="Z369" s="1" t="s">
        <v>83</v>
      </c>
      <c r="AA369" s="1">
        <v>6</v>
      </c>
      <c r="AB369" s="1">
        <v>6</v>
      </c>
      <c r="AC369" s="1" t="s">
        <v>83</v>
      </c>
      <c r="AD369" s="1">
        <v>5</v>
      </c>
      <c r="AE369" s="1">
        <v>5</v>
      </c>
      <c r="AF369" s="1" t="s">
        <v>83</v>
      </c>
      <c r="AG369" s="1">
        <v>6</v>
      </c>
      <c r="AH369" s="1">
        <v>6</v>
      </c>
      <c r="AI369" s="1" t="s">
        <v>83</v>
      </c>
      <c r="AJ369" s="1">
        <v>6</v>
      </c>
      <c r="AK369" s="1">
        <v>6</v>
      </c>
      <c r="AL369" s="1" t="s">
        <v>83</v>
      </c>
      <c r="AM369" s="1">
        <v>6</v>
      </c>
      <c r="AN369" s="1">
        <v>6</v>
      </c>
      <c r="AO369" s="1" t="s">
        <v>83</v>
      </c>
      <c r="AP369" s="1">
        <v>6</v>
      </c>
      <c r="AQ369" s="1">
        <v>6</v>
      </c>
      <c r="AR369" s="1" t="s">
        <v>83</v>
      </c>
      <c r="AS369" s="1">
        <v>5</v>
      </c>
      <c r="AT369" s="1">
        <v>5</v>
      </c>
      <c r="AU369" s="1" t="s">
        <v>83</v>
      </c>
      <c r="AV369" s="1">
        <v>6</v>
      </c>
      <c r="AW369" s="1">
        <v>6</v>
      </c>
      <c r="AX369" s="1" t="s">
        <v>83</v>
      </c>
      <c r="AY369" s="1">
        <v>0</v>
      </c>
      <c r="AZ369" s="1">
        <v>2</v>
      </c>
      <c r="BA369" s="1">
        <v>0</v>
      </c>
      <c r="BB369" s="1" t="s">
        <v>83</v>
      </c>
      <c r="BC369" s="1">
        <v>0</v>
      </c>
      <c r="BD369" s="1" t="s">
        <v>98</v>
      </c>
      <c r="BE369" s="1" t="s">
        <v>98</v>
      </c>
      <c r="BF369" s="1" t="s">
        <v>98</v>
      </c>
      <c r="BG369" s="1" t="s">
        <v>2247</v>
      </c>
    </row>
    <row r="370" spans="1:59" x14ac:dyDescent="0.35">
      <c r="A370" s="1">
        <v>369</v>
      </c>
      <c r="B370" s="1">
        <v>45848.919502314813</v>
      </c>
      <c r="C370" s="1" t="s">
        <v>2248</v>
      </c>
      <c r="D370" s="1" t="s">
        <v>2239</v>
      </c>
      <c r="E370" s="1" t="s">
        <v>63</v>
      </c>
      <c r="F370" s="1" t="s">
        <v>1372</v>
      </c>
      <c r="G370" s="1" t="s">
        <v>2249</v>
      </c>
      <c r="H370" s="1" t="s">
        <v>210</v>
      </c>
      <c r="I370" s="1" t="s">
        <v>211</v>
      </c>
      <c r="J370" s="1" t="s">
        <v>2204</v>
      </c>
      <c r="K370" s="1" t="s">
        <v>2250</v>
      </c>
      <c r="L370" s="1" t="s">
        <v>69</v>
      </c>
      <c r="M370" s="1" t="s">
        <v>69</v>
      </c>
      <c r="N370" s="1" t="s">
        <v>69</v>
      </c>
      <c r="O370" s="1" t="s">
        <v>69</v>
      </c>
      <c r="P370" s="1" t="s">
        <v>106</v>
      </c>
      <c r="Q370" s="1" t="s">
        <v>1168</v>
      </c>
      <c r="R370" s="1" t="s">
        <v>2530</v>
      </c>
      <c r="S370" s="1">
        <v>34</v>
      </c>
      <c r="T370" s="1" t="s">
        <v>109</v>
      </c>
      <c r="U370" s="1" t="s">
        <v>93</v>
      </c>
      <c r="V370" s="1" t="s">
        <v>110</v>
      </c>
      <c r="W370" s="1" t="s">
        <v>110</v>
      </c>
      <c r="X370" s="1">
        <v>5</v>
      </c>
      <c r="Y370" s="1">
        <v>5</v>
      </c>
      <c r="Z370" s="1" t="s">
        <v>83</v>
      </c>
      <c r="AA370" s="1">
        <v>5</v>
      </c>
      <c r="AB370" s="1">
        <v>5</v>
      </c>
      <c r="AC370" s="1" t="s">
        <v>83</v>
      </c>
      <c r="AD370" s="1">
        <v>6</v>
      </c>
      <c r="AE370" s="1">
        <v>6</v>
      </c>
      <c r="AF370" s="1" t="s">
        <v>83</v>
      </c>
      <c r="AG370" s="1">
        <v>6</v>
      </c>
      <c r="AH370" s="1">
        <v>6</v>
      </c>
      <c r="AI370" s="1" t="s">
        <v>83</v>
      </c>
      <c r="AJ370" s="1">
        <v>6</v>
      </c>
      <c r="AK370" s="1">
        <v>6</v>
      </c>
      <c r="AL370" s="1" t="s">
        <v>83</v>
      </c>
      <c r="AM370" s="1">
        <v>6</v>
      </c>
      <c r="AN370" s="1">
        <v>6</v>
      </c>
      <c r="AO370" s="1" t="s">
        <v>83</v>
      </c>
      <c r="AP370" s="1">
        <v>6</v>
      </c>
      <c r="AQ370" s="1">
        <v>6</v>
      </c>
      <c r="AR370" s="1" t="s">
        <v>83</v>
      </c>
      <c r="AS370" s="1">
        <v>5</v>
      </c>
      <c r="AT370" s="1">
        <v>5</v>
      </c>
      <c r="AU370" s="1" t="s">
        <v>83</v>
      </c>
      <c r="AV370" s="1">
        <v>6</v>
      </c>
      <c r="AW370" s="1">
        <v>6</v>
      </c>
      <c r="AX370" s="1" t="s">
        <v>83</v>
      </c>
      <c r="AY370" s="1">
        <v>0</v>
      </c>
      <c r="AZ370" s="1">
        <v>2</v>
      </c>
      <c r="BA370" s="1">
        <v>0</v>
      </c>
      <c r="BB370" s="1" t="s">
        <v>83</v>
      </c>
      <c r="BC370" s="1">
        <v>0</v>
      </c>
      <c r="BD370" s="1" t="s">
        <v>98</v>
      </c>
      <c r="BE370" s="1" t="s">
        <v>98</v>
      </c>
      <c r="BF370" s="1" t="s">
        <v>98</v>
      </c>
      <c r="BG370" s="1" t="s">
        <v>98</v>
      </c>
    </row>
    <row r="371" spans="1:59" x14ac:dyDescent="0.35">
      <c r="A371" s="1">
        <v>370</v>
      </c>
      <c r="B371" s="1">
        <v>45848.923958333333</v>
      </c>
      <c r="C371" s="1" t="s">
        <v>2251</v>
      </c>
      <c r="D371" s="1" t="s">
        <v>2252</v>
      </c>
      <c r="E371" s="1" t="s">
        <v>63</v>
      </c>
      <c r="F371" s="1" t="s">
        <v>86</v>
      </c>
      <c r="G371" s="1" t="s">
        <v>2253</v>
      </c>
      <c r="H371" s="1" t="s">
        <v>210</v>
      </c>
      <c r="I371" s="1" t="s">
        <v>211</v>
      </c>
      <c r="J371" s="1" t="s">
        <v>2204</v>
      </c>
      <c r="K371" s="1" t="s">
        <v>2254</v>
      </c>
      <c r="L371" s="1" t="s">
        <v>69</v>
      </c>
      <c r="M371" s="1" t="s">
        <v>69</v>
      </c>
      <c r="N371" s="1" t="s">
        <v>69</v>
      </c>
      <c r="O371" s="1" t="s">
        <v>69</v>
      </c>
      <c r="P371" s="1" t="s">
        <v>106</v>
      </c>
      <c r="Q371" s="1" t="s">
        <v>1168</v>
      </c>
      <c r="R371" s="1" t="s">
        <v>2435</v>
      </c>
      <c r="S371" s="1">
        <v>27</v>
      </c>
      <c r="T371" s="1" t="s">
        <v>92</v>
      </c>
      <c r="U371" s="1" t="s">
        <v>73</v>
      </c>
      <c r="V371" s="1" t="s">
        <v>74</v>
      </c>
      <c r="W371" s="1" t="s">
        <v>74</v>
      </c>
      <c r="X371" s="1">
        <v>5</v>
      </c>
      <c r="Y371" s="1">
        <v>5</v>
      </c>
      <c r="Z371" s="1" t="s">
        <v>83</v>
      </c>
      <c r="AA371" s="1">
        <v>5</v>
      </c>
      <c r="AB371" s="1">
        <v>5</v>
      </c>
      <c r="AC371" s="1" t="s">
        <v>83</v>
      </c>
      <c r="AD371" s="1">
        <v>5</v>
      </c>
      <c r="AE371" s="1">
        <v>5</v>
      </c>
      <c r="AF371" s="1" t="s">
        <v>83</v>
      </c>
      <c r="AG371" s="1">
        <v>5</v>
      </c>
      <c r="AH371" s="1">
        <v>5</v>
      </c>
      <c r="AI371" s="1" t="s">
        <v>83</v>
      </c>
      <c r="AJ371" s="1">
        <v>5</v>
      </c>
      <c r="AK371" s="1">
        <v>5</v>
      </c>
      <c r="AL371" s="1" t="s">
        <v>83</v>
      </c>
      <c r="AM371" s="1">
        <v>5</v>
      </c>
      <c r="AN371" s="1">
        <v>5</v>
      </c>
      <c r="AO371" s="1" t="s">
        <v>83</v>
      </c>
      <c r="AP371" s="1">
        <v>5</v>
      </c>
      <c r="AQ371" s="1">
        <v>5</v>
      </c>
      <c r="AR371" s="1" t="s">
        <v>83</v>
      </c>
      <c r="AS371" s="1">
        <v>5</v>
      </c>
      <c r="AT371" s="1">
        <v>5</v>
      </c>
      <c r="AU371" s="1" t="s">
        <v>83</v>
      </c>
      <c r="AV371" s="1">
        <v>5</v>
      </c>
      <c r="AW371" s="1">
        <v>5</v>
      </c>
      <c r="AX371" s="1" t="s">
        <v>83</v>
      </c>
      <c r="AY371" s="1">
        <v>0</v>
      </c>
      <c r="AZ371" s="1">
        <v>2</v>
      </c>
      <c r="BA371" s="1">
        <v>0</v>
      </c>
      <c r="BB371" s="1" t="s">
        <v>83</v>
      </c>
      <c r="BC371" s="1">
        <v>0</v>
      </c>
      <c r="BD371" s="1" t="s">
        <v>98</v>
      </c>
      <c r="BE371" s="1" t="s">
        <v>98</v>
      </c>
      <c r="BF371" s="1" t="s">
        <v>98</v>
      </c>
      <c r="BG371" s="1" t="s">
        <v>2255</v>
      </c>
    </row>
    <row r="372" spans="1:59" x14ac:dyDescent="0.35">
      <c r="A372" s="1">
        <v>371</v>
      </c>
      <c r="B372" s="1">
        <v>45848.930428240739</v>
      </c>
      <c r="C372" s="1" t="s">
        <v>2256</v>
      </c>
      <c r="D372" s="1" t="s">
        <v>2257</v>
      </c>
      <c r="E372" s="1" t="s">
        <v>63</v>
      </c>
      <c r="F372" s="1" t="s">
        <v>86</v>
      </c>
      <c r="G372" s="1" t="s">
        <v>2258</v>
      </c>
      <c r="H372" s="1" t="s">
        <v>210</v>
      </c>
      <c r="I372" s="1" t="s">
        <v>211</v>
      </c>
      <c r="J372" s="1" t="s">
        <v>2204</v>
      </c>
      <c r="K372" s="1" t="s">
        <v>394</v>
      </c>
      <c r="L372" s="1" t="s">
        <v>69</v>
      </c>
      <c r="M372" s="1" t="s">
        <v>69</v>
      </c>
      <c r="N372" s="1" t="s">
        <v>69</v>
      </c>
      <c r="O372" s="1" t="s">
        <v>69</v>
      </c>
      <c r="P372" s="1" t="s">
        <v>70</v>
      </c>
      <c r="Q372" s="1" t="s">
        <v>1168</v>
      </c>
      <c r="R372" s="1" t="s">
        <v>2443</v>
      </c>
      <c r="S372" s="1">
        <v>25</v>
      </c>
      <c r="T372" s="1" t="s">
        <v>72</v>
      </c>
      <c r="U372" s="1" t="s">
        <v>93</v>
      </c>
      <c r="V372" s="1" t="s">
        <v>74</v>
      </c>
      <c r="W372" s="1" t="s">
        <v>74</v>
      </c>
      <c r="X372" s="1">
        <v>5</v>
      </c>
      <c r="Y372" s="1">
        <v>5</v>
      </c>
      <c r="Z372" s="1" t="s">
        <v>83</v>
      </c>
      <c r="AA372" s="1">
        <v>6</v>
      </c>
      <c r="AB372" s="1">
        <v>6</v>
      </c>
      <c r="AC372" s="1" t="s">
        <v>83</v>
      </c>
      <c r="AD372" s="1">
        <v>6</v>
      </c>
      <c r="AE372" s="1">
        <v>6</v>
      </c>
      <c r="AF372" s="1" t="s">
        <v>83</v>
      </c>
      <c r="AG372" s="1">
        <v>6</v>
      </c>
      <c r="AH372" s="1">
        <v>6</v>
      </c>
      <c r="AI372" s="1" t="s">
        <v>83</v>
      </c>
      <c r="AJ372" s="1">
        <v>6</v>
      </c>
      <c r="AK372" s="1">
        <v>6</v>
      </c>
      <c r="AL372" s="1" t="s">
        <v>83</v>
      </c>
      <c r="AM372" s="1">
        <v>6</v>
      </c>
      <c r="AN372" s="1">
        <v>6</v>
      </c>
      <c r="AO372" s="1" t="s">
        <v>83</v>
      </c>
      <c r="AP372" s="1">
        <v>6</v>
      </c>
      <c r="AQ372" s="1">
        <v>6</v>
      </c>
      <c r="AR372" s="1" t="s">
        <v>83</v>
      </c>
      <c r="AS372" s="1">
        <v>6</v>
      </c>
      <c r="AT372" s="1">
        <v>6</v>
      </c>
      <c r="AU372" s="1" t="s">
        <v>83</v>
      </c>
      <c r="AV372" s="1">
        <v>6</v>
      </c>
      <c r="AW372" s="1">
        <v>6</v>
      </c>
      <c r="AX372" s="1" t="s">
        <v>83</v>
      </c>
      <c r="AY372" s="1">
        <v>2</v>
      </c>
      <c r="AZ372" s="1">
        <v>0</v>
      </c>
      <c r="BA372" s="1">
        <v>0</v>
      </c>
      <c r="BB372" s="1" t="s">
        <v>83</v>
      </c>
      <c r="BC372" s="1">
        <v>0</v>
      </c>
      <c r="BD372" s="1" t="s">
        <v>98</v>
      </c>
      <c r="BE372" s="1" t="s">
        <v>98</v>
      </c>
      <c r="BF372" s="1" t="s">
        <v>98</v>
      </c>
      <c r="BG372" s="1" t="s">
        <v>98</v>
      </c>
    </row>
    <row r="373" spans="1:59" x14ac:dyDescent="0.35">
      <c r="A373" s="1">
        <v>372</v>
      </c>
      <c r="B373" s="1">
        <v>45848.936261574076</v>
      </c>
      <c r="C373" s="1" t="s">
        <v>2259</v>
      </c>
      <c r="D373" s="1" t="s">
        <v>2260</v>
      </c>
      <c r="E373" s="1" t="s">
        <v>1841</v>
      </c>
      <c r="F373" s="1" t="s">
        <v>2261</v>
      </c>
      <c r="G373" s="1" t="s">
        <v>2262</v>
      </c>
      <c r="H373" s="1" t="s">
        <v>210</v>
      </c>
      <c r="I373" s="1" t="s">
        <v>211</v>
      </c>
      <c r="J373" s="1" t="s">
        <v>2204</v>
      </c>
      <c r="K373" s="1" t="s">
        <v>2263</v>
      </c>
      <c r="L373" s="1" t="s">
        <v>69</v>
      </c>
      <c r="M373" s="1" t="s">
        <v>69</v>
      </c>
      <c r="N373" s="1" t="s">
        <v>69</v>
      </c>
      <c r="O373" s="1" t="s">
        <v>69</v>
      </c>
      <c r="P373" s="1" t="s">
        <v>70</v>
      </c>
      <c r="Q373" s="1" t="s">
        <v>1168</v>
      </c>
      <c r="R373" s="1" t="s">
        <v>2434</v>
      </c>
      <c r="S373" s="1">
        <v>23</v>
      </c>
      <c r="T373" s="1" t="s">
        <v>72</v>
      </c>
      <c r="U373" s="1" t="s">
        <v>93</v>
      </c>
      <c r="V373" s="1" t="s">
        <v>74</v>
      </c>
      <c r="W373" s="1" t="s">
        <v>74</v>
      </c>
      <c r="X373" s="1">
        <v>5</v>
      </c>
      <c r="Y373" s="1">
        <v>6</v>
      </c>
      <c r="Z373" s="1" t="s">
        <v>83</v>
      </c>
      <c r="AA373" s="1">
        <v>6</v>
      </c>
      <c r="AB373" s="1">
        <v>6</v>
      </c>
      <c r="AC373" s="1" t="s">
        <v>83</v>
      </c>
      <c r="AD373" s="1">
        <v>5</v>
      </c>
      <c r="AE373" s="1">
        <v>6</v>
      </c>
      <c r="AF373" s="1" t="s">
        <v>83</v>
      </c>
      <c r="AG373" s="1">
        <v>6</v>
      </c>
      <c r="AH373" s="1">
        <v>6</v>
      </c>
      <c r="AI373" s="1" t="s">
        <v>83</v>
      </c>
      <c r="AJ373" s="1">
        <v>6</v>
      </c>
      <c r="AK373" s="1">
        <v>6</v>
      </c>
      <c r="AL373" s="1" t="s">
        <v>83</v>
      </c>
      <c r="AM373" s="1">
        <v>6</v>
      </c>
      <c r="AN373" s="1">
        <v>6</v>
      </c>
      <c r="AO373" s="1" t="s">
        <v>83</v>
      </c>
      <c r="AP373" s="1">
        <v>5</v>
      </c>
      <c r="AQ373" s="1">
        <v>5</v>
      </c>
      <c r="AR373" s="1" t="s">
        <v>83</v>
      </c>
      <c r="AS373" s="1">
        <v>6</v>
      </c>
      <c r="AT373" s="1">
        <v>6</v>
      </c>
      <c r="AU373" s="1" t="s">
        <v>83</v>
      </c>
      <c r="AV373" s="1">
        <v>6</v>
      </c>
      <c r="AW373" s="1">
        <v>6</v>
      </c>
      <c r="AX373" s="1" t="s">
        <v>83</v>
      </c>
      <c r="AY373" s="1">
        <v>1</v>
      </c>
      <c r="AZ373" s="1">
        <v>0</v>
      </c>
      <c r="BA373" s="1">
        <v>0</v>
      </c>
      <c r="BB373" s="1" t="s">
        <v>83</v>
      </c>
      <c r="BC373" s="1">
        <v>0</v>
      </c>
      <c r="BD373" s="1" t="s">
        <v>98</v>
      </c>
      <c r="BE373" s="1" t="s">
        <v>98</v>
      </c>
      <c r="BF373" s="1" t="s">
        <v>98</v>
      </c>
      <c r="BG373" s="1" t="s">
        <v>2264</v>
      </c>
    </row>
    <row r="374" spans="1:59" x14ac:dyDescent="0.35">
      <c r="A374" s="1">
        <v>373</v>
      </c>
      <c r="B374" s="1">
        <v>45848.949756944443</v>
      </c>
      <c r="C374" s="1" t="s">
        <v>2265</v>
      </c>
      <c r="D374" s="1" t="s">
        <v>2266</v>
      </c>
      <c r="E374" s="1" t="s">
        <v>63</v>
      </c>
      <c r="F374" s="1" t="s">
        <v>338</v>
      </c>
      <c r="G374" s="1" t="s">
        <v>1540</v>
      </c>
      <c r="H374" s="1" t="s">
        <v>210</v>
      </c>
      <c r="I374" s="1" t="s">
        <v>211</v>
      </c>
      <c r="J374" s="1" t="s">
        <v>2267</v>
      </c>
      <c r="K374" s="1" t="s">
        <v>753</v>
      </c>
      <c r="L374" s="1" t="s">
        <v>69</v>
      </c>
      <c r="M374" s="1" t="s">
        <v>69</v>
      </c>
      <c r="N374" s="1" t="s">
        <v>69</v>
      </c>
      <c r="O374" s="1" t="s">
        <v>69</v>
      </c>
      <c r="P374" s="1" t="s">
        <v>106</v>
      </c>
      <c r="Q374" s="1" t="s">
        <v>1180</v>
      </c>
      <c r="R374" s="1" t="s">
        <v>2531</v>
      </c>
      <c r="S374" s="1">
        <v>40</v>
      </c>
      <c r="T374" s="1" t="s">
        <v>153</v>
      </c>
      <c r="U374" s="1" t="s">
        <v>93</v>
      </c>
      <c r="V374" s="1" t="s">
        <v>74</v>
      </c>
      <c r="W374" s="1" t="s">
        <v>74</v>
      </c>
      <c r="X374" s="1">
        <v>6</v>
      </c>
      <c r="Y374" s="1">
        <v>6</v>
      </c>
      <c r="Z374" s="1" t="s">
        <v>83</v>
      </c>
      <c r="AA374" s="1">
        <v>6</v>
      </c>
      <c r="AB374" s="1">
        <v>6</v>
      </c>
      <c r="AC374" s="1" t="s">
        <v>83</v>
      </c>
      <c r="AD374" s="1">
        <v>6</v>
      </c>
      <c r="AE374" s="1">
        <v>6</v>
      </c>
      <c r="AF374" s="1" t="s">
        <v>83</v>
      </c>
      <c r="AG374" s="1">
        <v>6</v>
      </c>
      <c r="AH374" s="1">
        <v>6</v>
      </c>
      <c r="AI374" s="1" t="s">
        <v>83</v>
      </c>
      <c r="AJ374" s="1">
        <v>6</v>
      </c>
      <c r="AK374" s="1">
        <v>6</v>
      </c>
      <c r="AL374" s="1" t="s">
        <v>83</v>
      </c>
      <c r="AM374" s="1">
        <v>6</v>
      </c>
      <c r="AN374" s="1">
        <v>6</v>
      </c>
      <c r="AO374" s="1" t="s">
        <v>83</v>
      </c>
      <c r="AP374" s="1">
        <v>6</v>
      </c>
      <c r="AQ374" s="1">
        <v>6</v>
      </c>
      <c r="AR374" s="1" t="s">
        <v>83</v>
      </c>
      <c r="AS374" s="1">
        <v>5</v>
      </c>
      <c r="AT374" s="1">
        <v>5</v>
      </c>
      <c r="AU374" s="1" t="s">
        <v>83</v>
      </c>
      <c r="AV374" s="1">
        <v>6</v>
      </c>
      <c r="AW374" s="1">
        <v>6</v>
      </c>
      <c r="AX374" s="1" t="s">
        <v>83</v>
      </c>
      <c r="AY374" s="1">
        <v>0</v>
      </c>
      <c r="AZ374" s="1">
        <v>0</v>
      </c>
      <c r="BA374" s="1">
        <v>0</v>
      </c>
      <c r="BB374" s="1" t="s">
        <v>144</v>
      </c>
      <c r="BC374" s="1">
        <v>2</v>
      </c>
      <c r="BD374" s="1" t="s">
        <v>98</v>
      </c>
      <c r="BE374" s="1" t="s">
        <v>98</v>
      </c>
      <c r="BF374" s="1" t="s">
        <v>98</v>
      </c>
      <c r="BG374" s="1" t="s">
        <v>2268</v>
      </c>
    </row>
    <row r="375" spans="1:59" x14ac:dyDescent="0.35">
      <c r="A375" s="1">
        <v>374</v>
      </c>
      <c r="B375" s="1">
        <v>45848.953831018516</v>
      </c>
      <c r="C375" s="1" t="s">
        <v>2269</v>
      </c>
      <c r="D375" s="1" t="s">
        <v>63</v>
      </c>
      <c r="E375" s="1" t="s">
        <v>63</v>
      </c>
      <c r="F375" s="1" t="s">
        <v>63</v>
      </c>
      <c r="G375" s="1" t="s">
        <v>2270</v>
      </c>
      <c r="H375" s="1" t="s">
        <v>210</v>
      </c>
      <c r="I375" s="1" t="s">
        <v>211</v>
      </c>
      <c r="J375" s="1" t="s">
        <v>2204</v>
      </c>
      <c r="K375" s="1" t="s">
        <v>1777</v>
      </c>
      <c r="L375" s="1" t="s">
        <v>69</v>
      </c>
      <c r="M375" s="1" t="s">
        <v>69</v>
      </c>
      <c r="N375" s="1" t="s">
        <v>69</v>
      </c>
      <c r="O375" s="1" t="s">
        <v>69</v>
      </c>
      <c r="P375" s="1" t="s">
        <v>70</v>
      </c>
      <c r="Q375" s="1" t="s">
        <v>1180</v>
      </c>
      <c r="R375" s="1" t="s">
        <v>2532</v>
      </c>
      <c r="S375" s="1">
        <v>49</v>
      </c>
      <c r="T375" s="1" t="s">
        <v>225</v>
      </c>
      <c r="U375" s="1" t="s">
        <v>93</v>
      </c>
      <c r="V375" s="1" t="s">
        <v>74</v>
      </c>
      <c r="W375" s="1" t="s">
        <v>74</v>
      </c>
      <c r="X375" s="1">
        <v>6</v>
      </c>
      <c r="Y375" s="1">
        <v>6</v>
      </c>
      <c r="Z375" s="1" t="s">
        <v>83</v>
      </c>
      <c r="AA375" s="1">
        <v>6</v>
      </c>
      <c r="AB375" s="1">
        <v>6</v>
      </c>
      <c r="AC375" s="1" t="s">
        <v>83</v>
      </c>
      <c r="AD375" s="1">
        <v>6</v>
      </c>
      <c r="AE375" s="1">
        <v>6</v>
      </c>
      <c r="AF375" s="1" t="s">
        <v>83</v>
      </c>
      <c r="AG375" s="1">
        <v>6</v>
      </c>
      <c r="AH375" s="1">
        <v>6</v>
      </c>
      <c r="AI375" s="1" t="s">
        <v>83</v>
      </c>
      <c r="AJ375" s="1">
        <v>6</v>
      </c>
      <c r="AK375" s="1">
        <v>6</v>
      </c>
      <c r="AL375" s="1" t="s">
        <v>83</v>
      </c>
      <c r="AM375" s="1">
        <v>5</v>
      </c>
      <c r="AN375" s="1">
        <v>5</v>
      </c>
      <c r="AO375" s="1" t="s">
        <v>83</v>
      </c>
      <c r="AP375" s="1">
        <v>6</v>
      </c>
      <c r="AQ375" s="1">
        <v>6</v>
      </c>
      <c r="AR375" s="1" t="s">
        <v>83</v>
      </c>
      <c r="AS375" s="1">
        <v>6</v>
      </c>
      <c r="AT375" s="1">
        <v>6</v>
      </c>
      <c r="AU375" s="1" t="s">
        <v>83</v>
      </c>
      <c r="AV375" s="1">
        <v>5</v>
      </c>
      <c r="AW375" s="1">
        <v>5</v>
      </c>
      <c r="AX375" s="1" t="s">
        <v>83</v>
      </c>
      <c r="AY375" s="1">
        <v>0</v>
      </c>
      <c r="AZ375" s="1">
        <v>0</v>
      </c>
      <c r="BA375" s="1">
        <v>0</v>
      </c>
      <c r="BB375" s="1" t="s">
        <v>384</v>
      </c>
      <c r="BC375" s="1">
        <v>2</v>
      </c>
      <c r="BD375" s="1" t="s">
        <v>98</v>
      </c>
      <c r="BE375" s="1" t="s">
        <v>98</v>
      </c>
      <c r="BF375" s="1" t="s">
        <v>98</v>
      </c>
      <c r="BG375" s="1" t="s">
        <v>2271</v>
      </c>
    </row>
    <row r="376" spans="1:59" x14ac:dyDescent="0.35">
      <c r="A376" s="1">
        <v>375</v>
      </c>
      <c r="B376" s="1">
        <v>45848.957638888889</v>
      </c>
      <c r="C376" s="1" t="s">
        <v>2272</v>
      </c>
      <c r="D376" s="1" t="s">
        <v>2273</v>
      </c>
      <c r="E376" s="1" t="s">
        <v>63</v>
      </c>
      <c r="F376" s="1" t="s">
        <v>63</v>
      </c>
      <c r="G376" s="1" t="s">
        <v>2274</v>
      </c>
      <c r="H376" s="1" t="s">
        <v>210</v>
      </c>
      <c r="I376" s="1" t="s">
        <v>211</v>
      </c>
      <c r="J376" s="1" t="s">
        <v>2204</v>
      </c>
      <c r="K376" s="1" t="s">
        <v>2275</v>
      </c>
      <c r="L376" s="1" t="s">
        <v>69</v>
      </c>
      <c r="M376" s="1" t="s">
        <v>69</v>
      </c>
      <c r="N376" s="1" t="s">
        <v>69</v>
      </c>
      <c r="O376" s="1" t="s">
        <v>69</v>
      </c>
      <c r="P376" s="1" t="s">
        <v>70</v>
      </c>
      <c r="Q376" s="1" t="s">
        <v>1180</v>
      </c>
      <c r="R376" s="1" t="s">
        <v>2533</v>
      </c>
      <c r="S376" s="1">
        <v>54</v>
      </c>
      <c r="T376" s="1" t="s">
        <v>383</v>
      </c>
      <c r="U376" s="1" t="s">
        <v>254</v>
      </c>
      <c r="V376" s="1" t="s">
        <v>74</v>
      </c>
      <c r="W376" s="1" t="s">
        <v>74</v>
      </c>
      <c r="X376" s="1">
        <v>6</v>
      </c>
      <c r="Y376" s="1">
        <v>6</v>
      </c>
      <c r="Z376" s="1" t="s">
        <v>83</v>
      </c>
      <c r="AA376" s="1">
        <v>6</v>
      </c>
      <c r="AB376" s="1">
        <v>6</v>
      </c>
      <c r="AC376" s="1" t="s">
        <v>83</v>
      </c>
      <c r="AD376" s="1">
        <v>6</v>
      </c>
      <c r="AE376" s="1">
        <v>6</v>
      </c>
      <c r="AF376" s="1" t="s">
        <v>83</v>
      </c>
      <c r="AG376" s="1">
        <v>6</v>
      </c>
      <c r="AH376" s="1">
        <v>6</v>
      </c>
      <c r="AI376" s="1" t="s">
        <v>83</v>
      </c>
      <c r="AJ376" s="1">
        <v>6</v>
      </c>
      <c r="AK376" s="1">
        <v>6</v>
      </c>
      <c r="AL376" s="1" t="s">
        <v>83</v>
      </c>
      <c r="AM376" s="1">
        <v>6</v>
      </c>
      <c r="AN376" s="1">
        <v>6</v>
      </c>
      <c r="AO376" s="1" t="s">
        <v>83</v>
      </c>
      <c r="AP376" s="1">
        <v>6</v>
      </c>
      <c r="AQ376" s="1">
        <v>6</v>
      </c>
      <c r="AR376" s="1" t="s">
        <v>83</v>
      </c>
      <c r="AS376" s="1">
        <v>6</v>
      </c>
      <c r="AT376" s="1">
        <v>6</v>
      </c>
      <c r="AU376" s="1" t="s">
        <v>83</v>
      </c>
      <c r="AV376" s="1">
        <v>6</v>
      </c>
      <c r="AW376" s="1">
        <v>6</v>
      </c>
      <c r="AX376" s="1" t="s">
        <v>83</v>
      </c>
      <c r="AY376" s="1">
        <v>0</v>
      </c>
      <c r="AZ376" s="1">
        <v>2</v>
      </c>
      <c r="BA376" s="1">
        <v>0</v>
      </c>
      <c r="BB376" s="1" t="s">
        <v>83</v>
      </c>
      <c r="BC376" s="1">
        <v>0</v>
      </c>
      <c r="BD376" s="1" t="s">
        <v>98</v>
      </c>
      <c r="BE376" s="1" t="s">
        <v>98</v>
      </c>
      <c r="BF376" s="1" t="s">
        <v>98</v>
      </c>
      <c r="BG376" s="1" t="s">
        <v>2276</v>
      </c>
    </row>
    <row r="377" spans="1:59" x14ac:dyDescent="0.35">
      <c r="A377" s="1">
        <v>376</v>
      </c>
      <c r="B377" s="1">
        <v>45848.960763888892</v>
      </c>
      <c r="C377" s="1" t="s">
        <v>2277</v>
      </c>
      <c r="D377" s="1" t="s">
        <v>2278</v>
      </c>
      <c r="E377" s="1" t="s">
        <v>63</v>
      </c>
      <c r="F377" s="1" t="s">
        <v>179</v>
      </c>
      <c r="G377" s="1" t="s">
        <v>2279</v>
      </c>
      <c r="H377" s="1" t="s">
        <v>138</v>
      </c>
      <c r="I377" s="1" t="s">
        <v>139</v>
      </c>
      <c r="J377" s="1" t="s">
        <v>2204</v>
      </c>
      <c r="K377" s="1" t="s">
        <v>2280</v>
      </c>
      <c r="L377" s="1" t="s">
        <v>69</v>
      </c>
      <c r="M377" s="1" t="s">
        <v>69</v>
      </c>
      <c r="N377" s="1" t="s">
        <v>69</v>
      </c>
      <c r="O377" s="1" t="s">
        <v>69</v>
      </c>
      <c r="P377" s="1" t="s">
        <v>106</v>
      </c>
      <c r="Q377" s="1" t="s">
        <v>1180</v>
      </c>
      <c r="R377" s="1" t="s">
        <v>2502</v>
      </c>
      <c r="S377" s="1">
        <v>29</v>
      </c>
      <c r="T377" s="1" t="s">
        <v>92</v>
      </c>
      <c r="U377" s="1" t="s">
        <v>93</v>
      </c>
      <c r="V377" s="1" t="s">
        <v>110</v>
      </c>
      <c r="W377" s="1" t="s">
        <v>110</v>
      </c>
      <c r="X377" s="1">
        <v>6</v>
      </c>
      <c r="Y377" s="1">
        <v>6</v>
      </c>
      <c r="Z377" s="1" t="s">
        <v>83</v>
      </c>
      <c r="AA377" s="1">
        <v>6</v>
      </c>
      <c r="AB377" s="1">
        <v>6</v>
      </c>
      <c r="AC377" s="1" t="s">
        <v>83</v>
      </c>
      <c r="AD377" s="1">
        <v>5</v>
      </c>
      <c r="AE377" s="1">
        <v>5</v>
      </c>
      <c r="AF377" s="1" t="s">
        <v>83</v>
      </c>
      <c r="AG377" s="1">
        <v>6</v>
      </c>
      <c r="AH377" s="1">
        <v>6</v>
      </c>
      <c r="AI377" s="1" t="s">
        <v>83</v>
      </c>
      <c r="AJ377" s="1">
        <v>5</v>
      </c>
      <c r="AK377" s="1">
        <v>5</v>
      </c>
      <c r="AL377" s="1" t="s">
        <v>83</v>
      </c>
      <c r="AM377" s="1">
        <v>5</v>
      </c>
      <c r="AN377" s="1">
        <v>5</v>
      </c>
      <c r="AO377" s="1" t="s">
        <v>83</v>
      </c>
      <c r="AP377" s="1">
        <v>6</v>
      </c>
      <c r="AQ377" s="1">
        <v>6</v>
      </c>
      <c r="AR377" s="1" t="s">
        <v>83</v>
      </c>
      <c r="AS377" s="1">
        <v>6</v>
      </c>
      <c r="AT377" s="1">
        <v>6</v>
      </c>
      <c r="AU377" s="1" t="s">
        <v>83</v>
      </c>
      <c r="AV377" s="1">
        <v>6</v>
      </c>
      <c r="AW377" s="1">
        <v>6</v>
      </c>
      <c r="AX377" s="1" t="s">
        <v>83</v>
      </c>
      <c r="AY377" s="1">
        <v>0</v>
      </c>
      <c r="AZ377" s="1">
        <v>0</v>
      </c>
      <c r="BA377" s="1">
        <v>0</v>
      </c>
      <c r="BB377" s="1" t="s">
        <v>144</v>
      </c>
      <c r="BC377" s="1">
        <v>1</v>
      </c>
      <c r="BD377" s="1" t="s">
        <v>98</v>
      </c>
      <c r="BE377" s="1" t="s">
        <v>98</v>
      </c>
      <c r="BF377" s="1" t="s">
        <v>98</v>
      </c>
      <c r="BG377" s="1" t="s">
        <v>98</v>
      </c>
    </row>
    <row r="378" spans="1:59" x14ac:dyDescent="0.35">
      <c r="A378" s="1">
        <v>377</v>
      </c>
      <c r="B378" s="1">
        <v>45848.983298611114</v>
      </c>
      <c r="C378" s="1" t="s">
        <v>2281</v>
      </c>
      <c r="D378" s="1" t="s">
        <v>2282</v>
      </c>
      <c r="E378" s="1" t="s">
        <v>1486</v>
      </c>
      <c r="F378" s="1" t="s">
        <v>2283</v>
      </c>
      <c r="G378" s="1" t="s">
        <v>2284</v>
      </c>
      <c r="H378" s="1" t="s">
        <v>138</v>
      </c>
      <c r="I378" s="1" t="s">
        <v>139</v>
      </c>
      <c r="J378" s="1" t="s">
        <v>2204</v>
      </c>
      <c r="K378" s="1" t="s">
        <v>2285</v>
      </c>
      <c r="L378" s="1" t="s">
        <v>69</v>
      </c>
      <c r="M378" s="1" t="s">
        <v>83</v>
      </c>
      <c r="N378" s="1" t="s">
        <v>69</v>
      </c>
      <c r="O378" s="1" t="s">
        <v>69</v>
      </c>
      <c r="P378" s="1" t="s">
        <v>70</v>
      </c>
      <c r="Q378" s="1" t="s">
        <v>1168</v>
      </c>
      <c r="R378" s="1" t="s">
        <v>2534</v>
      </c>
      <c r="S378" s="1">
        <v>29</v>
      </c>
      <c r="T378" s="1" t="s">
        <v>92</v>
      </c>
      <c r="U378" s="1" t="s">
        <v>93</v>
      </c>
      <c r="V378" s="1" t="s">
        <v>74</v>
      </c>
      <c r="W378" s="1" t="s">
        <v>74</v>
      </c>
      <c r="X378" s="1">
        <v>6</v>
      </c>
      <c r="Y378" s="1">
        <v>6</v>
      </c>
      <c r="Z378" s="1" t="s">
        <v>83</v>
      </c>
      <c r="AA378" s="1">
        <v>6</v>
      </c>
      <c r="AB378" s="1">
        <v>6</v>
      </c>
      <c r="AC378" s="1" t="s">
        <v>83</v>
      </c>
      <c r="AD378" s="1">
        <v>6</v>
      </c>
      <c r="AE378" s="1">
        <v>6</v>
      </c>
      <c r="AF378" s="1" t="s">
        <v>83</v>
      </c>
      <c r="AG378" s="1">
        <v>6</v>
      </c>
      <c r="AH378" s="1">
        <v>6</v>
      </c>
      <c r="AI378" s="1" t="s">
        <v>83</v>
      </c>
      <c r="AJ378" s="1">
        <v>6</v>
      </c>
      <c r="AK378" s="1">
        <v>6</v>
      </c>
      <c r="AL378" s="1" t="s">
        <v>83</v>
      </c>
      <c r="AM378" s="1">
        <v>6</v>
      </c>
      <c r="AN378" s="1">
        <v>6</v>
      </c>
      <c r="AO378" s="1" t="s">
        <v>83</v>
      </c>
      <c r="AP378" s="1">
        <v>6</v>
      </c>
      <c r="AQ378" s="1">
        <v>6</v>
      </c>
      <c r="AR378" s="1" t="s">
        <v>83</v>
      </c>
      <c r="AS378" s="1">
        <v>6</v>
      </c>
      <c r="AT378" s="1">
        <v>6</v>
      </c>
      <c r="AU378" s="1" t="s">
        <v>83</v>
      </c>
      <c r="AV378" s="1">
        <v>6</v>
      </c>
      <c r="AW378" s="1">
        <v>6</v>
      </c>
      <c r="AX378" s="1" t="s">
        <v>83</v>
      </c>
      <c r="AY378" s="1">
        <v>0</v>
      </c>
      <c r="AZ378" s="1">
        <v>1</v>
      </c>
      <c r="BA378" s="1">
        <v>0</v>
      </c>
      <c r="BB378" s="1" t="s">
        <v>83</v>
      </c>
      <c r="BC378" s="1">
        <v>0</v>
      </c>
      <c r="BD378" s="1" t="s">
        <v>98</v>
      </c>
      <c r="BE378" s="1" t="s">
        <v>98</v>
      </c>
      <c r="BF378" s="1" t="s">
        <v>98</v>
      </c>
      <c r="BG378" s="1" t="s">
        <v>98</v>
      </c>
    </row>
    <row r="379" spans="1:59" x14ac:dyDescent="0.35">
      <c r="A379" s="1">
        <v>378</v>
      </c>
      <c r="B379" s="1">
        <v>45848.986261574071</v>
      </c>
      <c r="C379" s="1" t="s">
        <v>2286</v>
      </c>
      <c r="D379" s="1" t="s">
        <v>2287</v>
      </c>
      <c r="E379" s="1" t="s">
        <v>63</v>
      </c>
      <c r="F379" s="1" t="s">
        <v>416</v>
      </c>
      <c r="G379" s="1" t="s">
        <v>2288</v>
      </c>
      <c r="H379" s="1" t="s">
        <v>2289</v>
      </c>
      <c r="I379" s="1" t="s">
        <v>139</v>
      </c>
      <c r="J379" s="1" t="s">
        <v>2204</v>
      </c>
      <c r="K379" s="1" t="s">
        <v>2290</v>
      </c>
      <c r="L379" s="1" t="s">
        <v>69</v>
      </c>
      <c r="M379" s="1" t="s">
        <v>69</v>
      </c>
      <c r="N379" s="1" t="s">
        <v>69</v>
      </c>
      <c r="O379" s="1" t="s">
        <v>69</v>
      </c>
      <c r="P379" s="1" t="s">
        <v>106</v>
      </c>
      <c r="Q379" s="1" t="s">
        <v>1168</v>
      </c>
      <c r="R379" s="1" t="s">
        <v>2535</v>
      </c>
      <c r="S379" s="1">
        <v>30</v>
      </c>
      <c r="T379" s="1" t="s">
        <v>92</v>
      </c>
      <c r="U379" s="1" t="s">
        <v>93</v>
      </c>
      <c r="V379" s="1" t="s">
        <v>74</v>
      </c>
      <c r="W379" s="1" t="s">
        <v>74</v>
      </c>
      <c r="X379" s="1">
        <v>6</v>
      </c>
      <c r="Y379" s="1">
        <v>6</v>
      </c>
      <c r="Z379" s="1" t="s">
        <v>83</v>
      </c>
      <c r="AA379" s="1">
        <v>6</v>
      </c>
      <c r="AB379" s="1">
        <v>6</v>
      </c>
      <c r="AC379" s="1" t="s">
        <v>83</v>
      </c>
      <c r="AD379" s="1">
        <v>6</v>
      </c>
      <c r="AE379" s="1">
        <v>6</v>
      </c>
      <c r="AF379" s="1" t="s">
        <v>83</v>
      </c>
      <c r="AG379" s="1">
        <v>6</v>
      </c>
      <c r="AH379" s="1">
        <v>6</v>
      </c>
      <c r="AI379" s="1" t="s">
        <v>83</v>
      </c>
      <c r="AJ379" s="1">
        <v>6</v>
      </c>
      <c r="AK379" s="1">
        <v>6</v>
      </c>
      <c r="AL379" s="1" t="s">
        <v>83</v>
      </c>
      <c r="AM379" s="1">
        <v>6</v>
      </c>
      <c r="AN379" s="1">
        <v>6</v>
      </c>
      <c r="AO379" s="1" t="s">
        <v>83</v>
      </c>
      <c r="AP379" s="1">
        <v>6</v>
      </c>
      <c r="AQ379" s="1">
        <v>6</v>
      </c>
      <c r="AR379" s="1" t="s">
        <v>83</v>
      </c>
      <c r="AS379" s="1">
        <v>6</v>
      </c>
      <c r="AT379" s="1">
        <v>6</v>
      </c>
      <c r="AU379" s="1" t="s">
        <v>83</v>
      </c>
      <c r="AV379" s="1">
        <v>6</v>
      </c>
      <c r="AW379" s="1">
        <v>6</v>
      </c>
      <c r="AX379" s="1" t="s">
        <v>83</v>
      </c>
      <c r="AY379" s="1">
        <v>1</v>
      </c>
      <c r="AZ379" s="1">
        <v>0</v>
      </c>
      <c r="BA379" s="1">
        <v>0</v>
      </c>
      <c r="BB379" s="1" t="s">
        <v>83</v>
      </c>
      <c r="BC379" s="1">
        <v>0</v>
      </c>
      <c r="BD379" s="1" t="s">
        <v>98</v>
      </c>
      <c r="BE379" s="1" t="s">
        <v>98</v>
      </c>
      <c r="BF379" s="1" t="s">
        <v>98</v>
      </c>
      <c r="BG379" s="1" t="s">
        <v>98</v>
      </c>
    </row>
    <row r="380" spans="1:59" x14ac:dyDescent="0.35">
      <c r="A380" s="1">
        <v>379</v>
      </c>
      <c r="B380" s="1">
        <v>45848.988599537035</v>
      </c>
      <c r="C380" s="1" t="s">
        <v>2291</v>
      </c>
      <c r="D380" s="1" t="s">
        <v>2283</v>
      </c>
      <c r="E380" s="1" t="s">
        <v>1486</v>
      </c>
      <c r="F380" s="1" t="s">
        <v>2283</v>
      </c>
      <c r="G380" s="1" t="s">
        <v>2292</v>
      </c>
      <c r="H380" s="1" t="s">
        <v>138</v>
      </c>
      <c r="I380" s="1" t="s">
        <v>139</v>
      </c>
      <c r="J380" s="1" t="s">
        <v>2204</v>
      </c>
      <c r="K380" s="1" t="s">
        <v>2293</v>
      </c>
      <c r="L380" s="1" t="s">
        <v>69</v>
      </c>
      <c r="M380" s="1" t="s">
        <v>69</v>
      </c>
      <c r="N380" s="1" t="s">
        <v>69</v>
      </c>
      <c r="O380" s="1" t="s">
        <v>69</v>
      </c>
      <c r="P380" s="1" t="s">
        <v>70</v>
      </c>
      <c r="Q380" s="1" t="s">
        <v>1168</v>
      </c>
      <c r="R380" s="1" t="s">
        <v>2535</v>
      </c>
      <c r="S380" s="1">
        <v>30</v>
      </c>
      <c r="T380" s="1" t="s">
        <v>92</v>
      </c>
      <c r="U380" s="1" t="s">
        <v>93</v>
      </c>
      <c r="V380" s="1" t="s">
        <v>74</v>
      </c>
      <c r="W380" s="1" t="s">
        <v>74</v>
      </c>
      <c r="X380" s="1">
        <v>5</v>
      </c>
      <c r="Y380" s="1">
        <v>5</v>
      </c>
      <c r="Z380" s="1" t="s">
        <v>83</v>
      </c>
      <c r="AA380" s="1">
        <v>5</v>
      </c>
      <c r="AB380" s="1">
        <v>5</v>
      </c>
      <c r="AC380" s="1" t="s">
        <v>83</v>
      </c>
      <c r="AD380" s="1">
        <v>5</v>
      </c>
      <c r="AE380" s="1">
        <v>5</v>
      </c>
      <c r="AF380" s="1" t="s">
        <v>83</v>
      </c>
      <c r="AG380" s="1">
        <v>5</v>
      </c>
      <c r="AH380" s="1">
        <v>5</v>
      </c>
      <c r="AI380" s="1" t="s">
        <v>83</v>
      </c>
      <c r="AJ380" s="1">
        <v>6</v>
      </c>
      <c r="AK380" s="1">
        <v>6</v>
      </c>
      <c r="AL380" s="1" t="s">
        <v>83</v>
      </c>
      <c r="AM380" s="1">
        <v>5</v>
      </c>
      <c r="AN380" s="1">
        <v>5</v>
      </c>
      <c r="AO380" s="1" t="s">
        <v>83</v>
      </c>
      <c r="AP380" s="1">
        <v>5</v>
      </c>
      <c r="AQ380" s="1">
        <v>5</v>
      </c>
      <c r="AR380" s="1" t="s">
        <v>83</v>
      </c>
      <c r="AS380" s="1">
        <v>5</v>
      </c>
      <c r="AT380" s="1">
        <v>5</v>
      </c>
      <c r="AU380" s="1" t="s">
        <v>83</v>
      </c>
      <c r="AV380" s="1">
        <v>6</v>
      </c>
      <c r="AW380" s="1">
        <v>6</v>
      </c>
      <c r="AX380" s="1" t="s">
        <v>83</v>
      </c>
      <c r="AY380" s="1">
        <v>2</v>
      </c>
      <c r="AZ380" s="1">
        <v>0</v>
      </c>
      <c r="BA380" s="1">
        <v>0</v>
      </c>
      <c r="BB380" s="1" t="s">
        <v>83</v>
      </c>
      <c r="BC380" s="1">
        <v>0</v>
      </c>
      <c r="BD380" s="1" t="s">
        <v>98</v>
      </c>
      <c r="BE380" s="1" t="s">
        <v>98</v>
      </c>
      <c r="BF380" s="1" t="s">
        <v>98</v>
      </c>
      <c r="BG380" s="1" t="s">
        <v>98</v>
      </c>
    </row>
    <row r="381" spans="1:59" x14ac:dyDescent="0.35">
      <c r="A381" s="1">
        <v>380</v>
      </c>
      <c r="B381" s="1">
        <v>45848.991331018522</v>
      </c>
      <c r="C381" s="1" t="s">
        <v>2294</v>
      </c>
      <c r="D381" s="1" t="s">
        <v>2295</v>
      </c>
      <c r="E381" s="1" t="s">
        <v>1486</v>
      </c>
      <c r="F381" s="1" t="s">
        <v>1372</v>
      </c>
      <c r="G381" s="1" t="s">
        <v>2296</v>
      </c>
      <c r="H381" s="1" t="s">
        <v>138</v>
      </c>
      <c r="I381" s="1" t="s">
        <v>139</v>
      </c>
      <c r="J381" s="1" t="s">
        <v>2204</v>
      </c>
      <c r="K381" s="1" t="s">
        <v>1591</v>
      </c>
      <c r="L381" s="1" t="s">
        <v>69</v>
      </c>
      <c r="M381" s="1" t="s">
        <v>69</v>
      </c>
      <c r="N381" s="1" t="s">
        <v>83</v>
      </c>
      <c r="O381" s="1" t="s">
        <v>69</v>
      </c>
      <c r="P381" s="1" t="s">
        <v>70</v>
      </c>
      <c r="Q381" s="1" t="s">
        <v>1168</v>
      </c>
      <c r="R381" s="1" t="s">
        <v>2536</v>
      </c>
      <c r="S381" s="1">
        <v>34</v>
      </c>
      <c r="T381" s="1" t="s">
        <v>109</v>
      </c>
      <c r="U381" s="1" t="s">
        <v>73</v>
      </c>
      <c r="V381" s="1" t="s">
        <v>2297</v>
      </c>
      <c r="W381" s="1" t="s">
        <v>413</v>
      </c>
      <c r="X381" s="1">
        <v>6</v>
      </c>
      <c r="Y381" s="1">
        <v>6</v>
      </c>
      <c r="Z381" s="1" t="s">
        <v>83</v>
      </c>
      <c r="AA381" s="1">
        <v>5</v>
      </c>
      <c r="AB381" s="1">
        <v>5</v>
      </c>
      <c r="AC381" s="1" t="s">
        <v>83</v>
      </c>
      <c r="AD381" s="1">
        <v>5</v>
      </c>
      <c r="AE381" s="1">
        <v>5</v>
      </c>
      <c r="AF381" s="1" t="s">
        <v>83</v>
      </c>
      <c r="AG381" s="1">
        <v>5</v>
      </c>
      <c r="AH381" s="1">
        <v>5</v>
      </c>
      <c r="AI381" s="1" t="s">
        <v>83</v>
      </c>
      <c r="AJ381" s="1">
        <v>5</v>
      </c>
      <c r="AK381" s="1">
        <v>5</v>
      </c>
      <c r="AL381" s="1" t="s">
        <v>83</v>
      </c>
      <c r="AM381" s="1">
        <v>6</v>
      </c>
      <c r="AN381" s="1">
        <v>6</v>
      </c>
      <c r="AO381" s="1" t="s">
        <v>83</v>
      </c>
      <c r="AP381" s="1">
        <v>6</v>
      </c>
      <c r="AQ381" s="1">
        <v>6</v>
      </c>
      <c r="AR381" s="1" t="s">
        <v>83</v>
      </c>
      <c r="AS381" s="1">
        <v>5</v>
      </c>
      <c r="AT381" s="1">
        <v>5</v>
      </c>
      <c r="AU381" s="1" t="s">
        <v>83</v>
      </c>
      <c r="AV381" s="1">
        <v>4</v>
      </c>
      <c r="AW381" s="1">
        <v>4</v>
      </c>
      <c r="AX381" s="1" t="s">
        <v>83</v>
      </c>
      <c r="AY381" s="1">
        <v>1</v>
      </c>
      <c r="AZ381" s="1">
        <v>0</v>
      </c>
      <c r="BA381" s="1">
        <v>0</v>
      </c>
      <c r="BB381" s="1" t="s">
        <v>83</v>
      </c>
      <c r="BC381" s="1">
        <v>0</v>
      </c>
      <c r="BD381" s="1" t="s">
        <v>2298</v>
      </c>
      <c r="BE381" s="1" t="s">
        <v>98</v>
      </c>
      <c r="BF381" s="1" t="s">
        <v>98</v>
      </c>
      <c r="BG381" s="1" t="s">
        <v>98</v>
      </c>
    </row>
    <row r="382" spans="1:59" x14ac:dyDescent="0.35">
      <c r="A382" s="1">
        <v>381</v>
      </c>
      <c r="B382" s="1">
        <v>45848.994340277779</v>
      </c>
      <c r="C382" s="1" t="s">
        <v>2238</v>
      </c>
      <c r="D382" s="1" t="s">
        <v>2299</v>
      </c>
      <c r="E382" s="1" t="s">
        <v>63</v>
      </c>
      <c r="F382" s="1" t="s">
        <v>2300</v>
      </c>
      <c r="G382" s="1" t="s">
        <v>2301</v>
      </c>
      <c r="H382" s="1" t="s">
        <v>138</v>
      </c>
      <c r="I382" s="1" t="s">
        <v>139</v>
      </c>
      <c r="J382" s="1" t="s">
        <v>2204</v>
      </c>
      <c r="K382" s="1" t="s">
        <v>2302</v>
      </c>
      <c r="L382" s="1" t="s">
        <v>69</v>
      </c>
      <c r="M382" s="1" t="s">
        <v>69</v>
      </c>
      <c r="N382" s="1" t="s">
        <v>69</v>
      </c>
      <c r="O382" s="1" t="s">
        <v>69</v>
      </c>
      <c r="P382" s="1" t="s">
        <v>70</v>
      </c>
      <c r="Q382" s="1" t="s">
        <v>1168</v>
      </c>
      <c r="R382" s="1" t="s">
        <v>2537</v>
      </c>
      <c r="S382" s="1">
        <v>31</v>
      </c>
      <c r="T382" s="1" t="s">
        <v>109</v>
      </c>
      <c r="U382" s="1" t="s">
        <v>93</v>
      </c>
      <c r="V382" s="1" t="s">
        <v>110</v>
      </c>
      <c r="W382" s="1" t="s">
        <v>110</v>
      </c>
      <c r="X382" s="1">
        <v>6</v>
      </c>
      <c r="Y382" s="1">
        <v>6</v>
      </c>
      <c r="Z382" s="1" t="s">
        <v>83</v>
      </c>
      <c r="AA382" s="1">
        <v>6</v>
      </c>
      <c r="AB382" s="1">
        <v>6</v>
      </c>
      <c r="AC382" s="1" t="s">
        <v>83</v>
      </c>
      <c r="AD382" s="1">
        <v>6</v>
      </c>
      <c r="AE382" s="1">
        <v>6</v>
      </c>
      <c r="AF382" s="1" t="s">
        <v>83</v>
      </c>
      <c r="AG382" s="1">
        <v>6</v>
      </c>
      <c r="AH382" s="1">
        <v>6</v>
      </c>
      <c r="AI382" s="1" t="s">
        <v>83</v>
      </c>
      <c r="AJ382" s="1">
        <v>6</v>
      </c>
      <c r="AK382" s="1">
        <v>6</v>
      </c>
      <c r="AL382" s="1" t="s">
        <v>83</v>
      </c>
      <c r="AM382" s="1">
        <v>6</v>
      </c>
      <c r="AN382" s="1">
        <v>6</v>
      </c>
      <c r="AO382" s="1" t="s">
        <v>83</v>
      </c>
      <c r="AP382" s="1">
        <v>6</v>
      </c>
      <c r="AQ382" s="1">
        <v>6</v>
      </c>
      <c r="AR382" s="1" t="s">
        <v>83</v>
      </c>
      <c r="AS382" s="1">
        <v>6</v>
      </c>
      <c r="AT382" s="1">
        <v>6</v>
      </c>
      <c r="AU382" s="1" t="s">
        <v>83</v>
      </c>
      <c r="AV382" s="1">
        <v>6</v>
      </c>
      <c r="AW382" s="1">
        <v>6</v>
      </c>
      <c r="AX382" s="1" t="s">
        <v>83</v>
      </c>
      <c r="AY382" s="1">
        <v>0</v>
      </c>
      <c r="AZ382" s="1">
        <v>0</v>
      </c>
      <c r="BA382" s="1">
        <v>1</v>
      </c>
      <c r="BB382" s="1" t="s">
        <v>83</v>
      </c>
      <c r="BC382" s="1">
        <v>0</v>
      </c>
      <c r="BD382" s="1" t="s">
        <v>98</v>
      </c>
      <c r="BE382" s="1" t="s">
        <v>98</v>
      </c>
      <c r="BF382" s="1" t="s">
        <v>98</v>
      </c>
      <c r="BG382" s="1" t="s">
        <v>98</v>
      </c>
    </row>
    <row r="383" spans="1:59" x14ac:dyDescent="0.35">
      <c r="A383" s="1">
        <v>382</v>
      </c>
      <c r="B383" s="1">
        <v>45848.997141203705</v>
      </c>
      <c r="C383" s="1" t="s">
        <v>2303</v>
      </c>
      <c r="D383" s="1" t="s">
        <v>2304</v>
      </c>
      <c r="E383" s="1" t="s">
        <v>63</v>
      </c>
      <c r="F383" s="1" t="s">
        <v>338</v>
      </c>
      <c r="G383" s="1" t="s">
        <v>2305</v>
      </c>
      <c r="H383" s="1" t="s">
        <v>138</v>
      </c>
      <c r="I383" s="1" t="s">
        <v>139</v>
      </c>
      <c r="J383" s="1" t="s">
        <v>2204</v>
      </c>
      <c r="K383" s="1" t="s">
        <v>2306</v>
      </c>
      <c r="L383" s="1" t="s">
        <v>69</v>
      </c>
      <c r="M383" s="1" t="s">
        <v>69</v>
      </c>
      <c r="N383" s="1" t="s">
        <v>69</v>
      </c>
      <c r="O383" s="1" t="s">
        <v>69</v>
      </c>
      <c r="P383" s="1" t="s">
        <v>70</v>
      </c>
      <c r="Q383" s="1" t="s">
        <v>1168</v>
      </c>
      <c r="R383" s="1" t="s">
        <v>2445</v>
      </c>
      <c r="S383" s="1">
        <v>22</v>
      </c>
      <c r="T383" s="1" t="s">
        <v>72</v>
      </c>
      <c r="U383" s="1" t="s">
        <v>73</v>
      </c>
      <c r="V383" s="1" t="s">
        <v>74</v>
      </c>
      <c r="W383" s="1" t="s">
        <v>74</v>
      </c>
      <c r="X383" s="1">
        <v>6</v>
      </c>
      <c r="Y383" s="1">
        <v>6</v>
      </c>
      <c r="Z383" s="1" t="s">
        <v>83</v>
      </c>
      <c r="AA383" s="1">
        <v>6</v>
      </c>
      <c r="AB383" s="1">
        <v>6</v>
      </c>
      <c r="AC383" s="1" t="s">
        <v>83</v>
      </c>
      <c r="AD383" s="1">
        <v>6</v>
      </c>
      <c r="AE383" s="1">
        <v>6</v>
      </c>
      <c r="AF383" s="1" t="s">
        <v>83</v>
      </c>
      <c r="AG383" s="1">
        <v>6</v>
      </c>
      <c r="AH383" s="1">
        <v>6</v>
      </c>
      <c r="AI383" s="1" t="s">
        <v>83</v>
      </c>
      <c r="AJ383" s="1">
        <v>6</v>
      </c>
      <c r="AK383" s="1">
        <v>6</v>
      </c>
      <c r="AL383" s="1" t="s">
        <v>83</v>
      </c>
      <c r="AM383" s="1">
        <v>6</v>
      </c>
      <c r="AN383" s="1">
        <v>6</v>
      </c>
      <c r="AO383" s="1" t="s">
        <v>83</v>
      </c>
      <c r="AP383" s="1">
        <v>6</v>
      </c>
      <c r="AQ383" s="1">
        <v>6</v>
      </c>
      <c r="AR383" s="1" t="s">
        <v>83</v>
      </c>
      <c r="AS383" s="1">
        <v>6</v>
      </c>
      <c r="AT383" s="1">
        <v>6</v>
      </c>
      <c r="AU383" s="1" t="s">
        <v>83</v>
      </c>
      <c r="AV383" s="1">
        <v>6</v>
      </c>
      <c r="AW383" s="1">
        <v>6</v>
      </c>
      <c r="AX383" s="1" t="s">
        <v>83</v>
      </c>
      <c r="AY383" s="1">
        <v>1</v>
      </c>
      <c r="AZ383" s="1">
        <v>0</v>
      </c>
      <c r="BA383" s="1">
        <v>0</v>
      </c>
      <c r="BB383" s="1" t="s">
        <v>83</v>
      </c>
      <c r="BC383" s="1">
        <v>0</v>
      </c>
      <c r="BD383" s="1" t="s">
        <v>98</v>
      </c>
      <c r="BE383" s="1" t="s">
        <v>98</v>
      </c>
      <c r="BF383" s="1" t="s">
        <v>98</v>
      </c>
      <c r="BG383" s="1" t="s">
        <v>98</v>
      </c>
    </row>
    <row r="384" spans="1:59" x14ac:dyDescent="0.35">
      <c r="A384" s="1">
        <v>383</v>
      </c>
      <c r="B384" s="1">
        <v>45849</v>
      </c>
      <c r="C384" s="1" t="s">
        <v>2307</v>
      </c>
      <c r="D384" s="1" t="s">
        <v>2308</v>
      </c>
      <c r="E384" s="1" t="s">
        <v>63</v>
      </c>
      <c r="F384" s="1" t="s">
        <v>2308</v>
      </c>
      <c r="G384" s="1" t="s">
        <v>2309</v>
      </c>
      <c r="H384" s="1" t="s">
        <v>138</v>
      </c>
      <c r="I384" s="1" t="s">
        <v>139</v>
      </c>
      <c r="J384" s="1" t="s">
        <v>2204</v>
      </c>
      <c r="K384" s="1" t="s">
        <v>2310</v>
      </c>
      <c r="L384" s="1" t="s">
        <v>69</v>
      </c>
      <c r="M384" s="1" t="s">
        <v>69</v>
      </c>
      <c r="N384" s="1" t="s">
        <v>69</v>
      </c>
      <c r="O384" s="1" t="s">
        <v>69</v>
      </c>
      <c r="P384" s="1" t="s">
        <v>70</v>
      </c>
      <c r="Q384" s="1" t="s">
        <v>1168</v>
      </c>
      <c r="R384" s="1" t="s">
        <v>2538</v>
      </c>
      <c r="S384" s="1">
        <v>25</v>
      </c>
      <c r="T384" s="1" t="s">
        <v>72</v>
      </c>
      <c r="U384" s="1" t="s">
        <v>93</v>
      </c>
      <c r="V384" s="1" t="s">
        <v>2311</v>
      </c>
      <c r="W384" s="1" t="s">
        <v>246</v>
      </c>
      <c r="X384" s="1">
        <v>5</v>
      </c>
      <c r="Y384" s="1">
        <v>5</v>
      </c>
      <c r="Z384" s="1" t="s">
        <v>83</v>
      </c>
      <c r="AA384" s="1">
        <v>5</v>
      </c>
      <c r="AB384" s="1">
        <v>5</v>
      </c>
      <c r="AC384" s="1" t="s">
        <v>83</v>
      </c>
      <c r="AD384" s="1">
        <v>5</v>
      </c>
      <c r="AE384" s="1">
        <v>5</v>
      </c>
      <c r="AF384" s="1" t="s">
        <v>83</v>
      </c>
      <c r="AG384" s="1">
        <v>5</v>
      </c>
      <c r="AH384" s="1">
        <v>5</v>
      </c>
      <c r="AI384" s="1" t="s">
        <v>83</v>
      </c>
      <c r="AJ384" s="1">
        <v>5</v>
      </c>
      <c r="AK384" s="1">
        <v>5</v>
      </c>
      <c r="AL384" s="1" t="s">
        <v>83</v>
      </c>
      <c r="AM384" s="1">
        <v>5</v>
      </c>
      <c r="AN384" s="1">
        <v>5</v>
      </c>
      <c r="AO384" s="1" t="s">
        <v>83</v>
      </c>
      <c r="AP384" s="1">
        <v>5</v>
      </c>
      <c r="AQ384" s="1">
        <v>5</v>
      </c>
      <c r="AR384" s="1" t="s">
        <v>83</v>
      </c>
      <c r="AS384" s="1">
        <v>5</v>
      </c>
      <c r="AT384" s="1">
        <v>5</v>
      </c>
      <c r="AU384" s="1" t="s">
        <v>83</v>
      </c>
      <c r="AV384" s="1">
        <v>5</v>
      </c>
      <c r="AW384" s="1">
        <v>5</v>
      </c>
      <c r="AX384" s="1" t="s">
        <v>83</v>
      </c>
      <c r="AY384" s="1">
        <v>2</v>
      </c>
      <c r="AZ384" s="1">
        <v>0</v>
      </c>
      <c r="BA384" s="1">
        <v>0</v>
      </c>
      <c r="BB384" s="1" t="s">
        <v>83</v>
      </c>
      <c r="BC384" s="1">
        <v>0</v>
      </c>
      <c r="BD384" s="1" t="s">
        <v>98</v>
      </c>
      <c r="BE384" s="1" t="s">
        <v>98</v>
      </c>
      <c r="BF384" s="1" t="s">
        <v>98</v>
      </c>
      <c r="BG384" s="1" t="s">
        <v>2312</v>
      </c>
    </row>
    <row r="385" spans="1:59" x14ac:dyDescent="0.35">
      <c r="A385" s="1">
        <v>384</v>
      </c>
      <c r="B385" s="1">
        <v>45849.002928240741</v>
      </c>
      <c r="C385" s="1" t="s">
        <v>2313</v>
      </c>
      <c r="D385" s="1" t="s">
        <v>2314</v>
      </c>
      <c r="E385" s="1" t="s">
        <v>63</v>
      </c>
      <c r="F385" s="1" t="s">
        <v>757</v>
      </c>
      <c r="G385" s="1" t="s">
        <v>2315</v>
      </c>
      <c r="H385" s="1" t="s">
        <v>138</v>
      </c>
      <c r="I385" s="1" t="s">
        <v>139</v>
      </c>
      <c r="J385" s="1" t="s">
        <v>2204</v>
      </c>
      <c r="K385" s="1" t="s">
        <v>2316</v>
      </c>
      <c r="L385" s="1" t="s">
        <v>69</v>
      </c>
      <c r="M385" s="1" t="s">
        <v>69</v>
      </c>
      <c r="N385" s="1" t="s">
        <v>69</v>
      </c>
      <c r="O385" s="1" t="s">
        <v>69</v>
      </c>
      <c r="P385" s="1" t="s">
        <v>70</v>
      </c>
      <c r="Q385" s="1" t="s">
        <v>1168</v>
      </c>
      <c r="R385" s="1" t="s">
        <v>2435</v>
      </c>
      <c r="S385" s="1">
        <v>27</v>
      </c>
      <c r="T385" s="1" t="s">
        <v>92</v>
      </c>
      <c r="U385" s="1" t="s">
        <v>93</v>
      </c>
      <c r="V385" s="1" t="s">
        <v>74</v>
      </c>
      <c r="W385" s="1" t="s">
        <v>74</v>
      </c>
      <c r="X385" s="1">
        <v>6</v>
      </c>
      <c r="Y385" s="1">
        <v>6</v>
      </c>
      <c r="Z385" s="1" t="s">
        <v>83</v>
      </c>
      <c r="AA385" s="1">
        <v>6</v>
      </c>
      <c r="AB385" s="1">
        <v>6</v>
      </c>
      <c r="AC385" s="1" t="s">
        <v>83</v>
      </c>
      <c r="AD385" s="1">
        <v>5</v>
      </c>
      <c r="AE385" s="1">
        <v>5</v>
      </c>
      <c r="AF385" s="1" t="s">
        <v>83</v>
      </c>
      <c r="AG385" s="1">
        <v>5</v>
      </c>
      <c r="AH385" s="1">
        <v>5</v>
      </c>
      <c r="AI385" s="1" t="s">
        <v>83</v>
      </c>
      <c r="AJ385" s="1">
        <v>6</v>
      </c>
      <c r="AK385" s="1">
        <v>6</v>
      </c>
      <c r="AL385" s="1" t="s">
        <v>83</v>
      </c>
      <c r="AM385" s="1">
        <v>5</v>
      </c>
      <c r="AN385" s="1">
        <v>6</v>
      </c>
      <c r="AO385" s="1" t="s">
        <v>83</v>
      </c>
      <c r="AP385" s="1">
        <v>6</v>
      </c>
      <c r="AQ385" s="1">
        <v>6</v>
      </c>
      <c r="AR385" s="1" t="s">
        <v>83</v>
      </c>
      <c r="AS385" s="1">
        <v>6</v>
      </c>
      <c r="AT385" s="1">
        <v>6</v>
      </c>
      <c r="AU385" s="1" t="s">
        <v>83</v>
      </c>
      <c r="AV385" s="1">
        <v>6</v>
      </c>
      <c r="AW385" s="1">
        <v>6</v>
      </c>
      <c r="AX385" s="1" t="s">
        <v>83</v>
      </c>
      <c r="AY385" s="1">
        <v>1</v>
      </c>
      <c r="AZ385" s="1">
        <v>0</v>
      </c>
      <c r="BA385" s="1">
        <v>0</v>
      </c>
      <c r="BB385" s="1" t="s">
        <v>83</v>
      </c>
      <c r="BC385" s="1">
        <v>0</v>
      </c>
      <c r="BD385" s="1" t="s">
        <v>98</v>
      </c>
      <c r="BE385" s="1" t="s">
        <v>263</v>
      </c>
      <c r="BF385" s="1" t="s">
        <v>98</v>
      </c>
      <c r="BG385" s="1" t="s">
        <v>98</v>
      </c>
    </row>
    <row r="386" spans="1:59" x14ac:dyDescent="0.35">
      <c r="A386" s="1">
        <v>385</v>
      </c>
      <c r="B386" s="1">
        <v>45849.259097222224</v>
      </c>
      <c r="C386" s="1" t="s">
        <v>2317</v>
      </c>
      <c r="D386" s="1" t="s">
        <v>2318</v>
      </c>
      <c r="E386" s="1" t="s">
        <v>63</v>
      </c>
      <c r="F386" s="1" t="s">
        <v>149</v>
      </c>
      <c r="G386" s="1" t="s">
        <v>2319</v>
      </c>
      <c r="H386" s="1" t="s">
        <v>517</v>
      </c>
      <c r="I386" s="1" t="s">
        <v>518</v>
      </c>
      <c r="J386" s="1" t="s">
        <v>2320</v>
      </c>
      <c r="K386" s="1" t="s">
        <v>900</v>
      </c>
      <c r="L386" s="1" t="s">
        <v>69</v>
      </c>
      <c r="M386" s="1" t="s">
        <v>69</v>
      </c>
      <c r="N386" s="1" t="s">
        <v>69</v>
      </c>
      <c r="O386" s="1" t="s">
        <v>69</v>
      </c>
      <c r="P386" s="1" t="s">
        <v>70</v>
      </c>
      <c r="Q386" s="1" t="s">
        <v>1168</v>
      </c>
      <c r="R386" s="1" t="s">
        <v>483</v>
      </c>
      <c r="S386" s="1">
        <v>28</v>
      </c>
      <c r="T386" s="1" t="s">
        <v>92</v>
      </c>
      <c r="U386" s="1" t="s">
        <v>93</v>
      </c>
      <c r="V386" s="1" t="s">
        <v>232</v>
      </c>
      <c r="W386" s="1" t="s">
        <v>232</v>
      </c>
      <c r="X386" s="1">
        <v>5</v>
      </c>
      <c r="Y386" s="1">
        <v>6</v>
      </c>
      <c r="Z386" s="1" t="s">
        <v>83</v>
      </c>
      <c r="AA386" s="1">
        <v>6</v>
      </c>
      <c r="AB386" s="1">
        <v>6</v>
      </c>
      <c r="AC386" s="1" t="s">
        <v>83</v>
      </c>
      <c r="AD386" s="1">
        <v>6</v>
      </c>
      <c r="AE386" s="1">
        <v>6</v>
      </c>
      <c r="AF386" s="1" t="s">
        <v>83</v>
      </c>
      <c r="AG386" s="1">
        <v>0</v>
      </c>
      <c r="AH386" s="1">
        <v>0</v>
      </c>
      <c r="AI386" s="1" t="s">
        <v>83</v>
      </c>
      <c r="AJ386" s="1">
        <v>6</v>
      </c>
      <c r="AK386" s="1">
        <v>6</v>
      </c>
      <c r="AL386" s="1" t="s">
        <v>83</v>
      </c>
      <c r="AM386" s="1">
        <v>6</v>
      </c>
      <c r="AN386" s="1">
        <v>6</v>
      </c>
      <c r="AO386" s="1" t="s">
        <v>83</v>
      </c>
      <c r="AP386" s="1">
        <v>6</v>
      </c>
      <c r="AQ386" s="1">
        <v>6</v>
      </c>
      <c r="AR386" s="1" t="s">
        <v>83</v>
      </c>
      <c r="AS386" s="1">
        <v>6</v>
      </c>
      <c r="AT386" s="1">
        <v>6</v>
      </c>
      <c r="AU386" s="1" t="s">
        <v>83</v>
      </c>
      <c r="AV386" s="1">
        <v>5</v>
      </c>
      <c r="AW386" s="1">
        <v>6</v>
      </c>
      <c r="AX386" s="1" t="s">
        <v>83</v>
      </c>
      <c r="AY386" s="1">
        <v>0</v>
      </c>
      <c r="AZ386" s="1">
        <v>0</v>
      </c>
      <c r="BA386" s="1">
        <v>1</v>
      </c>
      <c r="BB386" s="1" t="s">
        <v>83</v>
      </c>
      <c r="BC386" s="1">
        <v>0</v>
      </c>
      <c r="BD386" s="1" t="s">
        <v>503</v>
      </c>
      <c r="BE386" s="1" t="s">
        <v>503</v>
      </c>
      <c r="BF386" s="1" t="s">
        <v>503</v>
      </c>
      <c r="BG386" s="1" t="s">
        <v>83</v>
      </c>
    </row>
    <row r="387" spans="1:59" x14ac:dyDescent="0.35">
      <c r="A387" s="1">
        <v>386</v>
      </c>
      <c r="B387" s="1">
        <v>45849.262418981481</v>
      </c>
      <c r="C387" s="1" t="s">
        <v>2321</v>
      </c>
      <c r="D387" s="1" t="s">
        <v>2322</v>
      </c>
      <c r="E387" s="1" t="s">
        <v>63</v>
      </c>
      <c r="F387" s="1" t="s">
        <v>2323</v>
      </c>
      <c r="G387" s="1" t="s">
        <v>2324</v>
      </c>
      <c r="H387" s="1" t="s">
        <v>517</v>
      </c>
      <c r="I387" s="1" t="s">
        <v>518</v>
      </c>
      <c r="J387" s="1" t="s">
        <v>2320</v>
      </c>
      <c r="K387" s="1" t="s">
        <v>2325</v>
      </c>
      <c r="L387" s="1" t="s">
        <v>69</v>
      </c>
      <c r="M387" s="1" t="s">
        <v>69</v>
      </c>
      <c r="N387" s="1" t="s">
        <v>69</v>
      </c>
      <c r="O387" s="1" t="s">
        <v>69</v>
      </c>
      <c r="P387" s="1" t="s">
        <v>106</v>
      </c>
      <c r="Q387" s="1" t="s">
        <v>1168</v>
      </c>
      <c r="R387" s="1" t="s">
        <v>1862</v>
      </c>
      <c r="S387" s="1">
        <v>35</v>
      </c>
      <c r="T387" s="1" t="s">
        <v>109</v>
      </c>
      <c r="U387" s="1" t="s">
        <v>73</v>
      </c>
      <c r="V387" s="1" t="s">
        <v>110</v>
      </c>
      <c r="W387" s="1" t="s">
        <v>110</v>
      </c>
      <c r="X387" s="1">
        <v>5</v>
      </c>
      <c r="Y387" s="1">
        <v>6</v>
      </c>
      <c r="Z387" s="1" t="s">
        <v>83</v>
      </c>
      <c r="AA387" s="1">
        <v>6</v>
      </c>
      <c r="AB387" s="1">
        <v>6</v>
      </c>
      <c r="AC387" s="1" t="s">
        <v>83</v>
      </c>
      <c r="AD387" s="1">
        <v>6</v>
      </c>
      <c r="AE387" s="1">
        <v>6</v>
      </c>
      <c r="AF387" s="1" t="s">
        <v>83</v>
      </c>
      <c r="AG387" s="1">
        <v>0</v>
      </c>
      <c r="AH387" s="1">
        <v>0</v>
      </c>
      <c r="AI387" s="1" t="s">
        <v>83</v>
      </c>
      <c r="AJ387" s="1">
        <v>6</v>
      </c>
      <c r="AK387" s="1">
        <v>6</v>
      </c>
      <c r="AL387" s="1" t="s">
        <v>83</v>
      </c>
      <c r="AM387" s="1">
        <v>6</v>
      </c>
      <c r="AN387" s="1">
        <v>6</v>
      </c>
      <c r="AO387" s="1" t="s">
        <v>83</v>
      </c>
      <c r="AP387" s="1">
        <v>6</v>
      </c>
      <c r="AQ387" s="1">
        <v>6</v>
      </c>
      <c r="AR387" s="1" t="s">
        <v>83</v>
      </c>
      <c r="AS387" s="1">
        <v>6</v>
      </c>
      <c r="AT387" s="1">
        <v>6</v>
      </c>
      <c r="AU387" s="1" t="s">
        <v>83</v>
      </c>
      <c r="AV387" s="1">
        <v>6</v>
      </c>
      <c r="AW387" s="1">
        <v>6</v>
      </c>
      <c r="AX387" s="1" t="s">
        <v>83</v>
      </c>
      <c r="AY387" s="1">
        <v>0</v>
      </c>
      <c r="AZ387" s="1">
        <v>0</v>
      </c>
      <c r="BA387" s="1">
        <v>0</v>
      </c>
      <c r="BB387" s="1" t="s">
        <v>144</v>
      </c>
      <c r="BC387" s="1">
        <v>3</v>
      </c>
      <c r="BD387" s="1" t="s">
        <v>528</v>
      </c>
      <c r="BE387" s="1" t="s">
        <v>528</v>
      </c>
      <c r="BF387" s="1" t="s">
        <v>528</v>
      </c>
      <c r="BG387" s="1" t="s">
        <v>83</v>
      </c>
    </row>
    <row r="388" spans="1:59" x14ac:dyDescent="0.35">
      <c r="A388" s="1">
        <v>387</v>
      </c>
      <c r="B388" s="1">
        <v>45849.265856481485</v>
      </c>
      <c r="C388" s="1" t="s">
        <v>2326</v>
      </c>
      <c r="D388" s="1" t="s">
        <v>2327</v>
      </c>
      <c r="E388" s="1" t="s">
        <v>63</v>
      </c>
      <c r="F388" s="1" t="s">
        <v>86</v>
      </c>
      <c r="G388" s="1" t="s">
        <v>2328</v>
      </c>
      <c r="H388" s="1" t="s">
        <v>517</v>
      </c>
      <c r="I388" s="1" t="s">
        <v>518</v>
      </c>
      <c r="J388" s="1" t="s">
        <v>2320</v>
      </c>
      <c r="K388" s="1" t="s">
        <v>2329</v>
      </c>
      <c r="L388" s="1" t="s">
        <v>69</v>
      </c>
      <c r="M388" s="1" t="s">
        <v>69</v>
      </c>
      <c r="N388" s="1" t="s">
        <v>69</v>
      </c>
      <c r="O388" s="1" t="s">
        <v>69</v>
      </c>
      <c r="P388" s="1" t="s">
        <v>106</v>
      </c>
      <c r="Q388" s="1" t="s">
        <v>1168</v>
      </c>
      <c r="R388" s="1" t="s">
        <v>546</v>
      </c>
      <c r="S388" s="1">
        <v>31</v>
      </c>
      <c r="T388" s="1" t="s">
        <v>109</v>
      </c>
      <c r="U388" s="1" t="s">
        <v>93</v>
      </c>
      <c r="V388" s="1" t="s">
        <v>74</v>
      </c>
      <c r="W388" s="1" t="s">
        <v>74</v>
      </c>
      <c r="X388" s="1">
        <v>5</v>
      </c>
      <c r="Y388" s="1">
        <v>5</v>
      </c>
      <c r="Z388" s="1" t="s">
        <v>83</v>
      </c>
      <c r="AA388" s="1">
        <v>5</v>
      </c>
      <c r="AB388" s="1">
        <v>6</v>
      </c>
      <c r="AC388" s="1" t="s">
        <v>83</v>
      </c>
      <c r="AD388" s="1">
        <v>5</v>
      </c>
      <c r="AE388" s="1">
        <v>5</v>
      </c>
      <c r="AF388" s="1" t="s">
        <v>83</v>
      </c>
      <c r="AG388" s="1">
        <v>0</v>
      </c>
      <c r="AH388" s="1">
        <v>0</v>
      </c>
      <c r="AI388" s="1" t="s">
        <v>83</v>
      </c>
      <c r="AJ388" s="1">
        <v>5</v>
      </c>
      <c r="AK388" s="1">
        <v>5</v>
      </c>
      <c r="AL388" s="1" t="s">
        <v>83</v>
      </c>
      <c r="AM388" s="1">
        <v>5</v>
      </c>
      <c r="AN388" s="1">
        <v>5</v>
      </c>
      <c r="AO388" s="1" t="s">
        <v>83</v>
      </c>
      <c r="AP388" s="1">
        <v>6</v>
      </c>
      <c r="AQ388" s="1">
        <v>5</v>
      </c>
      <c r="AR388" s="1" t="s">
        <v>83</v>
      </c>
      <c r="AS388" s="1">
        <v>5</v>
      </c>
      <c r="AT388" s="1">
        <v>5</v>
      </c>
      <c r="AU388" s="1" t="s">
        <v>83</v>
      </c>
      <c r="AV388" s="1">
        <v>6</v>
      </c>
      <c r="AW388" s="1">
        <v>5</v>
      </c>
      <c r="AX388" s="1" t="s">
        <v>83</v>
      </c>
      <c r="AY388" s="1">
        <v>0</v>
      </c>
      <c r="AZ388" s="1">
        <v>0</v>
      </c>
      <c r="BA388" s="1">
        <v>2</v>
      </c>
      <c r="BB388" s="1" t="s">
        <v>83</v>
      </c>
      <c r="BC388" s="1">
        <v>0</v>
      </c>
      <c r="BD388" s="1" t="s">
        <v>503</v>
      </c>
      <c r="BE388" s="1" t="s">
        <v>503</v>
      </c>
      <c r="BF388" s="1" t="s">
        <v>503</v>
      </c>
      <c r="BG388" s="1" t="s">
        <v>83</v>
      </c>
    </row>
    <row r="389" spans="1:59" x14ac:dyDescent="0.35">
      <c r="A389" s="1">
        <v>388</v>
      </c>
      <c r="B389" s="1">
        <v>45849.286400462966</v>
      </c>
      <c r="C389" s="1" t="s">
        <v>2330</v>
      </c>
      <c r="D389" s="1" t="s">
        <v>2331</v>
      </c>
      <c r="E389" s="1" t="s">
        <v>179</v>
      </c>
      <c r="F389" s="1" t="s">
        <v>63</v>
      </c>
      <c r="G389" s="1" t="s">
        <v>2332</v>
      </c>
      <c r="H389" s="1" t="s">
        <v>517</v>
      </c>
      <c r="I389" s="1" t="s">
        <v>518</v>
      </c>
      <c r="J389" s="1" t="s">
        <v>2320</v>
      </c>
      <c r="K389" s="1" t="s">
        <v>2333</v>
      </c>
      <c r="L389" s="1" t="s">
        <v>69</v>
      </c>
      <c r="M389" s="1" t="s">
        <v>69</v>
      </c>
      <c r="N389" s="1" t="s">
        <v>69</v>
      </c>
      <c r="O389" s="1" t="s">
        <v>69</v>
      </c>
      <c r="P389" s="1" t="s">
        <v>70</v>
      </c>
      <c r="Q389" s="1" t="s">
        <v>1168</v>
      </c>
      <c r="R389" s="1" t="s">
        <v>546</v>
      </c>
      <c r="S389" s="1">
        <v>31</v>
      </c>
      <c r="T389" s="1" t="s">
        <v>109</v>
      </c>
      <c r="U389" s="1" t="s">
        <v>93</v>
      </c>
      <c r="V389" s="1" t="s">
        <v>232</v>
      </c>
      <c r="W389" s="1" t="s">
        <v>232</v>
      </c>
      <c r="X389" s="1">
        <v>6</v>
      </c>
      <c r="Y389" s="1">
        <v>6</v>
      </c>
      <c r="Z389" s="1" t="s">
        <v>83</v>
      </c>
      <c r="AA389" s="1">
        <v>6</v>
      </c>
      <c r="AB389" s="1">
        <v>6</v>
      </c>
      <c r="AC389" s="1" t="s">
        <v>83</v>
      </c>
      <c r="AD389" s="1">
        <v>6</v>
      </c>
      <c r="AE389" s="1">
        <v>6</v>
      </c>
      <c r="AF389" s="1" t="s">
        <v>83</v>
      </c>
      <c r="AG389" s="1">
        <v>0</v>
      </c>
      <c r="AH389" s="1">
        <v>0</v>
      </c>
      <c r="AI389" s="1" t="s">
        <v>83</v>
      </c>
      <c r="AJ389" s="1">
        <v>6</v>
      </c>
      <c r="AK389" s="1">
        <v>6</v>
      </c>
      <c r="AL389" s="1" t="s">
        <v>83</v>
      </c>
      <c r="AM389" s="1">
        <v>6</v>
      </c>
      <c r="AN389" s="1">
        <v>6</v>
      </c>
      <c r="AO389" s="1" t="s">
        <v>83</v>
      </c>
      <c r="AP389" s="1">
        <v>6</v>
      </c>
      <c r="AQ389" s="1">
        <v>6</v>
      </c>
      <c r="AR389" s="1" t="s">
        <v>83</v>
      </c>
      <c r="AS389" s="1">
        <v>6</v>
      </c>
      <c r="AT389" s="1">
        <v>6</v>
      </c>
      <c r="AU389" s="1" t="s">
        <v>83</v>
      </c>
      <c r="AV389" s="1">
        <v>6</v>
      </c>
      <c r="AW389" s="1">
        <v>6</v>
      </c>
      <c r="AX389" s="1" t="s">
        <v>83</v>
      </c>
      <c r="AY389" s="1">
        <v>0</v>
      </c>
      <c r="AZ389" s="1">
        <v>0</v>
      </c>
      <c r="BA389" s="1">
        <v>1</v>
      </c>
      <c r="BB389" s="1" t="s">
        <v>83</v>
      </c>
      <c r="BC389" s="1">
        <v>0</v>
      </c>
      <c r="BD389" s="1" t="s">
        <v>248</v>
      </c>
      <c r="BE389" s="1" t="s">
        <v>1305</v>
      </c>
      <c r="BF389" s="1" t="s">
        <v>2334</v>
      </c>
      <c r="BG389" s="1" t="s">
        <v>83</v>
      </c>
    </row>
    <row r="390" spans="1:59" x14ac:dyDescent="0.35">
      <c r="A390" s="1">
        <v>389</v>
      </c>
      <c r="B390" s="1">
        <v>45849.289398148147</v>
      </c>
      <c r="C390" s="1" t="s">
        <v>2335</v>
      </c>
      <c r="D390" s="1" t="s">
        <v>2336</v>
      </c>
      <c r="E390" s="1" t="s">
        <v>63</v>
      </c>
      <c r="F390" s="1" t="s">
        <v>63</v>
      </c>
      <c r="G390" s="1" t="s">
        <v>2337</v>
      </c>
      <c r="H390" s="1" t="s">
        <v>517</v>
      </c>
      <c r="I390" s="1" t="s">
        <v>518</v>
      </c>
      <c r="J390" s="1" t="s">
        <v>2320</v>
      </c>
      <c r="K390" s="1" t="s">
        <v>2338</v>
      </c>
      <c r="L390" s="1" t="s">
        <v>69</v>
      </c>
      <c r="M390" s="1" t="s">
        <v>69</v>
      </c>
      <c r="N390" s="1" t="s">
        <v>69</v>
      </c>
      <c r="O390" s="1" t="s">
        <v>69</v>
      </c>
      <c r="P390" s="1" t="s">
        <v>70</v>
      </c>
      <c r="Q390" s="1" t="s">
        <v>1168</v>
      </c>
      <c r="R390" s="1" t="s">
        <v>483</v>
      </c>
      <c r="S390" s="1">
        <v>28</v>
      </c>
      <c r="T390" s="1" t="s">
        <v>92</v>
      </c>
      <c r="U390" s="1" t="s">
        <v>93</v>
      </c>
      <c r="V390" s="1" t="s">
        <v>232</v>
      </c>
      <c r="W390" s="1" t="s">
        <v>232</v>
      </c>
      <c r="X390" s="1">
        <v>5</v>
      </c>
      <c r="Y390" s="1">
        <v>6</v>
      </c>
      <c r="Z390" s="1" t="s">
        <v>83</v>
      </c>
      <c r="AA390" s="1">
        <v>6</v>
      </c>
      <c r="AB390" s="1">
        <v>6</v>
      </c>
      <c r="AC390" s="1" t="s">
        <v>83</v>
      </c>
      <c r="AD390" s="1">
        <v>5</v>
      </c>
      <c r="AE390" s="1">
        <v>5</v>
      </c>
      <c r="AF390" s="1" t="s">
        <v>83</v>
      </c>
      <c r="AG390" s="1">
        <v>0</v>
      </c>
      <c r="AH390" s="1">
        <v>0</v>
      </c>
      <c r="AI390" s="1" t="s">
        <v>83</v>
      </c>
      <c r="AJ390" s="1">
        <v>6</v>
      </c>
      <c r="AK390" s="1">
        <v>6</v>
      </c>
      <c r="AL390" s="1" t="s">
        <v>83</v>
      </c>
      <c r="AM390" s="1">
        <v>6</v>
      </c>
      <c r="AN390" s="1">
        <v>6</v>
      </c>
      <c r="AO390" s="1" t="s">
        <v>83</v>
      </c>
      <c r="AP390" s="1">
        <v>5</v>
      </c>
      <c r="AQ390" s="1">
        <v>6</v>
      </c>
      <c r="AR390" s="1" t="s">
        <v>83</v>
      </c>
      <c r="AS390" s="1">
        <v>6</v>
      </c>
      <c r="AT390" s="1">
        <v>6</v>
      </c>
      <c r="AU390" s="1" t="s">
        <v>83</v>
      </c>
      <c r="AV390" s="1">
        <v>5</v>
      </c>
      <c r="AW390" s="1">
        <v>6</v>
      </c>
      <c r="AX390" s="1" t="s">
        <v>83</v>
      </c>
      <c r="AY390" s="1">
        <v>0</v>
      </c>
      <c r="AZ390" s="1">
        <v>0</v>
      </c>
      <c r="BA390" s="1">
        <v>1</v>
      </c>
      <c r="BB390" s="1" t="s">
        <v>83</v>
      </c>
      <c r="BC390" s="1">
        <v>0</v>
      </c>
      <c r="BD390" s="1" t="s">
        <v>2339</v>
      </c>
      <c r="BE390" s="1" t="s">
        <v>528</v>
      </c>
      <c r="BF390" s="1" t="s">
        <v>503</v>
      </c>
      <c r="BG390" s="1" t="s">
        <v>83</v>
      </c>
    </row>
    <row r="391" spans="1:59" x14ac:dyDescent="0.35">
      <c r="A391" s="1">
        <v>390</v>
      </c>
      <c r="B391" s="1">
        <v>45849.292939814812</v>
      </c>
      <c r="C391" s="1" t="s">
        <v>2340</v>
      </c>
      <c r="D391" s="1" t="s">
        <v>2341</v>
      </c>
      <c r="E391" s="1" t="s">
        <v>63</v>
      </c>
      <c r="F391" s="1" t="s">
        <v>136</v>
      </c>
      <c r="G391" s="1" t="s">
        <v>2342</v>
      </c>
      <c r="H391" s="1" t="s">
        <v>517</v>
      </c>
      <c r="I391" s="1" t="s">
        <v>518</v>
      </c>
      <c r="J391" s="1" t="s">
        <v>2320</v>
      </c>
      <c r="K391" s="1" t="s">
        <v>2343</v>
      </c>
      <c r="L391" s="1" t="s">
        <v>69</v>
      </c>
      <c r="M391" s="1" t="s">
        <v>69</v>
      </c>
      <c r="N391" s="1" t="s">
        <v>69</v>
      </c>
      <c r="O391" s="1" t="s">
        <v>69</v>
      </c>
      <c r="P391" s="1" t="s">
        <v>106</v>
      </c>
      <c r="Q391" s="1" t="s">
        <v>1180</v>
      </c>
      <c r="R391" s="1" t="s">
        <v>272</v>
      </c>
      <c r="S391" s="1">
        <v>43</v>
      </c>
      <c r="T391" s="1" t="s">
        <v>197</v>
      </c>
      <c r="U391" s="1" t="s">
        <v>93</v>
      </c>
      <c r="V391" s="1" t="s">
        <v>74</v>
      </c>
      <c r="W391" s="1" t="s">
        <v>74</v>
      </c>
      <c r="X391" s="1">
        <v>5</v>
      </c>
      <c r="Y391" s="1">
        <v>5</v>
      </c>
      <c r="Z391" s="1" t="s">
        <v>83</v>
      </c>
      <c r="AA391" s="1">
        <v>5</v>
      </c>
      <c r="AB391" s="1">
        <v>5</v>
      </c>
      <c r="AC391" s="1" t="s">
        <v>83</v>
      </c>
      <c r="AD391" s="1">
        <v>6</v>
      </c>
      <c r="AE391" s="1">
        <v>6</v>
      </c>
      <c r="AF391" s="1" t="s">
        <v>83</v>
      </c>
      <c r="AG391" s="1">
        <v>0</v>
      </c>
      <c r="AH391" s="1">
        <v>0</v>
      </c>
      <c r="AI391" s="1" t="s">
        <v>83</v>
      </c>
      <c r="AJ391" s="1">
        <v>5</v>
      </c>
      <c r="AK391" s="1">
        <v>5</v>
      </c>
      <c r="AL391" s="1" t="s">
        <v>83</v>
      </c>
      <c r="AM391" s="1">
        <v>5</v>
      </c>
      <c r="AN391" s="1">
        <v>5</v>
      </c>
      <c r="AO391" s="1" t="s">
        <v>83</v>
      </c>
      <c r="AP391" s="1">
        <v>6</v>
      </c>
      <c r="AQ391" s="1">
        <v>6</v>
      </c>
      <c r="AR391" s="1" t="s">
        <v>83</v>
      </c>
      <c r="AS391" s="1">
        <v>5</v>
      </c>
      <c r="AT391" s="1">
        <v>5</v>
      </c>
      <c r="AU391" s="1" t="s">
        <v>83</v>
      </c>
      <c r="AV391" s="1">
        <v>5</v>
      </c>
      <c r="AW391" s="1">
        <v>5</v>
      </c>
      <c r="AX391" s="1" t="s">
        <v>83</v>
      </c>
      <c r="AY391" s="1">
        <v>0</v>
      </c>
      <c r="AZ391" s="1">
        <v>0</v>
      </c>
      <c r="BA391" s="1">
        <v>0</v>
      </c>
      <c r="BB391" s="1" t="s">
        <v>2344</v>
      </c>
      <c r="BC391" s="1">
        <v>1</v>
      </c>
      <c r="BD391" s="1" t="s">
        <v>248</v>
      </c>
      <c r="BE391" s="1" t="s">
        <v>248</v>
      </c>
      <c r="BF391" s="1" t="s">
        <v>2345</v>
      </c>
      <c r="BG391" s="1" t="s">
        <v>83</v>
      </c>
    </row>
    <row r="392" spans="1:59" x14ac:dyDescent="0.35">
      <c r="A392" s="1">
        <v>391</v>
      </c>
      <c r="B392" s="1">
        <v>45849.297175925924</v>
      </c>
      <c r="C392" s="1" t="s">
        <v>2346</v>
      </c>
      <c r="D392" s="1" t="s">
        <v>2347</v>
      </c>
      <c r="E392" s="1" t="s">
        <v>1030</v>
      </c>
      <c r="F392" s="1" t="s">
        <v>2348</v>
      </c>
      <c r="G392" s="1" t="s">
        <v>2270</v>
      </c>
      <c r="H392" s="1" t="s">
        <v>517</v>
      </c>
      <c r="I392" s="1" t="s">
        <v>518</v>
      </c>
      <c r="J392" s="1" t="s">
        <v>2320</v>
      </c>
      <c r="K392" s="1" t="s">
        <v>2349</v>
      </c>
      <c r="L392" s="1" t="s">
        <v>69</v>
      </c>
      <c r="M392" s="1" t="s">
        <v>69</v>
      </c>
      <c r="N392" s="1" t="s">
        <v>69</v>
      </c>
      <c r="O392" s="1" t="s">
        <v>69</v>
      </c>
      <c r="P392" s="1" t="s">
        <v>70</v>
      </c>
      <c r="Q392" s="1" t="s">
        <v>1180</v>
      </c>
      <c r="R392" s="1" t="s">
        <v>671</v>
      </c>
      <c r="S392" s="1">
        <v>49</v>
      </c>
      <c r="T392" s="1" t="s">
        <v>225</v>
      </c>
      <c r="U392" s="1" t="s">
        <v>93</v>
      </c>
      <c r="V392" s="1" t="s">
        <v>74</v>
      </c>
      <c r="W392" s="1" t="s">
        <v>74</v>
      </c>
      <c r="X392" s="1">
        <v>6</v>
      </c>
      <c r="Y392" s="1">
        <v>6</v>
      </c>
      <c r="Z392" s="1" t="s">
        <v>83</v>
      </c>
      <c r="AA392" s="1">
        <v>6</v>
      </c>
      <c r="AB392" s="1">
        <v>6</v>
      </c>
      <c r="AC392" s="1" t="s">
        <v>83</v>
      </c>
      <c r="AD392" s="1">
        <v>6</v>
      </c>
      <c r="AE392" s="1">
        <v>6</v>
      </c>
      <c r="AF392" s="1" t="s">
        <v>83</v>
      </c>
      <c r="AG392" s="1">
        <v>0</v>
      </c>
      <c r="AH392" s="1">
        <v>0</v>
      </c>
      <c r="AI392" s="1" t="s">
        <v>83</v>
      </c>
      <c r="AJ392" s="1">
        <v>6</v>
      </c>
      <c r="AK392" s="1">
        <v>6</v>
      </c>
      <c r="AL392" s="1" t="s">
        <v>83</v>
      </c>
      <c r="AM392" s="1">
        <v>6</v>
      </c>
      <c r="AN392" s="1">
        <v>6</v>
      </c>
      <c r="AO392" s="1" t="s">
        <v>83</v>
      </c>
      <c r="AP392" s="1">
        <v>6</v>
      </c>
      <c r="AQ392" s="1">
        <v>6</v>
      </c>
      <c r="AR392" s="1" t="s">
        <v>83</v>
      </c>
      <c r="AS392" s="1">
        <v>6</v>
      </c>
      <c r="AT392" s="1">
        <v>6</v>
      </c>
      <c r="AU392" s="1" t="s">
        <v>83</v>
      </c>
      <c r="AV392" s="1">
        <v>6</v>
      </c>
      <c r="AW392" s="1">
        <v>6</v>
      </c>
      <c r="AX392" s="1" t="s">
        <v>83</v>
      </c>
      <c r="AY392" s="1">
        <v>0</v>
      </c>
      <c r="AZ392" s="1">
        <v>0</v>
      </c>
      <c r="BA392" s="1">
        <v>0</v>
      </c>
      <c r="BB392" s="1" t="s">
        <v>2350</v>
      </c>
      <c r="BC392" s="1">
        <v>1</v>
      </c>
      <c r="BD392" s="1" t="s">
        <v>2351</v>
      </c>
      <c r="BE392" s="1" t="s">
        <v>2353</v>
      </c>
      <c r="BF392" s="1" t="s">
        <v>528</v>
      </c>
      <c r="BG392" s="1" t="s">
        <v>83</v>
      </c>
    </row>
    <row r="393" spans="1:59" x14ac:dyDescent="0.35">
      <c r="A393" s="1">
        <v>392</v>
      </c>
      <c r="B393" s="1">
        <v>45849.644525462965</v>
      </c>
      <c r="C393" s="1" t="s">
        <v>2354</v>
      </c>
      <c r="D393" s="1" t="s">
        <v>2355</v>
      </c>
      <c r="E393" s="1" t="s">
        <v>63</v>
      </c>
      <c r="F393" s="1" t="s">
        <v>338</v>
      </c>
      <c r="G393" s="1" t="s">
        <v>2356</v>
      </c>
      <c r="H393" s="1" t="s">
        <v>88</v>
      </c>
      <c r="I393" s="1" t="s">
        <v>2088</v>
      </c>
      <c r="J393" s="1" t="s">
        <v>2357</v>
      </c>
      <c r="K393" s="1" t="s">
        <v>2358</v>
      </c>
      <c r="L393" s="1" t="s">
        <v>69</v>
      </c>
      <c r="M393" s="1" t="s">
        <v>69</v>
      </c>
      <c r="N393" s="1" t="s">
        <v>69</v>
      </c>
      <c r="O393" s="1" t="s">
        <v>69</v>
      </c>
      <c r="P393" s="1" t="s">
        <v>106</v>
      </c>
      <c r="Q393" s="1" t="s">
        <v>1180</v>
      </c>
      <c r="R393" s="1" t="s">
        <v>1045</v>
      </c>
      <c r="S393" s="1">
        <v>29</v>
      </c>
      <c r="T393" s="1" t="s">
        <v>92</v>
      </c>
      <c r="U393" s="1" t="s">
        <v>73</v>
      </c>
      <c r="V393" s="1" t="s">
        <v>74</v>
      </c>
      <c r="W393" s="1" t="s">
        <v>74</v>
      </c>
      <c r="X393" s="1">
        <v>6</v>
      </c>
      <c r="Y393" s="1">
        <v>5</v>
      </c>
      <c r="Z393" s="1" t="s">
        <v>83</v>
      </c>
      <c r="AA393" s="1">
        <v>6</v>
      </c>
      <c r="AB393" s="1">
        <v>6</v>
      </c>
      <c r="AC393" s="1" t="s">
        <v>83</v>
      </c>
      <c r="AD393" s="1">
        <v>6</v>
      </c>
      <c r="AE393" s="1">
        <v>5</v>
      </c>
      <c r="AF393" s="1" t="s">
        <v>83</v>
      </c>
      <c r="AG393" s="1">
        <v>0</v>
      </c>
      <c r="AH393" s="1">
        <v>0</v>
      </c>
      <c r="AI393" s="1" t="s">
        <v>83</v>
      </c>
      <c r="AJ393" s="1">
        <v>6</v>
      </c>
      <c r="AK393" s="1">
        <v>5</v>
      </c>
      <c r="AL393" s="1" t="s">
        <v>83</v>
      </c>
      <c r="AM393" s="1">
        <v>6</v>
      </c>
      <c r="AN393" s="1">
        <v>5</v>
      </c>
      <c r="AO393" s="1" t="s">
        <v>83</v>
      </c>
      <c r="AP393" s="1">
        <v>6</v>
      </c>
      <c r="AQ393" s="1">
        <v>5</v>
      </c>
      <c r="AR393" s="1" t="s">
        <v>83</v>
      </c>
      <c r="AS393" s="1">
        <v>6</v>
      </c>
      <c r="AT393" s="1">
        <v>5</v>
      </c>
      <c r="AU393" s="1" t="s">
        <v>83</v>
      </c>
      <c r="AV393" s="1">
        <v>6</v>
      </c>
      <c r="AW393" s="1">
        <v>5</v>
      </c>
      <c r="AX393" s="1" t="s">
        <v>83</v>
      </c>
      <c r="AY393" s="1">
        <v>0</v>
      </c>
      <c r="AZ393" s="1">
        <v>0</v>
      </c>
      <c r="BA393" s="1">
        <v>1</v>
      </c>
      <c r="BB393" s="1" t="s">
        <v>83</v>
      </c>
      <c r="BC393" s="1">
        <v>0</v>
      </c>
      <c r="BD393" s="1" t="s">
        <v>98</v>
      </c>
      <c r="BE393" s="1" t="s">
        <v>98</v>
      </c>
      <c r="BF393" s="1" t="s">
        <v>98</v>
      </c>
      <c r="BG393" s="1" t="s">
        <v>98</v>
      </c>
    </row>
    <row r="394" spans="1:59" x14ac:dyDescent="0.35">
      <c r="A394" s="1">
        <v>393</v>
      </c>
      <c r="B394" s="1">
        <v>45849.653217592589</v>
      </c>
      <c r="C394" s="1" t="s">
        <v>2359</v>
      </c>
      <c r="D394" s="1" t="s">
        <v>2360</v>
      </c>
      <c r="E394" s="1" t="s">
        <v>63</v>
      </c>
      <c r="F394" s="1" t="s">
        <v>63</v>
      </c>
      <c r="G394" s="1" t="s">
        <v>2361</v>
      </c>
      <c r="H394" s="1" t="s">
        <v>1679</v>
      </c>
      <c r="I394" s="1" t="s">
        <v>439</v>
      </c>
      <c r="J394" s="1" t="s">
        <v>2357</v>
      </c>
      <c r="K394" s="1" t="s">
        <v>1399</v>
      </c>
      <c r="L394" s="1" t="s">
        <v>69</v>
      </c>
      <c r="M394" s="1" t="s">
        <v>69</v>
      </c>
      <c r="N394" s="1" t="s">
        <v>69</v>
      </c>
      <c r="O394" s="1" t="s">
        <v>69</v>
      </c>
      <c r="P394" s="1" t="s">
        <v>106</v>
      </c>
      <c r="Q394" s="1" t="s">
        <v>1168</v>
      </c>
      <c r="R394" s="1" t="s">
        <v>868</v>
      </c>
      <c r="S394" s="1">
        <v>33</v>
      </c>
      <c r="T394" s="1" t="s">
        <v>109</v>
      </c>
      <c r="U394" s="1" t="s">
        <v>93</v>
      </c>
      <c r="V394" s="1" t="s">
        <v>110</v>
      </c>
      <c r="W394" s="1" t="s">
        <v>110</v>
      </c>
      <c r="X394" s="1">
        <v>5</v>
      </c>
      <c r="Y394" s="1">
        <v>5</v>
      </c>
      <c r="Z394" s="1" t="s">
        <v>83</v>
      </c>
      <c r="AA394" s="1">
        <v>6</v>
      </c>
      <c r="AB394" s="1">
        <v>6</v>
      </c>
      <c r="AC394" s="1" t="s">
        <v>83</v>
      </c>
      <c r="AD394" s="1">
        <v>6</v>
      </c>
      <c r="AE394" s="1">
        <v>6</v>
      </c>
      <c r="AF394" s="1" t="s">
        <v>83</v>
      </c>
      <c r="AG394" s="1">
        <v>0</v>
      </c>
      <c r="AH394" s="1">
        <v>0</v>
      </c>
      <c r="AI394" s="1" t="s">
        <v>83</v>
      </c>
      <c r="AJ394" s="1">
        <v>6</v>
      </c>
      <c r="AK394" s="1">
        <v>6</v>
      </c>
      <c r="AL394" s="1" t="s">
        <v>83</v>
      </c>
      <c r="AM394" s="1">
        <v>6</v>
      </c>
      <c r="AN394" s="1">
        <v>6</v>
      </c>
      <c r="AO394" s="1" t="s">
        <v>83</v>
      </c>
      <c r="AP394" s="1">
        <v>6</v>
      </c>
      <c r="AQ394" s="1">
        <v>6</v>
      </c>
      <c r="AR394" s="1" t="s">
        <v>83</v>
      </c>
      <c r="AS394" s="1">
        <v>5</v>
      </c>
      <c r="AT394" s="1">
        <v>5</v>
      </c>
      <c r="AU394" s="1" t="s">
        <v>83</v>
      </c>
      <c r="AV394" s="1">
        <v>6</v>
      </c>
      <c r="AW394" s="1">
        <v>6</v>
      </c>
      <c r="AX394" s="1" t="s">
        <v>83</v>
      </c>
      <c r="AY394" s="1">
        <v>0</v>
      </c>
      <c r="AZ394" s="1">
        <v>0</v>
      </c>
      <c r="BA394" s="1">
        <v>0</v>
      </c>
      <c r="BB394" s="1" t="s">
        <v>2135</v>
      </c>
      <c r="BC394" s="1">
        <v>1</v>
      </c>
      <c r="BD394" s="1" t="s">
        <v>2362</v>
      </c>
      <c r="BE394" s="1" t="s">
        <v>442</v>
      </c>
      <c r="BF394" s="1" t="s">
        <v>2363</v>
      </c>
      <c r="BG394" s="1" t="s">
        <v>83</v>
      </c>
    </row>
    <row r="395" spans="1:59" x14ac:dyDescent="0.35">
      <c r="A395" s="1">
        <v>394</v>
      </c>
      <c r="B395" s="1">
        <v>45849.661249999997</v>
      </c>
      <c r="C395" s="1" t="s">
        <v>2364</v>
      </c>
      <c r="D395" s="1" t="s">
        <v>2365</v>
      </c>
      <c r="E395" s="1" t="s">
        <v>2366</v>
      </c>
      <c r="F395" s="1" t="s">
        <v>2367</v>
      </c>
      <c r="G395" s="1" t="s">
        <v>2368</v>
      </c>
      <c r="H395" s="1" t="s">
        <v>1679</v>
      </c>
      <c r="I395" s="1" t="s">
        <v>439</v>
      </c>
      <c r="J395" s="1" t="s">
        <v>2357</v>
      </c>
      <c r="K395" s="1" t="s">
        <v>2369</v>
      </c>
      <c r="L395" s="1" t="s">
        <v>69</v>
      </c>
      <c r="M395" s="1" t="s">
        <v>69</v>
      </c>
      <c r="N395" s="1" t="s">
        <v>69</v>
      </c>
      <c r="O395" s="1" t="s">
        <v>69</v>
      </c>
      <c r="P395" s="1" t="s">
        <v>106</v>
      </c>
      <c r="Q395" s="1" t="s">
        <v>1168</v>
      </c>
      <c r="R395" s="1" t="s">
        <v>1037</v>
      </c>
      <c r="S395" s="1">
        <v>51</v>
      </c>
      <c r="T395" s="1" t="s">
        <v>383</v>
      </c>
      <c r="U395" s="1" t="s">
        <v>1343</v>
      </c>
      <c r="V395" s="1" t="s">
        <v>110</v>
      </c>
      <c r="W395" s="1" t="s">
        <v>110</v>
      </c>
      <c r="X395" s="1">
        <v>6</v>
      </c>
      <c r="Y395" s="1">
        <v>6</v>
      </c>
      <c r="Z395" s="1" t="s">
        <v>83</v>
      </c>
      <c r="AA395" s="1">
        <v>6</v>
      </c>
      <c r="AB395" s="1">
        <v>6</v>
      </c>
      <c r="AC395" s="1" t="s">
        <v>83</v>
      </c>
      <c r="AD395" s="1">
        <v>6</v>
      </c>
      <c r="AE395" s="1">
        <v>6</v>
      </c>
      <c r="AF395" s="1" t="s">
        <v>83</v>
      </c>
      <c r="AG395" s="1">
        <v>0</v>
      </c>
      <c r="AH395" s="1">
        <v>0</v>
      </c>
      <c r="AI395" s="1" t="s">
        <v>83</v>
      </c>
      <c r="AJ395" s="1">
        <v>6</v>
      </c>
      <c r="AK395" s="1">
        <v>6</v>
      </c>
      <c r="AL395" s="1" t="s">
        <v>83</v>
      </c>
      <c r="AM395" s="1">
        <v>6</v>
      </c>
      <c r="AN395" s="1">
        <v>6</v>
      </c>
      <c r="AO395" s="1" t="s">
        <v>83</v>
      </c>
      <c r="AP395" s="1">
        <v>6</v>
      </c>
      <c r="AQ395" s="1">
        <v>6</v>
      </c>
      <c r="AR395" s="1" t="s">
        <v>83</v>
      </c>
      <c r="AS395" s="1">
        <v>6</v>
      </c>
      <c r="AT395" s="1">
        <v>6</v>
      </c>
      <c r="AU395" s="1" t="s">
        <v>83</v>
      </c>
      <c r="AV395" s="1">
        <v>5</v>
      </c>
      <c r="AW395" s="1">
        <v>5</v>
      </c>
      <c r="AX395" s="1" t="s">
        <v>83</v>
      </c>
      <c r="AY395" s="1">
        <v>0</v>
      </c>
      <c r="AZ395" s="1">
        <v>0</v>
      </c>
      <c r="BA395" s="1">
        <v>0</v>
      </c>
      <c r="BB395" s="1" t="s">
        <v>2370</v>
      </c>
      <c r="BC395" s="1">
        <v>1</v>
      </c>
      <c r="BD395" s="1" t="s">
        <v>442</v>
      </c>
      <c r="BE395" s="1" t="s">
        <v>442</v>
      </c>
      <c r="BF395" s="1" t="s">
        <v>2371</v>
      </c>
      <c r="BG395" s="1" t="s">
        <v>83</v>
      </c>
    </row>
    <row r="396" spans="1:59" x14ac:dyDescent="0.35">
      <c r="A396" s="1">
        <v>395</v>
      </c>
      <c r="B396" s="1">
        <v>45849.671666666669</v>
      </c>
      <c r="C396" s="1" t="s">
        <v>2372</v>
      </c>
      <c r="D396" s="1" t="s">
        <v>2373</v>
      </c>
      <c r="E396" s="1" t="s">
        <v>63</v>
      </c>
      <c r="F396" s="1" t="s">
        <v>125</v>
      </c>
      <c r="G396" s="1" t="s">
        <v>2374</v>
      </c>
      <c r="H396" s="1" t="s">
        <v>1679</v>
      </c>
      <c r="I396" s="1" t="s">
        <v>439</v>
      </c>
      <c r="J396" s="1" t="s">
        <v>2357</v>
      </c>
      <c r="K396" s="1" t="s">
        <v>2129</v>
      </c>
      <c r="L396" s="1" t="s">
        <v>69</v>
      </c>
      <c r="M396" s="1" t="s">
        <v>69</v>
      </c>
      <c r="N396" s="1" t="s">
        <v>69</v>
      </c>
      <c r="O396" s="1" t="s">
        <v>69</v>
      </c>
      <c r="P396" s="1" t="s">
        <v>70</v>
      </c>
      <c r="Q396" s="1" t="s">
        <v>1180</v>
      </c>
      <c r="R396" s="1" t="s">
        <v>404</v>
      </c>
      <c r="S396" s="1">
        <v>42</v>
      </c>
      <c r="T396" s="1" t="s">
        <v>197</v>
      </c>
      <c r="U396" s="1" t="s">
        <v>73</v>
      </c>
      <c r="V396" s="1" t="s">
        <v>110</v>
      </c>
      <c r="W396" s="1" t="s">
        <v>110</v>
      </c>
      <c r="X396" s="1">
        <v>6</v>
      </c>
      <c r="Y396" s="1">
        <v>5</v>
      </c>
      <c r="Z396" s="1" t="s">
        <v>83</v>
      </c>
      <c r="AA396" s="1">
        <v>5</v>
      </c>
      <c r="AB396" s="1">
        <v>5</v>
      </c>
      <c r="AC396" s="1" t="s">
        <v>83</v>
      </c>
      <c r="AD396" s="1">
        <v>6</v>
      </c>
      <c r="AE396" s="1">
        <v>6</v>
      </c>
      <c r="AF396" s="1" t="s">
        <v>83</v>
      </c>
      <c r="AG396" s="1">
        <v>5</v>
      </c>
      <c r="AH396" s="1">
        <v>5</v>
      </c>
      <c r="AI396" s="1" t="s">
        <v>83</v>
      </c>
      <c r="AJ396" s="1">
        <v>6</v>
      </c>
      <c r="AK396" s="1">
        <v>6</v>
      </c>
      <c r="AL396" s="1" t="s">
        <v>83</v>
      </c>
      <c r="AM396" s="1">
        <v>6</v>
      </c>
      <c r="AN396" s="1">
        <v>6</v>
      </c>
      <c r="AO396" s="1" t="s">
        <v>83</v>
      </c>
      <c r="AP396" s="1">
        <v>6</v>
      </c>
      <c r="AQ396" s="1">
        <v>6</v>
      </c>
      <c r="AR396" s="1" t="s">
        <v>83</v>
      </c>
      <c r="AS396" s="1">
        <v>6</v>
      </c>
      <c r="AT396" s="1">
        <v>6</v>
      </c>
      <c r="AU396" s="1" t="s">
        <v>83</v>
      </c>
      <c r="AV396" s="1">
        <v>5</v>
      </c>
      <c r="AW396" s="1">
        <v>5</v>
      </c>
      <c r="AX396" s="1" t="s">
        <v>83</v>
      </c>
      <c r="AY396" s="1">
        <v>1</v>
      </c>
      <c r="AZ396" s="1">
        <v>0</v>
      </c>
      <c r="BA396" s="1">
        <v>0</v>
      </c>
      <c r="BB396" s="1" t="s">
        <v>83</v>
      </c>
      <c r="BC396" s="1">
        <v>0</v>
      </c>
      <c r="BD396" s="1" t="s">
        <v>442</v>
      </c>
      <c r="BE396" s="1" t="s">
        <v>442</v>
      </c>
      <c r="BF396" s="1" t="s">
        <v>2375</v>
      </c>
      <c r="BG396" s="1" t="s">
        <v>83</v>
      </c>
    </row>
    <row r="397" spans="1:59" x14ac:dyDescent="0.35">
      <c r="A397" s="1">
        <v>396</v>
      </c>
      <c r="B397" s="1">
        <v>45849.679363425923</v>
      </c>
      <c r="C397" s="1" t="s">
        <v>2376</v>
      </c>
      <c r="D397" s="1" t="s">
        <v>2377</v>
      </c>
      <c r="E397" s="1" t="s">
        <v>63</v>
      </c>
      <c r="F397" s="1" t="s">
        <v>1372</v>
      </c>
      <c r="G397" s="1" t="s">
        <v>2378</v>
      </c>
      <c r="H397" s="1" t="s">
        <v>1679</v>
      </c>
      <c r="I397" s="1" t="s">
        <v>439</v>
      </c>
      <c r="J397" s="1" t="s">
        <v>2379</v>
      </c>
      <c r="K397" s="1" t="s">
        <v>2380</v>
      </c>
      <c r="L397" s="1" t="s">
        <v>69</v>
      </c>
      <c r="M397" s="1" t="s">
        <v>69</v>
      </c>
      <c r="N397" s="1" t="s">
        <v>69</v>
      </c>
      <c r="O397" s="1" t="s">
        <v>69</v>
      </c>
      <c r="P397" s="1" t="s">
        <v>106</v>
      </c>
      <c r="Q397" s="1" t="s">
        <v>1180</v>
      </c>
      <c r="R397" s="1" t="s">
        <v>538</v>
      </c>
      <c r="S397" s="1">
        <v>41</v>
      </c>
      <c r="T397" s="1" t="s">
        <v>197</v>
      </c>
      <c r="U397" s="1" t="s">
        <v>73</v>
      </c>
      <c r="V397" s="1" t="s">
        <v>110</v>
      </c>
      <c r="W397" s="1" t="s">
        <v>110</v>
      </c>
      <c r="X397" s="1">
        <v>6</v>
      </c>
      <c r="Y397" s="1">
        <v>6</v>
      </c>
      <c r="Z397" s="1" t="s">
        <v>83</v>
      </c>
      <c r="AA397" s="1">
        <v>6</v>
      </c>
      <c r="AB397" s="1">
        <v>6</v>
      </c>
      <c r="AC397" s="1" t="s">
        <v>83</v>
      </c>
      <c r="AD397" s="1">
        <v>6</v>
      </c>
      <c r="AE397" s="1">
        <v>6</v>
      </c>
      <c r="AF397" s="1" t="s">
        <v>83</v>
      </c>
      <c r="AG397" s="1">
        <v>6</v>
      </c>
      <c r="AH397" s="1">
        <v>6</v>
      </c>
      <c r="AI397" s="1" t="s">
        <v>83</v>
      </c>
      <c r="AJ397" s="1">
        <v>6</v>
      </c>
      <c r="AK397" s="1">
        <v>6</v>
      </c>
      <c r="AL397" s="1" t="s">
        <v>83</v>
      </c>
      <c r="AM397" s="1">
        <v>6</v>
      </c>
      <c r="AN397" s="1">
        <v>6</v>
      </c>
      <c r="AO397" s="1" t="s">
        <v>83</v>
      </c>
      <c r="AP397" s="1">
        <v>6</v>
      </c>
      <c r="AQ397" s="1">
        <v>6</v>
      </c>
      <c r="AR397" s="1" t="s">
        <v>83</v>
      </c>
      <c r="AS397" s="1">
        <v>6</v>
      </c>
      <c r="AT397" s="1">
        <v>6</v>
      </c>
      <c r="AU397" s="1" t="s">
        <v>83</v>
      </c>
      <c r="AV397" s="1">
        <v>6</v>
      </c>
      <c r="AW397" s="1">
        <v>6</v>
      </c>
      <c r="AX397" s="1" t="s">
        <v>83</v>
      </c>
      <c r="AY397" s="1">
        <v>0</v>
      </c>
      <c r="AZ397" s="1">
        <v>0</v>
      </c>
      <c r="BA397" s="1">
        <v>0</v>
      </c>
      <c r="BB397" s="1" t="s">
        <v>2381</v>
      </c>
      <c r="BC397" s="1">
        <v>1</v>
      </c>
      <c r="BD397" s="1" t="s">
        <v>2382</v>
      </c>
      <c r="BE397" s="1" t="s">
        <v>442</v>
      </c>
      <c r="BF397" s="1" t="s">
        <v>442</v>
      </c>
      <c r="BG397" s="1" t="s">
        <v>83</v>
      </c>
    </row>
    <row r="398" spans="1:59" x14ac:dyDescent="0.35">
      <c r="A398" s="1">
        <v>397</v>
      </c>
      <c r="B398" s="1">
        <v>45849.682233796295</v>
      </c>
      <c r="C398" s="1" t="s">
        <v>2383</v>
      </c>
      <c r="D398" s="1" t="s">
        <v>2384</v>
      </c>
      <c r="E398" s="1" t="s">
        <v>63</v>
      </c>
      <c r="F398" s="1" t="s">
        <v>179</v>
      </c>
      <c r="G398" s="1" t="s">
        <v>2385</v>
      </c>
      <c r="H398" s="1" t="s">
        <v>1679</v>
      </c>
      <c r="I398" s="1" t="s">
        <v>439</v>
      </c>
      <c r="J398" s="1" t="s">
        <v>2357</v>
      </c>
      <c r="K398" s="1" t="s">
        <v>1584</v>
      </c>
      <c r="L398" s="1" t="s">
        <v>69</v>
      </c>
      <c r="M398" s="1" t="s">
        <v>69</v>
      </c>
      <c r="N398" s="1" t="s">
        <v>69</v>
      </c>
      <c r="O398" s="1" t="s">
        <v>69</v>
      </c>
      <c r="P398" s="1" t="s">
        <v>106</v>
      </c>
      <c r="Q398" s="1" t="s">
        <v>1180</v>
      </c>
      <c r="R398" s="1" t="s">
        <v>551</v>
      </c>
      <c r="S398" s="1">
        <v>34</v>
      </c>
      <c r="T398" s="1" t="s">
        <v>109</v>
      </c>
      <c r="U398" s="1" t="s">
        <v>93</v>
      </c>
      <c r="V398" s="1" t="s">
        <v>110</v>
      </c>
      <c r="W398" s="1" t="s">
        <v>110</v>
      </c>
      <c r="X398" s="1">
        <v>5</v>
      </c>
      <c r="Y398" s="1">
        <v>5</v>
      </c>
      <c r="Z398" s="1" t="s">
        <v>83</v>
      </c>
      <c r="AA398" s="1">
        <v>5</v>
      </c>
      <c r="AB398" s="1">
        <v>5</v>
      </c>
      <c r="AC398" s="1" t="s">
        <v>83</v>
      </c>
      <c r="AD398" s="1">
        <v>5</v>
      </c>
      <c r="AE398" s="1">
        <v>5</v>
      </c>
      <c r="AF398" s="1" t="s">
        <v>83</v>
      </c>
      <c r="AG398" s="1">
        <v>5</v>
      </c>
      <c r="AH398" s="1">
        <v>5</v>
      </c>
      <c r="AI398" s="1" t="s">
        <v>83</v>
      </c>
      <c r="AJ398" s="1">
        <v>6</v>
      </c>
      <c r="AK398" s="1">
        <v>6</v>
      </c>
      <c r="AL398" s="1" t="s">
        <v>83</v>
      </c>
      <c r="AM398" s="1">
        <v>6</v>
      </c>
      <c r="AN398" s="1">
        <v>6</v>
      </c>
      <c r="AO398" s="1" t="s">
        <v>83</v>
      </c>
      <c r="AP398" s="1">
        <v>6</v>
      </c>
      <c r="AQ398" s="1">
        <v>6</v>
      </c>
      <c r="AR398" s="1" t="s">
        <v>83</v>
      </c>
      <c r="AS398" s="1">
        <v>6</v>
      </c>
      <c r="AT398" s="1">
        <v>6</v>
      </c>
      <c r="AU398" s="1" t="s">
        <v>83</v>
      </c>
      <c r="AV398" s="1">
        <v>6</v>
      </c>
      <c r="AW398" s="1">
        <v>6</v>
      </c>
      <c r="AX398" s="1" t="s">
        <v>83</v>
      </c>
      <c r="AY398" s="1">
        <v>0</v>
      </c>
      <c r="AZ398" s="1">
        <v>0</v>
      </c>
      <c r="BA398" s="1">
        <v>1</v>
      </c>
      <c r="BB398" s="1" t="s">
        <v>83</v>
      </c>
      <c r="BC398" s="1">
        <v>0</v>
      </c>
      <c r="BD398" s="1" t="s">
        <v>442</v>
      </c>
      <c r="BE398" s="1" t="s">
        <v>442</v>
      </c>
      <c r="BF398" s="1" t="s">
        <v>442</v>
      </c>
      <c r="BG398" s="1"/>
    </row>
    <row r="399" spans="1:59" x14ac:dyDescent="0.35">
      <c r="A399" s="1">
        <v>398</v>
      </c>
      <c r="B399" s="1">
        <v>45849.6953125</v>
      </c>
      <c r="C399" s="1" t="s">
        <v>2386</v>
      </c>
      <c r="D399" s="1" t="s">
        <v>2387</v>
      </c>
      <c r="E399" s="1" t="s">
        <v>352</v>
      </c>
      <c r="F399" s="1" t="s">
        <v>1409</v>
      </c>
      <c r="G399" s="1" t="s">
        <v>2388</v>
      </c>
      <c r="H399" s="1" t="s">
        <v>138</v>
      </c>
      <c r="I399" s="1" t="s">
        <v>2065</v>
      </c>
      <c r="J399" s="1" t="s">
        <v>2389</v>
      </c>
      <c r="K399" s="1" t="s">
        <v>2390</v>
      </c>
      <c r="L399" s="1" t="s">
        <v>69</v>
      </c>
      <c r="M399" s="1" t="s">
        <v>69</v>
      </c>
      <c r="N399" s="1" t="s">
        <v>69</v>
      </c>
      <c r="O399" s="1" t="s">
        <v>69</v>
      </c>
      <c r="P399" s="1" t="s">
        <v>106</v>
      </c>
      <c r="Q399" s="1" t="s">
        <v>1168</v>
      </c>
      <c r="R399" s="1" t="s">
        <v>2463</v>
      </c>
      <c r="S399" s="1">
        <v>33</v>
      </c>
      <c r="T399" s="1" t="s">
        <v>109</v>
      </c>
      <c r="U399" s="1" t="s">
        <v>73</v>
      </c>
      <c r="V399" s="1" t="s">
        <v>110</v>
      </c>
      <c r="W399" s="1" t="s">
        <v>110</v>
      </c>
      <c r="X399" s="1">
        <v>6</v>
      </c>
      <c r="Y399" s="1">
        <v>5</v>
      </c>
      <c r="Z399" s="1" t="s">
        <v>83</v>
      </c>
      <c r="AA399" s="1">
        <v>5</v>
      </c>
      <c r="AB399" s="1">
        <v>6</v>
      </c>
      <c r="AC399" s="1" t="s">
        <v>83</v>
      </c>
      <c r="AD399" s="1">
        <v>3</v>
      </c>
      <c r="AE399" s="1">
        <v>5</v>
      </c>
      <c r="AF399" s="1" t="s">
        <v>2539</v>
      </c>
      <c r="AG399" s="1">
        <v>0</v>
      </c>
      <c r="AH399" s="1">
        <v>0</v>
      </c>
      <c r="AI399" s="1" t="s">
        <v>83</v>
      </c>
      <c r="AJ399" s="1">
        <v>5</v>
      </c>
      <c r="AK399" s="1">
        <v>5</v>
      </c>
      <c r="AL399" s="1" t="s">
        <v>83</v>
      </c>
      <c r="AM399" s="1">
        <v>4</v>
      </c>
      <c r="AN399" s="1">
        <v>6</v>
      </c>
      <c r="AO399" s="1" t="s">
        <v>83</v>
      </c>
      <c r="AP399" s="1">
        <v>6</v>
      </c>
      <c r="AQ399" s="1">
        <v>6</v>
      </c>
      <c r="AR399" s="1" t="s">
        <v>83</v>
      </c>
      <c r="AS399" s="1">
        <v>5</v>
      </c>
      <c r="AT399" s="1">
        <v>5</v>
      </c>
      <c r="AU399" s="1" t="s">
        <v>83</v>
      </c>
      <c r="AV399" s="1">
        <v>6</v>
      </c>
      <c r="AW399" s="1">
        <v>6</v>
      </c>
      <c r="AX399" s="1" t="s">
        <v>83</v>
      </c>
      <c r="AY399" s="1">
        <v>1</v>
      </c>
      <c r="AZ399" s="1">
        <v>0</v>
      </c>
      <c r="BA399" s="1">
        <v>0</v>
      </c>
      <c r="BB399" s="1" t="s">
        <v>83</v>
      </c>
      <c r="BC399" s="1">
        <v>0</v>
      </c>
      <c r="BD399" s="1" t="s">
        <v>2069</v>
      </c>
      <c r="BE399" s="1" t="s">
        <v>2391</v>
      </c>
      <c r="BF399" s="1" t="s">
        <v>2069</v>
      </c>
      <c r="BG399" s="1"/>
    </row>
    <row r="400" spans="1:59" x14ac:dyDescent="0.35">
      <c r="A400" s="1">
        <v>399</v>
      </c>
      <c r="B400" s="1">
        <v>45849.698391203703</v>
      </c>
      <c r="C400" s="1" t="s">
        <v>2392</v>
      </c>
      <c r="D400" s="1" t="s">
        <v>2393</v>
      </c>
      <c r="E400" s="1" t="s">
        <v>63</v>
      </c>
      <c r="F400" s="1" t="s">
        <v>63</v>
      </c>
      <c r="G400" s="1" t="s">
        <v>2394</v>
      </c>
      <c r="H400" s="1" t="s">
        <v>138</v>
      </c>
      <c r="I400" s="1" t="s">
        <v>2065</v>
      </c>
      <c r="J400" s="1" t="s">
        <v>2389</v>
      </c>
      <c r="K400" s="1" t="s">
        <v>2395</v>
      </c>
      <c r="L400" s="1" t="s">
        <v>69</v>
      </c>
      <c r="M400" s="1" t="s">
        <v>69</v>
      </c>
      <c r="N400" s="1" t="s">
        <v>69</v>
      </c>
      <c r="O400" s="1" t="s">
        <v>69</v>
      </c>
      <c r="P400" s="1" t="s">
        <v>106</v>
      </c>
      <c r="Q400" s="1" t="s">
        <v>1180</v>
      </c>
      <c r="R400" s="1" t="s">
        <v>2496</v>
      </c>
      <c r="S400" s="1">
        <v>23</v>
      </c>
      <c r="T400" s="1" t="s">
        <v>72</v>
      </c>
      <c r="U400" s="1" t="s">
        <v>73</v>
      </c>
      <c r="V400" s="1" t="s">
        <v>74</v>
      </c>
      <c r="W400" s="1" t="s">
        <v>74</v>
      </c>
      <c r="X400" s="1">
        <v>5</v>
      </c>
      <c r="Y400" s="1">
        <v>6</v>
      </c>
      <c r="Z400" s="1" t="s">
        <v>83</v>
      </c>
      <c r="AA400" s="1">
        <v>6</v>
      </c>
      <c r="AB400" s="1">
        <v>6</v>
      </c>
      <c r="AC400" s="1" t="s">
        <v>83</v>
      </c>
      <c r="AD400" s="1">
        <v>6</v>
      </c>
      <c r="AE400" s="1">
        <v>6</v>
      </c>
      <c r="AF400" s="1" t="s">
        <v>83</v>
      </c>
      <c r="AG400" s="1">
        <v>0</v>
      </c>
      <c r="AH400" s="1">
        <v>0</v>
      </c>
      <c r="AI400" s="1" t="s">
        <v>83</v>
      </c>
      <c r="AJ400" s="1">
        <v>5</v>
      </c>
      <c r="AK400" s="1">
        <v>5</v>
      </c>
      <c r="AL400" s="1" t="s">
        <v>83</v>
      </c>
      <c r="AM400" s="1">
        <v>6</v>
      </c>
      <c r="AN400" s="1">
        <v>6</v>
      </c>
      <c r="AO400" s="1" t="s">
        <v>83</v>
      </c>
      <c r="AP400" s="1">
        <v>6</v>
      </c>
      <c r="AQ400" s="1">
        <v>6</v>
      </c>
      <c r="AR400" s="1" t="s">
        <v>83</v>
      </c>
      <c r="AS400" s="1">
        <v>6</v>
      </c>
      <c r="AT400" s="1">
        <v>6</v>
      </c>
      <c r="AU400" s="1" t="s">
        <v>83</v>
      </c>
      <c r="AV400" s="1">
        <v>6</v>
      </c>
      <c r="AW400" s="1">
        <v>6</v>
      </c>
      <c r="AX400" s="1" t="s">
        <v>83</v>
      </c>
      <c r="AY400" s="1">
        <v>0</v>
      </c>
      <c r="AZ400" s="1">
        <v>0</v>
      </c>
      <c r="BA400" s="1">
        <v>1</v>
      </c>
      <c r="BB400" s="1" t="s">
        <v>83</v>
      </c>
      <c r="BC400" s="1">
        <v>0</v>
      </c>
      <c r="BD400" s="1" t="s">
        <v>2069</v>
      </c>
      <c r="BE400" s="1" t="s">
        <v>2069</v>
      </c>
      <c r="BF400" s="1" t="s">
        <v>2069</v>
      </c>
      <c r="BG400" s="1"/>
    </row>
    <row r="401" spans="1:59" x14ac:dyDescent="0.35">
      <c r="A401" s="1">
        <v>400</v>
      </c>
      <c r="B401" s="1">
        <v>45849.795416666668</v>
      </c>
      <c r="C401" s="1" t="s">
        <v>2396</v>
      </c>
      <c r="D401" s="1" t="s">
        <v>2397</v>
      </c>
      <c r="E401" s="1" t="s">
        <v>63</v>
      </c>
      <c r="F401" s="1" t="s">
        <v>63</v>
      </c>
      <c r="G401" s="1" t="s">
        <v>2398</v>
      </c>
      <c r="H401" s="1" t="s">
        <v>65</v>
      </c>
      <c r="I401" s="1" t="s">
        <v>66</v>
      </c>
      <c r="J401" s="1" t="s">
        <v>2357</v>
      </c>
      <c r="K401" s="1" t="s">
        <v>2399</v>
      </c>
      <c r="L401" s="1" t="s">
        <v>69</v>
      </c>
      <c r="M401" s="1" t="s">
        <v>69</v>
      </c>
      <c r="N401" s="1" t="s">
        <v>69</v>
      </c>
      <c r="O401" s="1" t="s">
        <v>69</v>
      </c>
      <c r="P401" s="1" t="s">
        <v>106</v>
      </c>
      <c r="Q401" s="1" t="s">
        <v>1180</v>
      </c>
      <c r="R401" s="1" t="s">
        <v>546</v>
      </c>
      <c r="S401" s="1">
        <v>31</v>
      </c>
      <c r="T401" s="1" t="s">
        <v>109</v>
      </c>
      <c r="U401" s="1" t="s">
        <v>73</v>
      </c>
      <c r="V401" s="1" t="s">
        <v>74</v>
      </c>
      <c r="W401" s="1" t="s">
        <v>74</v>
      </c>
      <c r="X401" s="1">
        <v>6</v>
      </c>
      <c r="Y401" s="1">
        <v>6</v>
      </c>
      <c r="Z401" s="1" t="s">
        <v>83</v>
      </c>
      <c r="AA401" s="1">
        <v>6</v>
      </c>
      <c r="AB401" s="1">
        <v>6</v>
      </c>
      <c r="AC401" s="1" t="s">
        <v>83</v>
      </c>
      <c r="AD401" s="1">
        <v>6</v>
      </c>
      <c r="AE401" s="1">
        <v>6</v>
      </c>
      <c r="AF401" s="1" t="s">
        <v>83</v>
      </c>
      <c r="AG401" s="1">
        <v>0</v>
      </c>
      <c r="AH401" s="1">
        <v>0</v>
      </c>
      <c r="AI401" s="1" t="s">
        <v>83</v>
      </c>
      <c r="AJ401" s="1">
        <v>6</v>
      </c>
      <c r="AK401" s="1">
        <v>6</v>
      </c>
      <c r="AL401" s="1" t="s">
        <v>83</v>
      </c>
      <c r="AM401" s="1">
        <v>6</v>
      </c>
      <c r="AN401" s="1">
        <v>6</v>
      </c>
      <c r="AO401" s="1" t="s">
        <v>83</v>
      </c>
      <c r="AP401" s="1">
        <v>6</v>
      </c>
      <c r="AQ401" s="1">
        <v>6</v>
      </c>
      <c r="AR401" s="1" t="s">
        <v>83</v>
      </c>
      <c r="AS401" s="1">
        <v>6</v>
      </c>
      <c r="AT401" s="1">
        <v>6</v>
      </c>
      <c r="AU401" s="1" t="s">
        <v>83</v>
      </c>
      <c r="AV401" s="1">
        <v>6</v>
      </c>
      <c r="AW401" s="1">
        <v>6</v>
      </c>
      <c r="AX401" s="1" t="s">
        <v>83</v>
      </c>
      <c r="AY401" s="1">
        <v>0</v>
      </c>
      <c r="AZ401" s="1">
        <v>0</v>
      </c>
      <c r="BA401" s="1">
        <v>0</v>
      </c>
      <c r="BB401" s="1" t="s">
        <v>144</v>
      </c>
      <c r="BC401" s="1">
        <v>1</v>
      </c>
      <c r="BD401" s="1" t="s">
        <v>2400</v>
      </c>
      <c r="BE401" s="1" t="s">
        <v>2401</v>
      </c>
      <c r="BF401" s="1" t="s">
        <v>442</v>
      </c>
      <c r="BG401" s="1"/>
    </row>
    <row r="402" spans="1:59" x14ac:dyDescent="0.35">
      <c r="A402" s="1">
        <v>401</v>
      </c>
      <c r="B402" s="1">
        <v>45850.722858796296</v>
      </c>
      <c r="C402" s="1" t="s">
        <v>2402</v>
      </c>
      <c r="D402" s="1" t="s">
        <v>2403</v>
      </c>
      <c r="E402" s="1" t="s">
        <v>63</v>
      </c>
      <c r="F402" s="1" t="s">
        <v>240</v>
      </c>
      <c r="G402" s="1" t="s">
        <v>2404</v>
      </c>
      <c r="H402" s="1" t="s">
        <v>138</v>
      </c>
      <c r="I402" s="1" t="s">
        <v>2065</v>
      </c>
      <c r="J402" s="1" t="s">
        <v>2405</v>
      </c>
      <c r="K402" s="1" t="s">
        <v>2406</v>
      </c>
      <c r="L402" s="1" t="s">
        <v>69</v>
      </c>
      <c r="M402" s="1" t="s">
        <v>69</v>
      </c>
      <c r="N402" s="1" t="s">
        <v>69</v>
      </c>
      <c r="O402" s="1" t="s">
        <v>69</v>
      </c>
      <c r="P402" s="1" t="s">
        <v>106</v>
      </c>
      <c r="Q402" s="1" t="s">
        <v>1180</v>
      </c>
      <c r="R402" s="1" t="s">
        <v>2540</v>
      </c>
      <c r="S402" s="1">
        <v>38</v>
      </c>
      <c r="T402" s="1" t="s">
        <v>153</v>
      </c>
      <c r="U402" s="1" t="s">
        <v>73</v>
      </c>
      <c r="V402" s="1" t="s">
        <v>74</v>
      </c>
      <c r="W402" s="1" t="s">
        <v>74</v>
      </c>
      <c r="X402" s="1">
        <v>6</v>
      </c>
      <c r="Y402" s="1">
        <v>6</v>
      </c>
      <c r="Z402" s="1" t="s">
        <v>83</v>
      </c>
      <c r="AA402" s="1">
        <v>6</v>
      </c>
      <c r="AB402" s="1">
        <v>6</v>
      </c>
      <c r="AC402" s="1" t="s">
        <v>83</v>
      </c>
      <c r="AD402" s="1">
        <v>6</v>
      </c>
      <c r="AE402" s="1">
        <v>6</v>
      </c>
      <c r="AF402" s="1" t="s">
        <v>83</v>
      </c>
      <c r="AG402" s="1">
        <v>0</v>
      </c>
      <c r="AH402" s="1">
        <v>0</v>
      </c>
      <c r="AI402" s="1" t="s">
        <v>83</v>
      </c>
      <c r="AJ402" s="1">
        <v>6</v>
      </c>
      <c r="AK402" s="1">
        <v>6</v>
      </c>
      <c r="AL402" s="1" t="s">
        <v>83</v>
      </c>
      <c r="AM402" s="1">
        <v>6</v>
      </c>
      <c r="AN402" s="1">
        <v>6</v>
      </c>
      <c r="AO402" s="1" t="s">
        <v>83</v>
      </c>
      <c r="AP402" s="1">
        <v>6</v>
      </c>
      <c r="AQ402" s="1">
        <v>6</v>
      </c>
      <c r="AR402" s="1" t="s">
        <v>83</v>
      </c>
      <c r="AS402" s="1">
        <v>6</v>
      </c>
      <c r="AT402" s="1">
        <v>6</v>
      </c>
      <c r="AU402" s="1" t="s">
        <v>83</v>
      </c>
      <c r="AV402" s="1">
        <v>6</v>
      </c>
      <c r="AW402" s="1">
        <v>6</v>
      </c>
      <c r="AX402" s="1" t="s">
        <v>83</v>
      </c>
      <c r="AY402" s="1">
        <v>1</v>
      </c>
      <c r="AZ402" s="1">
        <v>0</v>
      </c>
      <c r="BA402" s="1">
        <v>0</v>
      </c>
      <c r="BB402" s="1" t="s">
        <v>83</v>
      </c>
      <c r="BC402" s="1">
        <v>0</v>
      </c>
      <c r="BD402" s="1" t="s">
        <v>2069</v>
      </c>
      <c r="BE402" s="1" t="s">
        <v>2069</v>
      </c>
      <c r="BF402" s="1" t="s">
        <v>2069</v>
      </c>
      <c r="BG402" s="1"/>
    </row>
  </sheetData>
  <autoFilter ref="A1:BG402" xr:uid="{14ADE9CB-9FE0-4452-9AA9-777E42E779B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6385-BFF2-4B6E-A7CC-9458793160AE}">
  <dimension ref="A1:BI402"/>
  <sheetViews>
    <sheetView topLeftCell="AZ1" workbookViewId="0">
      <selection activeCell="C1" sqref="C1:C1048576"/>
    </sheetView>
  </sheetViews>
  <sheetFormatPr defaultRowHeight="14.5" x14ac:dyDescent="0.35"/>
  <sheetData>
    <row r="1" spans="1:6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35">
      <c r="A2">
        <v>1</v>
      </c>
      <c r="B2">
        <v>45838.676226851851</v>
      </c>
      <c r="C2" t="s">
        <v>61</v>
      </c>
      <c r="D2" t="s">
        <v>62</v>
      </c>
      <c r="E2" t="s">
        <v>63</v>
      </c>
      <c r="F2" t="s">
        <v>63</v>
      </c>
      <c r="G2" t="s">
        <v>64</v>
      </c>
      <c r="H2" t="s">
        <v>65</v>
      </c>
      <c r="I2" t="s">
        <v>66</v>
      </c>
      <c r="J2" t="s">
        <v>67</v>
      </c>
      <c r="K2" t="s">
        <v>68</v>
      </c>
      <c r="L2" t="s">
        <v>69</v>
      </c>
      <c r="M2" t="s">
        <v>69</v>
      </c>
      <c r="N2" t="s">
        <v>69</v>
      </c>
      <c r="O2" t="s">
        <v>69</v>
      </c>
      <c r="P2" t="s">
        <v>70</v>
      </c>
      <c r="Q2" t="s">
        <v>71</v>
      </c>
      <c r="R2" s="3">
        <v>23</v>
      </c>
      <c r="S2">
        <v>23</v>
      </c>
      <c r="T2" t="s">
        <v>72</v>
      </c>
      <c r="U2" t="s">
        <v>73</v>
      </c>
      <c r="V2" t="s">
        <v>74</v>
      </c>
      <c r="W2" t="s">
        <v>74</v>
      </c>
      <c r="X2">
        <v>3</v>
      </c>
      <c r="Y2">
        <v>3</v>
      </c>
      <c r="Z2">
        <v>3</v>
      </c>
      <c r="AA2">
        <v>3</v>
      </c>
      <c r="AB2">
        <v>3</v>
      </c>
      <c r="AC2">
        <v>3</v>
      </c>
      <c r="AD2">
        <v>4</v>
      </c>
      <c r="AE2">
        <v>4</v>
      </c>
      <c r="AF2">
        <v>3</v>
      </c>
      <c r="AG2">
        <v>4</v>
      </c>
      <c r="AH2">
        <v>4</v>
      </c>
      <c r="AI2">
        <v>4</v>
      </c>
      <c r="AJ2">
        <v>4</v>
      </c>
      <c r="AK2">
        <v>4</v>
      </c>
      <c r="AL2">
        <v>3</v>
      </c>
      <c r="AM2">
        <v>3</v>
      </c>
      <c r="AN2">
        <v>3</v>
      </c>
      <c r="AO2">
        <v>3</v>
      </c>
      <c r="AP2">
        <v>2</v>
      </c>
      <c r="AQ2">
        <v>3</v>
      </c>
      <c r="AR2" t="s">
        <v>75</v>
      </c>
      <c r="AS2">
        <v>3</v>
      </c>
      <c r="AT2">
        <v>2</v>
      </c>
      <c r="AU2" t="s">
        <v>75</v>
      </c>
      <c r="AV2">
        <v>3</v>
      </c>
      <c r="AW2">
        <v>2</v>
      </c>
      <c r="AX2" t="s">
        <v>75</v>
      </c>
      <c r="AY2" t="s">
        <v>76</v>
      </c>
      <c r="AZ2" t="s">
        <v>77</v>
      </c>
      <c r="BA2">
        <v>2</v>
      </c>
      <c r="BB2">
        <v>3</v>
      </c>
      <c r="BC2" t="s">
        <v>78</v>
      </c>
      <c r="BD2" t="s">
        <v>79</v>
      </c>
      <c r="BE2" t="s">
        <v>80</v>
      </c>
      <c r="BF2" t="s">
        <v>81</v>
      </c>
      <c r="BG2" t="s">
        <v>82</v>
      </c>
      <c r="BH2" t="s">
        <v>79</v>
      </c>
      <c r="BI2" t="s">
        <v>83</v>
      </c>
    </row>
    <row r="3" spans="1:61" x14ac:dyDescent="0.35">
      <c r="A3">
        <v>2</v>
      </c>
      <c r="B3">
        <v>45838.787037037036</v>
      </c>
      <c r="C3" t="s">
        <v>84</v>
      </c>
      <c r="D3" t="s">
        <v>85</v>
      </c>
      <c r="E3" t="s">
        <v>63</v>
      </c>
      <c r="F3" t="s">
        <v>86</v>
      </c>
      <c r="G3" t="s">
        <v>87</v>
      </c>
      <c r="H3" t="s">
        <v>88</v>
      </c>
      <c r="I3" t="s">
        <v>89</v>
      </c>
      <c r="J3" t="s">
        <v>67</v>
      </c>
      <c r="K3" t="s">
        <v>90</v>
      </c>
      <c r="L3" t="s">
        <v>69</v>
      </c>
      <c r="M3" t="s">
        <v>69</v>
      </c>
      <c r="N3" t="s">
        <v>69</v>
      </c>
      <c r="O3" t="s">
        <v>69</v>
      </c>
      <c r="P3" t="s">
        <v>70</v>
      </c>
      <c r="Q3" t="s">
        <v>71</v>
      </c>
      <c r="R3" s="3" t="s">
        <v>91</v>
      </c>
      <c r="S3">
        <v>27</v>
      </c>
      <c r="T3" t="s">
        <v>92</v>
      </c>
      <c r="U3" t="s">
        <v>93</v>
      </c>
      <c r="V3" t="s">
        <v>94</v>
      </c>
      <c r="W3" t="s">
        <v>95</v>
      </c>
      <c r="X3">
        <v>3</v>
      </c>
      <c r="Y3">
        <v>3</v>
      </c>
      <c r="Z3">
        <v>4</v>
      </c>
      <c r="AA3">
        <v>3</v>
      </c>
      <c r="AB3">
        <v>3</v>
      </c>
      <c r="AC3">
        <v>4</v>
      </c>
      <c r="AD3">
        <v>4</v>
      </c>
      <c r="AE3">
        <v>4</v>
      </c>
      <c r="AF3">
        <v>4</v>
      </c>
      <c r="AG3">
        <v>4</v>
      </c>
      <c r="AH3">
        <v>3</v>
      </c>
      <c r="AI3">
        <v>4</v>
      </c>
      <c r="AJ3">
        <v>4</v>
      </c>
      <c r="AK3">
        <v>3</v>
      </c>
      <c r="AL3">
        <v>4</v>
      </c>
      <c r="AM3">
        <v>4</v>
      </c>
      <c r="AN3">
        <v>4</v>
      </c>
      <c r="AO3">
        <v>4</v>
      </c>
      <c r="AP3">
        <v>2</v>
      </c>
      <c r="AQ3">
        <v>3</v>
      </c>
      <c r="AR3" t="s">
        <v>75</v>
      </c>
      <c r="AT3">
        <v>0</v>
      </c>
      <c r="AU3" t="s">
        <v>69</v>
      </c>
      <c r="AW3">
        <v>0</v>
      </c>
      <c r="AX3" t="s">
        <v>69</v>
      </c>
      <c r="AY3" t="s">
        <v>83</v>
      </c>
      <c r="AZ3" t="s">
        <v>96</v>
      </c>
      <c r="BA3">
        <v>0</v>
      </c>
      <c r="BB3">
        <v>0</v>
      </c>
      <c r="BC3" t="s">
        <v>97</v>
      </c>
      <c r="BD3" t="s">
        <v>79</v>
      </c>
      <c r="BE3" t="s">
        <v>98</v>
      </c>
      <c r="BF3" t="s">
        <v>99</v>
      </c>
      <c r="BG3" t="s">
        <v>98</v>
      </c>
      <c r="BH3" t="s">
        <v>99</v>
      </c>
      <c r="BI3" t="s">
        <v>98</v>
      </c>
    </row>
    <row r="4" spans="1:61" x14ac:dyDescent="0.35">
      <c r="A4">
        <v>3</v>
      </c>
      <c r="B4">
        <v>45838.866041666668</v>
      </c>
      <c r="C4" t="s">
        <v>100</v>
      </c>
      <c r="D4" t="s">
        <v>101</v>
      </c>
      <c r="E4" t="s">
        <v>63</v>
      </c>
      <c r="F4" t="s">
        <v>63</v>
      </c>
      <c r="G4" t="s">
        <v>102</v>
      </c>
      <c r="H4" t="s">
        <v>103</v>
      </c>
      <c r="I4" t="s">
        <v>104</v>
      </c>
      <c r="J4" t="s">
        <v>67</v>
      </c>
      <c r="K4" t="s">
        <v>105</v>
      </c>
      <c r="L4" t="s">
        <v>69</v>
      </c>
      <c r="M4" t="s">
        <v>69</v>
      </c>
      <c r="N4" t="s">
        <v>69</v>
      </c>
      <c r="O4" t="s">
        <v>69</v>
      </c>
      <c r="P4" t="s">
        <v>106</v>
      </c>
      <c r="Q4" t="s">
        <v>107</v>
      </c>
      <c r="R4" s="3" t="s">
        <v>108</v>
      </c>
      <c r="S4">
        <v>32</v>
      </c>
      <c r="T4" t="s">
        <v>109</v>
      </c>
      <c r="U4" t="s">
        <v>73</v>
      </c>
      <c r="V4" t="s">
        <v>110</v>
      </c>
      <c r="W4" t="s">
        <v>110</v>
      </c>
      <c r="X4">
        <v>4</v>
      </c>
      <c r="Y4">
        <v>4</v>
      </c>
      <c r="Z4">
        <v>4</v>
      </c>
      <c r="AA4">
        <v>4</v>
      </c>
      <c r="AB4">
        <v>4</v>
      </c>
      <c r="AC4">
        <v>4</v>
      </c>
      <c r="AD4">
        <v>4</v>
      </c>
      <c r="AE4">
        <v>4</v>
      </c>
      <c r="AF4">
        <v>4</v>
      </c>
      <c r="AG4">
        <v>4</v>
      </c>
      <c r="AH4">
        <v>4</v>
      </c>
      <c r="AI4">
        <v>4</v>
      </c>
      <c r="AJ4">
        <v>4</v>
      </c>
      <c r="AK4">
        <v>4</v>
      </c>
      <c r="AL4">
        <v>4</v>
      </c>
      <c r="AM4">
        <v>4</v>
      </c>
      <c r="AN4">
        <v>4</v>
      </c>
      <c r="AO4">
        <v>4</v>
      </c>
      <c r="AP4">
        <v>4</v>
      </c>
      <c r="AQ4">
        <v>0</v>
      </c>
      <c r="AR4" t="s">
        <v>75</v>
      </c>
      <c r="AT4">
        <v>0</v>
      </c>
      <c r="AU4" t="s">
        <v>69</v>
      </c>
      <c r="AW4">
        <v>0</v>
      </c>
      <c r="AX4" t="s">
        <v>69</v>
      </c>
      <c r="AY4" t="s">
        <v>83</v>
      </c>
      <c r="AZ4" t="s">
        <v>96</v>
      </c>
      <c r="BA4">
        <v>0</v>
      </c>
      <c r="BB4">
        <v>0</v>
      </c>
      <c r="BC4" t="s">
        <v>111</v>
      </c>
      <c r="BD4" t="s">
        <v>112</v>
      </c>
      <c r="BE4" t="s">
        <v>113</v>
      </c>
      <c r="BF4" t="s">
        <v>112</v>
      </c>
      <c r="BG4" t="s">
        <v>114</v>
      </c>
      <c r="BH4" t="s">
        <v>79</v>
      </c>
      <c r="BI4" t="s">
        <v>83</v>
      </c>
    </row>
    <row r="5" spans="1:61" x14ac:dyDescent="0.35">
      <c r="A5">
        <v>4</v>
      </c>
      <c r="B5">
        <v>45838.794351851851</v>
      </c>
      <c r="C5" t="s">
        <v>115</v>
      </c>
      <c r="D5" t="s">
        <v>116</v>
      </c>
      <c r="E5" t="s">
        <v>63</v>
      </c>
      <c r="F5" t="s">
        <v>63</v>
      </c>
      <c r="G5" t="s">
        <v>117</v>
      </c>
      <c r="H5" t="s">
        <v>65</v>
      </c>
      <c r="I5" t="s">
        <v>66</v>
      </c>
      <c r="J5" t="s">
        <v>67</v>
      </c>
      <c r="K5" t="s">
        <v>118</v>
      </c>
      <c r="L5" t="s">
        <v>69</v>
      </c>
      <c r="M5" t="s">
        <v>69</v>
      </c>
      <c r="N5" t="s">
        <v>69</v>
      </c>
      <c r="O5" t="s">
        <v>69</v>
      </c>
      <c r="P5" t="s">
        <v>106</v>
      </c>
      <c r="Q5" t="s">
        <v>71</v>
      </c>
      <c r="R5" s="3">
        <v>27</v>
      </c>
      <c r="S5">
        <v>27</v>
      </c>
      <c r="T5" t="s">
        <v>92</v>
      </c>
      <c r="U5" t="s">
        <v>73</v>
      </c>
      <c r="V5" t="s">
        <v>74</v>
      </c>
      <c r="W5" t="s">
        <v>74</v>
      </c>
      <c r="X5">
        <v>4</v>
      </c>
      <c r="Y5">
        <v>4</v>
      </c>
      <c r="Z5">
        <v>4</v>
      </c>
      <c r="AA5">
        <v>4</v>
      </c>
      <c r="AB5">
        <v>4</v>
      </c>
      <c r="AC5">
        <v>4</v>
      </c>
      <c r="AD5">
        <v>4</v>
      </c>
      <c r="AE5">
        <v>4</v>
      </c>
      <c r="AF5">
        <v>4</v>
      </c>
      <c r="AG5">
        <v>4</v>
      </c>
      <c r="AH5">
        <v>4</v>
      </c>
      <c r="AI5">
        <v>4</v>
      </c>
      <c r="AJ5">
        <v>4</v>
      </c>
      <c r="AK5">
        <v>4</v>
      </c>
      <c r="AL5">
        <v>3</v>
      </c>
      <c r="AM5">
        <v>3</v>
      </c>
      <c r="AN5">
        <v>3</v>
      </c>
      <c r="AO5">
        <v>3</v>
      </c>
      <c r="AP5">
        <v>1</v>
      </c>
      <c r="AQ5">
        <v>4</v>
      </c>
      <c r="AR5" t="s">
        <v>75</v>
      </c>
      <c r="AT5">
        <v>0</v>
      </c>
      <c r="AU5" t="s">
        <v>69</v>
      </c>
      <c r="AW5">
        <v>0</v>
      </c>
      <c r="AX5" t="s">
        <v>69</v>
      </c>
      <c r="AY5" t="s">
        <v>83</v>
      </c>
      <c r="AZ5" t="s">
        <v>96</v>
      </c>
      <c r="BA5">
        <v>0</v>
      </c>
      <c r="BB5">
        <v>0</v>
      </c>
      <c r="BC5" t="s">
        <v>119</v>
      </c>
      <c r="BD5" t="s">
        <v>79</v>
      </c>
      <c r="BE5" t="s">
        <v>120</v>
      </c>
      <c r="BF5" t="s">
        <v>81</v>
      </c>
      <c r="BG5" t="s">
        <v>121</v>
      </c>
      <c r="BH5" t="s">
        <v>79</v>
      </c>
      <c r="BI5" t="s">
        <v>122</v>
      </c>
    </row>
    <row r="6" spans="1:61" x14ac:dyDescent="0.35">
      <c r="A6">
        <v>5</v>
      </c>
      <c r="B6">
        <v>45838.798807870371</v>
      </c>
      <c r="C6" t="s">
        <v>123</v>
      </c>
      <c r="D6" t="s">
        <v>124</v>
      </c>
      <c r="E6" t="s">
        <v>63</v>
      </c>
      <c r="F6" t="s">
        <v>125</v>
      </c>
      <c r="G6" t="s">
        <v>126</v>
      </c>
      <c r="H6" t="s">
        <v>127</v>
      </c>
      <c r="I6" t="s">
        <v>128</v>
      </c>
      <c r="J6" t="s">
        <v>67</v>
      </c>
      <c r="K6" t="s">
        <v>129</v>
      </c>
      <c r="L6" t="s">
        <v>69</v>
      </c>
      <c r="M6" t="s">
        <v>69</v>
      </c>
      <c r="N6" t="s">
        <v>69</v>
      </c>
      <c r="O6" t="s">
        <v>69</v>
      </c>
      <c r="P6" t="s">
        <v>106</v>
      </c>
      <c r="Q6" t="s">
        <v>71</v>
      </c>
      <c r="R6" s="3" t="s">
        <v>130</v>
      </c>
      <c r="S6">
        <v>18</v>
      </c>
      <c r="T6" t="s">
        <v>131</v>
      </c>
      <c r="U6" t="s">
        <v>73</v>
      </c>
      <c r="V6" t="s">
        <v>132</v>
      </c>
      <c r="W6" t="s">
        <v>133</v>
      </c>
      <c r="X6">
        <v>3</v>
      </c>
      <c r="Y6">
        <v>3</v>
      </c>
      <c r="Z6">
        <v>4</v>
      </c>
      <c r="AA6">
        <v>4</v>
      </c>
      <c r="AB6">
        <v>3</v>
      </c>
      <c r="AC6">
        <v>3</v>
      </c>
      <c r="AD6">
        <v>4</v>
      </c>
      <c r="AE6">
        <v>4</v>
      </c>
      <c r="AF6">
        <v>4</v>
      </c>
      <c r="AG6">
        <v>4</v>
      </c>
      <c r="AH6">
        <v>3</v>
      </c>
      <c r="AI6">
        <v>4</v>
      </c>
      <c r="AJ6">
        <v>4</v>
      </c>
      <c r="AK6">
        <v>4</v>
      </c>
      <c r="AL6">
        <v>4</v>
      </c>
      <c r="AM6">
        <v>4</v>
      </c>
      <c r="AN6">
        <v>3</v>
      </c>
      <c r="AO6">
        <v>3</v>
      </c>
      <c r="AP6">
        <v>2</v>
      </c>
      <c r="AQ6">
        <v>3</v>
      </c>
      <c r="AR6" t="s">
        <v>75</v>
      </c>
      <c r="AT6">
        <v>0</v>
      </c>
      <c r="AU6" t="s">
        <v>69</v>
      </c>
      <c r="AW6">
        <v>0</v>
      </c>
      <c r="AX6" t="s">
        <v>69</v>
      </c>
      <c r="AY6" t="s">
        <v>83</v>
      </c>
      <c r="AZ6" t="s">
        <v>96</v>
      </c>
      <c r="BA6">
        <v>0</v>
      </c>
      <c r="BB6">
        <v>0</v>
      </c>
      <c r="BC6" t="s">
        <v>98</v>
      </c>
      <c r="BD6" t="s">
        <v>99</v>
      </c>
      <c r="BE6" t="s">
        <v>98</v>
      </c>
      <c r="BF6" t="s">
        <v>99</v>
      </c>
      <c r="BG6" t="s">
        <v>98</v>
      </c>
      <c r="BH6" t="s">
        <v>99</v>
      </c>
      <c r="BI6" t="s">
        <v>98</v>
      </c>
    </row>
    <row r="7" spans="1:61" x14ac:dyDescent="0.35">
      <c r="A7">
        <v>6</v>
      </c>
      <c r="B7">
        <v>45838.799513888887</v>
      </c>
      <c r="C7" t="s">
        <v>134</v>
      </c>
      <c r="D7" t="s">
        <v>135</v>
      </c>
      <c r="E7" t="s">
        <v>63</v>
      </c>
      <c r="F7" t="s">
        <v>136</v>
      </c>
      <c r="G7" t="s">
        <v>137</v>
      </c>
      <c r="H7" t="s">
        <v>138</v>
      </c>
      <c r="I7" t="s">
        <v>139</v>
      </c>
      <c r="J7" t="s">
        <v>140</v>
      </c>
      <c r="K7" t="s">
        <v>141</v>
      </c>
      <c r="L7" t="s">
        <v>69</v>
      </c>
      <c r="M7" t="s">
        <v>69</v>
      </c>
      <c r="N7" t="s">
        <v>69</v>
      </c>
      <c r="O7" t="s">
        <v>69</v>
      </c>
      <c r="P7" t="s">
        <v>70</v>
      </c>
      <c r="Q7" t="s">
        <v>71</v>
      </c>
      <c r="R7" s="3">
        <v>24</v>
      </c>
      <c r="S7">
        <v>24</v>
      </c>
      <c r="T7" t="s">
        <v>72</v>
      </c>
      <c r="U7" t="s">
        <v>93</v>
      </c>
      <c r="V7" t="s">
        <v>142</v>
      </c>
      <c r="W7" t="s">
        <v>143</v>
      </c>
      <c r="X7">
        <v>4</v>
      </c>
      <c r="Y7">
        <v>4</v>
      </c>
      <c r="Z7">
        <v>4</v>
      </c>
      <c r="AA7">
        <v>3</v>
      </c>
      <c r="AB7">
        <v>4</v>
      </c>
      <c r="AC7">
        <v>4</v>
      </c>
      <c r="AD7">
        <v>4</v>
      </c>
      <c r="AE7">
        <v>4</v>
      </c>
      <c r="AF7">
        <v>4</v>
      </c>
      <c r="AG7">
        <v>4</v>
      </c>
      <c r="AH7">
        <v>4</v>
      </c>
      <c r="AI7">
        <v>4</v>
      </c>
      <c r="AJ7">
        <v>4</v>
      </c>
      <c r="AK7">
        <v>4</v>
      </c>
      <c r="AL7">
        <v>4</v>
      </c>
      <c r="AM7">
        <v>4</v>
      </c>
      <c r="AN7">
        <v>3</v>
      </c>
      <c r="AO7">
        <v>3</v>
      </c>
      <c r="AQ7">
        <v>0</v>
      </c>
      <c r="AR7" t="s">
        <v>69</v>
      </c>
      <c r="AT7">
        <v>0</v>
      </c>
      <c r="AU7" t="s">
        <v>69</v>
      </c>
      <c r="AW7">
        <v>0</v>
      </c>
      <c r="AX7" t="s">
        <v>69</v>
      </c>
      <c r="AY7" t="s">
        <v>144</v>
      </c>
      <c r="AZ7" t="s">
        <v>144</v>
      </c>
      <c r="BA7">
        <v>1</v>
      </c>
      <c r="BB7">
        <v>4</v>
      </c>
      <c r="BC7" t="s">
        <v>98</v>
      </c>
      <c r="BD7" t="s">
        <v>99</v>
      </c>
      <c r="BE7" t="s">
        <v>98</v>
      </c>
      <c r="BF7" t="s">
        <v>99</v>
      </c>
      <c r="BG7" t="s">
        <v>145</v>
      </c>
      <c r="BH7" t="s">
        <v>146</v>
      </c>
      <c r="BI7" t="s">
        <v>98</v>
      </c>
    </row>
    <row r="8" spans="1:61" x14ac:dyDescent="0.35">
      <c r="A8">
        <v>7</v>
      </c>
      <c r="B8">
        <v>45838.803831018522</v>
      </c>
      <c r="C8" t="s">
        <v>147</v>
      </c>
      <c r="D8" t="s">
        <v>148</v>
      </c>
      <c r="E8" t="s">
        <v>63</v>
      </c>
      <c r="F8" t="s">
        <v>149</v>
      </c>
      <c r="G8" t="s">
        <v>150</v>
      </c>
      <c r="H8" t="s">
        <v>65</v>
      </c>
      <c r="I8" t="s">
        <v>66</v>
      </c>
      <c r="J8" t="s">
        <v>151</v>
      </c>
      <c r="K8" t="s">
        <v>152</v>
      </c>
      <c r="L8" t="s">
        <v>69</v>
      </c>
      <c r="M8" t="s">
        <v>69</v>
      </c>
      <c r="N8" t="s">
        <v>69</v>
      </c>
      <c r="O8" t="s">
        <v>69</v>
      </c>
      <c r="P8" t="s">
        <v>70</v>
      </c>
      <c r="Q8" t="s">
        <v>107</v>
      </c>
      <c r="R8" s="3">
        <v>37</v>
      </c>
      <c r="S8">
        <v>37</v>
      </c>
      <c r="T8" t="s">
        <v>153</v>
      </c>
      <c r="U8" t="s">
        <v>93</v>
      </c>
      <c r="V8" t="s">
        <v>154</v>
      </c>
      <c r="W8" t="s">
        <v>154</v>
      </c>
      <c r="X8">
        <v>4</v>
      </c>
      <c r="Y8">
        <v>3</v>
      </c>
      <c r="Z8">
        <v>4</v>
      </c>
      <c r="AA8">
        <v>4</v>
      </c>
      <c r="AB8">
        <v>4</v>
      </c>
      <c r="AC8">
        <v>4</v>
      </c>
      <c r="AD8">
        <v>4</v>
      </c>
      <c r="AE8">
        <v>4</v>
      </c>
      <c r="AF8">
        <v>3</v>
      </c>
      <c r="AG8">
        <v>3</v>
      </c>
      <c r="AH8">
        <v>3</v>
      </c>
      <c r="AI8">
        <v>3</v>
      </c>
      <c r="AJ8">
        <v>3</v>
      </c>
      <c r="AK8">
        <v>3</v>
      </c>
      <c r="AL8">
        <v>3</v>
      </c>
      <c r="AM8">
        <v>3</v>
      </c>
      <c r="AN8">
        <v>3</v>
      </c>
      <c r="AO8">
        <v>4</v>
      </c>
      <c r="AP8">
        <v>2</v>
      </c>
      <c r="AQ8">
        <v>3</v>
      </c>
      <c r="AR8" t="s">
        <v>75</v>
      </c>
      <c r="AS8">
        <v>2</v>
      </c>
      <c r="AT8">
        <v>3</v>
      </c>
      <c r="AU8" t="s">
        <v>75</v>
      </c>
      <c r="AW8">
        <v>0</v>
      </c>
      <c r="AX8" t="s">
        <v>69</v>
      </c>
      <c r="AY8" t="s">
        <v>83</v>
      </c>
      <c r="AZ8" t="s">
        <v>96</v>
      </c>
      <c r="BA8">
        <v>0</v>
      </c>
      <c r="BB8">
        <v>0</v>
      </c>
      <c r="BC8" t="s">
        <v>155</v>
      </c>
      <c r="BD8" t="s">
        <v>79</v>
      </c>
      <c r="BE8" t="s">
        <v>156</v>
      </c>
      <c r="BF8" t="s">
        <v>157</v>
      </c>
      <c r="BG8" t="s">
        <v>158</v>
      </c>
      <c r="BH8" t="s">
        <v>79</v>
      </c>
      <c r="BI8" t="s">
        <v>159</v>
      </c>
    </row>
    <row r="9" spans="1:61" x14ac:dyDescent="0.35">
      <c r="A9">
        <v>8</v>
      </c>
      <c r="B9">
        <v>45838.804560185185</v>
      </c>
      <c r="C9" t="s">
        <v>160</v>
      </c>
      <c r="D9" t="s">
        <v>161</v>
      </c>
      <c r="E9" t="s">
        <v>63</v>
      </c>
      <c r="F9" t="s">
        <v>136</v>
      </c>
      <c r="G9" t="s">
        <v>162</v>
      </c>
      <c r="H9" t="s">
        <v>138</v>
      </c>
      <c r="I9" t="s">
        <v>139</v>
      </c>
      <c r="J9" t="s">
        <v>163</v>
      </c>
      <c r="K9" t="s">
        <v>164</v>
      </c>
      <c r="L9" t="s">
        <v>69</v>
      </c>
      <c r="M9" t="s">
        <v>69</v>
      </c>
      <c r="N9" t="s">
        <v>69</v>
      </c>
      <c r="O9" t="s">
        <v>69</v>
      </c>
      <c r="P9" t="s">
        <v>70</v>
      </c>
      <c r="Q9" t="s">
        <v>71</v>
      </c>
      <c r="R9" s="3">
        <v>18</v>
      </c>
      <c r="S9">
        <v>18</v>
      </c>
      <c r="T9" t="s">
        <v>131</v>
      </c>
      <c r="U9" t="s">
        <v>73</v>
      </c>
      <c r="V9" t="s">
        <v>165</v>
      </c>
      <c r="W9" t="s">
        <v>133</v>
      </c>
      <c r="X9">
        <v>4</v>
      </c>
      <c r="Y9">
        <v>4</v>
      </c>
      <c r="Z9">
        <v>4</v>
      </c>
      <c r="AA9">
        <v>4</v>
      </c>
      <c r="AB9">
        <v>4</v>
      </c>
      <c r="AC9">
        <v>4</v>
      </c>
      <c r="AD9">
        <v>4</v>
      </c>
      <c r="AE9">
        <v>4</v>
      </c>
      <c r="AF9">
        <v>4</v>
      </c>
      <c r="AG9">
        <v>4</v>
      </c>
      <c r="AH9">
        <v>4</v>
      </c>
      <c r="AI9">
        <v>4</v>
      </c>
      <c r="AJ9">
        <v>4</v>
      </c>
      <c r="AK9">
        <v>4</v>
      </c>
      <c r="AL9">
        <v>4</v>
      </c>
      <c r="AM9">
        <v>4</v>
      </c>
      <c r="AN9">
        <v>4</v>
      </c>
      <c r="AO9">
        <v>4</v>
      </c>
      <c r="AQ9">
        <v>0</v>
      </c>
      <c r="AR9" t="s">
        <v>69</v>
      </c>
      <c r="AT9">
        <v>0</v>
      </c>
      <c r="AU9" t="s">
        <v>69</v>
      </c>
      <c r="AW9">
        <v>0</v>
      </c>
      <c r="AX9" t="s">
        <v>69</v>
      </c>
      <c r="AY9" t="s">
        <v>166</v>
      </c>
      <c r="AZ9" t="s">
        <v>77</v>
      </c>
      <c r="BA9">
        <v>1</v>
      </c>
      <c r="BB9">
        <v>4</v>
      </c>
      <c r="BC9" t="s">
        <v>98</v>
      </c>
      <c r="BD9" t="s">
        <v>99</v>
      </c>
      <c r="BE9" t="s">
        <v>98</v>
      </c>
      <c r="BF9" t="s">
        <v>99</v>
      </c>
      <c r="BG9" t="s">
        <v>98</v>
      </c>
      <c r="BH9" t="s">
        <v>99</v>
      </c>
      <c r="BI9" t="s">
        <v>98</v>
      </c>
    </row>
    <row r="10" spans="1:61" x14ac:dyDescent="0.35">
      <c r="A10">
        <v>9</v>
      </c>
      <c r="B10">
        <v>45838.808287037034</v>
      </c>
      <c r="C10" t="s">
        <v>167</v>
      </c>
      <c r="D10" t="s">
        <v>168</v>
      </c>
      <c r="E10" t="s">
        <v>63</v>
      </c>
      <c r="F10" t="s">
        <v>63</v>
      </c>
      <c r="G10" t="s">
        <v>169</v>
      </c>
      <c r="H10" t="s">
        <v>88</v>
      </c>
      <c r="I10" t="s">
        <v>89</v>
      </c>
      <c r="J10" t="s">
        <v>170</v>
      </c>
      <c r="K10" t="s">
        <v>171</v>
      </c>
      <c r="L10" t="s">
        <v>69</v>
      </c>
      <c r="M10" t="s">
        <v>69</v>
      </c>
      <c r="N10" t="s">
        <v>69</v>
      </c>
      <c r="O10" t="s">
        <v>69</v>
      </c>
      <c r="P10" t="s">
        <v>70</v>
      </c>
      <c r="Q10" t="s">
        <v>71</v>
      </c>
      <c r="R10" s="3" t="s">
        <v>130</v>
      </c>
      <c r="S10">
        <v>18</v>
      </c>
      <c r="T10" t="s">
        <v>131</v>
      </c>
      <c r="U10" t="s">
        <v>73</v>
      </c>
      <c r="V10" t="s">
        <v>132</v>
      </c>
      <c r="W10" t="s">
        <v>133</v>
      </c>
      <c r="X10">
        <v>3</v>
      </c>
      <c r="Y10">
        <v>3</v>
      </c>
      <c r="Z10">
        <v>3</v>
      </c>
      <c r="AA10">
        <v>3</v>
      </c>
      <c r="AB10">
        <v>3</v>
      </c>
      <c r="AC10">
        <v>3</v>
      </c>
      <c r="AD10">
        <v>3</v>
      </c>
      <c r="AE10">
        <v>3</v>
      </c>
      <c r="AF10">
        <v>3</v>
      </c>
      <c r="AG10">
        <v>3</v>
      </c>
      <c r="AH10">
        <v>3</v>
      </c>
      <c r="AI10">
        <v>3</v>
      </c>
      <c r="AJ10">
        <v>4</v>
      </c>
      <c r="AK10">
        <v>3</v>
      </c>
      <c r="AL10">
        <v>3</v>
      </c>
      <c r="AM10">
        <v>3</v>
      </c>
      <c r="AN10">
        <v>3</v>
      </c>
      <c r="AO10">
        <v>3</v>
      </c>
      <c r="AQ10">
        <v>0</v>
      </c>
      <c r="AR10" t="s">
        <v>69</v>
      </c>
      <c r="AT10">
        <v>0</v>
      </c>
      <c r="AU10" t="s">
        <v>69</v>
      </c>
      <c r="AW10">
        <v>0</v>
      </c>
      <c r="AX10" t="s">
        <v>69</v>
      </c>
      <c r="AY10" t="s">
        <v>172</v>
      </c>
      <c r="AZ10" t="s">
        <v>77</v>
      </c>
      <c r="BA10">
        <v>2</v>
      </c>
      <c r="BB10">
        <v>3</v>
      </c>
      <c r="BC10" t="s">
        <v>98</v>
      </c>
      <c r="BD10" t="s">
        <v>99</v>
      </c>
      <c r="BE10" t="s">
        <v>98</v>
      </c>
      <c r="BF10" t="s">
        <v>99</v>
      </c>
      <c r="BG10" t="s">
        <v>98</v>
      </c>
      <c r="BH10" t="s">
        <v>99</v>
      </c>
      <c r="BI10" t="s">
        <v>98</v>
      </c>
    </row>
    <row r="11" spans="1:61" x14ac:dyDescent="0.35">
      <c r="A11">
        <v>10</v>
      </c>
      <c r="B11">
        <v>45838.809953703705</v>
      </c>
      <c r="C11" t="s">
        <v>173</v>
      </c>
      <c r="D11" t="s">
        <v>174</v>
      </c>
      <c r="E11" t="s">
        <v>63</v>
      </c>
      <c r="F11" t="s">
        <v>136</v>
      </c>
      <c r="G11" t="s">
        <v>175</v>
      </c>
      <c r="H11" t="s">
        <v>138</v>
      </c>
      <c r="I11" t="s">
        <v>139</v>
      </c>
      <c r="J11" t="s">
        <v>163</v>
      </c>
      <c r="K11" t="s">
        <v>176</v>
      </c>
      <c r="L11" t="s">
        <v>69</v>
      </c>
      <c r="M11" t="s">
        <v>69</v>
      </c>
      <c r="N11" t="s">
        <v>69</v>
      </c>
      <c r="O11" t="s">
        <v>69</v>
      </c>
      <c r="P11" t="s">
        <v>70</v>
      </c>
      <c r="Q11" t="s">
        <v>71</v>
      </c>
      <c r="R11" s="3">
        <v>18</v>
      </c>
      <c r="S11">
        <v>18</v>
      </c>
      <c r="T11" t="s">
        <v>131</v>
      </c>
      <c r="U11" t="s">
        <v>73</v>
      </c>
      <c r="V11" t="s">
        <v>94</v>
      </c>
      <c r="W11" t="s">
        <v>95</v>
      </c>
      <c r="X11">
        <v>4</v>
      </c>
      <c r="Y11">
        <v>4</v>
      </c>
      <c r="Z11">
        <v>4</v>
      </c>
      <c r="AA11">
        <v>4</v>
      </c>
      <c r="AB11">
        <v>4</v>
      </c>
      <c r="AC11">
        <v>4</v>
      </c>
      <c r="AD11">
        <v>3</v>
      </c>
      <c r="AE11">
        <v>4</v>
      </c>
      <c r="AF11">
        <v>4</v>
      </c>
      <c r="AG11">
        <v>4</v>
      </c>
      <c r="AH11">
        <v>4</v>
      </c>
      <c r="AI11">
        <v>4</v>
      </c>
      <c r="AJ11">
        <v>4</v>
      </c>
      <c r="AK11">
        <v>4</v>
      </c>
      <c r="AL11">
        <v>4</v>
      </c>
      <c r="AM11">
        <v>4</v>
      </c>
      <c r="AN11">
        <v>4</v>
      </c>
      <c r="AO11">
        <v>4</v>
      </c>
      <c r="AQ11">
        <v>0</v>
      </c>
      <c r="AR11" t="s">
        <v>69</v>
      </c>
      <c r="AT11">
        <v>0</v>
      </c>
      <c r="AU11" t="s">
        <v>69</v>
      </c>
      <c r="AV11">
        <v>1</v>
      </c>
      <c r="AW11">
        <v>4</v>
      </c>
      <c r="AX11" t="s">
        <v>75</v>
      </c>
      <c r="AY11" t="s">
        <v>83</v>
      </c>
      <c r="AZ11" t="s">
        <v>96</v>
      </c>
      <c r="BA11">
        <v>0</v>
      </c>
      <c r="BB11">
        <v>0</v>
      </c>
      <c r="BC11" t="s">
        <v>98</v>
      </c>
      <c r="BD11" t="s">
        <v>99</v>
      </c>
      <c r="BE11" t="s">
        <v>98</v>
      </c>
      <c r="BF11" t="s">
        <v>99</v>
      </c>
      <c r="BG11" t="s">
        <v>98</v>
      </c>
      <c r="BH11" t="s">
        <v>99</v>
      </c>
      <c r="BI11" t="s">
        <v>98</v>
      </c>
    </row>
    <row r="12" spans="1:61" x14ac:dyDescent="0.35">
      <c r="A12">
        <v>11</v>
      </c>
      <c r="B12">
        <v>45838.810127314813</v>
      </c>
      <c r="C12" t="s">
        <v>177</v>
      </c>
      <c r="D12" t="s">
        <v>178</v>
      </c>
      <c r="E12" t="s">
        <v>63</v>
      </c>
      <c r="F12" t="s">
        <v>179</v>
      </c>
      <c r="G12" t="s">
        <v>180</v>
      </c>
      <c r="H12" t="s">
        <v>65</v>
      </c>
      <c r="I12" t="s">
        <v>66</v>
      </c>
      <c r="J12" t="s">
        <v>67</v>
      </c>
      <c r="K12" t="s">
        <v>181</v>
      </c>
      <c r="L12" t="s">
        <v>69</v>
      </c>
      <c r="M12" t="s">
        <v>69</v>
      </c>
      <c r="N12" t="s">
        <v>69</v>
      </c>
      <c r="O12" t="s">
        <v>69</v>
      </c>
      <c r="P12" t="s">
        <v>106</v>
      </c>
      <c r="Q12" t="s">
        <v>107</v>
      </c>
      <c r="R12" s="3">
        <v>60</v>
      </c>
      <c r="S12">
        <v>60</v>
      </c>
      <c r="T12" t="s">
        <v>182</v>
      </c>
      <c r="U12" t="s">
        <v>93</v>
      </c>
      <c r="V12" t="s">
        <v>183</v>
      </c>
      <c r="W12" t="s">
        <v>184</v>
      </c>
      <c r="X12">
        <v>4</v>
      </c>
      <c r="Y12">
        <v>3</v>
      </c>
      <c r="Z12">
        <v>4</v>
      </c>
      <c r="AA12">
        <v>3</v>
      </c>
      <c r="AB12">
        <v>4</v>
      </c>
      <c r="AC12">
        <v>4</v>
      </c>
      <c r="AD12">
        <v>4</v>
      </c>
      <c r="AE12">
        <v>4</v>
      </c>
      <c r="AF12">
        <v>4</v>
      </c>
      <c r="AG12">
        <v>4</v>
      </c>
      <c r="AH12">
        <v>4</v>
      </c>
      <c r="AI12">
        <v>3</v>
      </c>
      <c r="AJ12">
        <v>4</v>
      </c>
      <c r="AK12">
        <v>4</v>
      </c>
      <c r="AL12">
        <v>4</v>
      </c>
      <c r="AM12">
        <v>3</v>
      </c>
      <c r="AN12">
        <v>4</v>
      </c>
      <c r="AO12">
        <v>3</v>
      </c>
      <c r="AQ12">
        <v>0</v>
      </c>
      <c r="AR12" t="s">
        <v>69</v>
      </c>
      <c r="AT12">
        <v>0</v>
      </c>
      <c r="AU12" t="s">
        <v>69</v>
      </c>
      <c r="AW12">
        <v>0</v>
      </c>
      <c r="AX12" t="s">
        <v>69</v>
      </c>
      <c r="AY12" t="s">
        <v>185</v>
      </c>
      <c r="AZ12" t="s">
        <v>186</v>
      </c>
      <c r="BA12">
        <v>1</v>
      </c>
      <c r="BB12">
        <v>4</v>
      </c>
      <c r="BC12" t="s">
        <v>187</v>
      </c>
      <c r="BD12" t="s">
        <v>79</v>
      </c>
      <c r="BE12" t="s">
        <v>188</v>
      </c>
      <c r="BF12" t="s">
        <v>81</v>
      </c>
      <c r="BG12" t="s">
        <v>189</v>
      </c>
      <c r="BH12" t="s">
        <v>190</v>
      </c>
      <c r="BI12" t="s">
        <v>191</v>
      </c>
    </row>
    <row r="13" spans="1:61" x14ac:dyDescent="0.35">
      <c r="A13">
        <v>12</v>
      </c>
      <c r="B13">
        <v>45838.883946759262</v>
      </c>
      <c r="C13" t="s">
        <v>192</v>
      </c>
      <c r="D13" t="s">
        <v>193</v>
      </c>
      <c r="E13" t="s">
        <v>63</v>
      </c>
      <c r="F13" t="s">
        <v>63</v>
      </c>
      <c r="G13" t="s">
        <v>194</v>
      </c>
      <c r="H13" t="s">
        <v>103</v>
      </c>
      <c r="I13" t="s">
        <v>104</v>
      </c>
      <c r="J13" t="s">
        <v>67</v>
      </c>
      <c r="K13" t="s">
        <v>195</v>
      </c>
      <c r="L13" t="s">
        <v>69</v>
      </c>
      <c r="M13" t="s">
        <v>69</v>
      </c>
      <c r="N13" t="s">
        <v>69</v>
      </c>
      <c r="O13" t="s">
        <v>69</v>
      </c>
      <c r="P13" t="s">
        <v>70</v>
      </c>
      <c r="Q13" t="s">
        <v>107</v>
      </c>
      <c r="R13" s="3">
        <v>42</v>
      </c>
      <c r="S13">
        <v>42</v>
      </c>
      <c r="T13" t="s">
        <v>197</v>
      </c>
      <c r="U13" t="s">
        <v>73</v>
      </c>
      <c r="V13" t="s">
        <v>110</v>
      </c>
      <c r="W13" t="s">
        <v>110</v>
      </c>
      <c r="X13">
        <v>4</v>
      </c>
      <c r="Y13">
        <v>4</v>
      </c>
      <c r="Z13">
        <v>4</v>
      </c>
      <c r="AA13">
        <v>4</v>
      </c>
      <c r="AB13">
        <v>4</v>
      </c>
      <c r="AC13">
        <v>4</v>
      </c>
      <c r="AD13">
        <v>0</v>
      </c>
      <c r="AE13">
        <v>0</v>
      </c>
      <c r="AF13">
        <v>4</v>
      </c>
      <c r="AG13">
        <v>4</v>
      </c>
      <c r="AH13">
        <v>4</v>
      </c>
      <c r="AI13">
        <v>4</v>
      </c>
      <c r="AJ13">
        <v>4</v>
      </c>
      <c r="AK13">
        <v>4</v>
      </c>
      <c r="AL13">
        <v>4</v>
      </c>
      <c r="AM13">
        <v>4</v>
      </c>
      <c r="AN13">
        <v>3</v>
      </c>
      <c r="AO13">
        <v>3</v>
      </c>
      <c r="AQ13">
        <v>0</v>
      </c>
      <c r="AR13" t="s">
        <v>69</v>
      </c>
      <c r="AT13">
        <v>0</v>
      </c>
      <c r="AU13" t="s">
        <v>69</v>
      </c>
      <c r="AW13">
        <v>0</v>
      </c>
      <c r="AX13" t="s">
        <v>69</v>
      </c>
      <c r="AY13" t="s">
        <v>198</v>
      </c>
      <c r="AZ13" t="s">
        <v>77</v>
      </c>
      <c r="BA13">
        <v>3</v>
      </c>
      <c r="BB13">
        <v>2</v>
      </c>
      <c r="BC13" t="s">
        <v>199</v>
      </c>
      <c r="BD13" t="s">
        <v>79</v>
      </c>
      <c r="BE13" t="s">
        <v>200</v>
      </c>
      <c r="BF13" t="s">
        <v>112</v>
      </c>
      <c r="BG13" t="s">
        <v>201</v>
      </c>
      <c r="BH13" t="s">
        <v>146</v>
      </c>
      <c r="BI13" t="s">
        <v>83</v>
      </c>
    </row>
    <row r="14" spans="1:61" x14ac:dyDescent="0.35">
      <c r="A14">
        <v>13</v>
      </c>
      <c r="B14">
        <v>45838.817210648151</v>
      </c>
      <c r="C14" t="s">
        <v>202</v>
      </c>
      <c r="D14" t="s">
        <v>203</v>
      </c>
      <c r="E14" t="s">
        <v>63</v>
      </c>
      <c r="F14" t="s">
        <v>179</v>
      </c>
      <c r="G14" t="s">
        <v>204</v>
      </c>
      <c r="H14" t="s">
        <v>88</v>
      </c>
      <c r="I14" t="s">
        <v>89</v>
      </c>
      <c r="J14" t="s">
        <v>170</v>
      </c>
      <c r="K14" t="s">
        <v>205</v>
      </c>
      <c r="L14" t="s">
        <v>69</v>
      </c>
      <c r="M14" t="s">
        <v>69</v>
      </c>
      <c r="N14" t="s">
        <v>69</v>
      </c>
      <c r="O14" t="s">
        <v>69</v>
      </c>
      <c r="P14" t="s">
        <v>106</v>
      </c>
      <c r="Q14" t="s">
        <v>71</v>
      </c>
      <c r="R14" s="3" t="s">
        <v>130</v>
      </c>
      <c r="S14">
        <v>18</v>
      </c>
      <c r="T14" t="s">
        <v>131</v>
      </c>
      <c r="U14" t="s">
        <v>73</v>
      </c>
      <c r="V14" t="s">
        <v>206</v>
      </c>
      <c r="W14" t="s">
        <v>133</v>
      </c>
      <c r="X14">
        <v>4</v>
      </c>
      <c r="Y14">
        <v>4</v>
      </c>
      <c r="Z14">
        <v>4</v>
      </c>
      <c r="AA14">
        <v>4</v>
      </c>
      <c r="AB14">
        <v>3</v>
      </c>
      <c r="AC14">
        <v>4</v>
      </c>
      <c r="AD14">
        <v>3</v>
      </c>
      <c r="AE14">
        <v>4</v>
      </c>
      <c r="AF14">
        <v>4</v>
      </c>
      <c r="AG14">
        <v>4</v>
      </c>
      <c r="AH14">
        <v>4</v>
      </c>
      <c r="AI14">
        <v>4</v>
      </c>
      <c r="AJ14">
        <v>4</v>
      </c>
      <c r="AK14">
        <v>4</v>
      </c>
      <c r="AL14">
        <v>4</v>
      </c>
      <c r="AM14">
        <v>4</v>
      </c>
      <c r="AN14">
        <v>4</v>
      </c>
      <c r="AO14">
        <v>4</v>
      </c>
      <c r="AP14">
        <v>2</v>
      </c>
      <c r="AQ14">
        <v>3</v>
      </c>
      <c r="AR14" t="s">
        <v>75</v>
      </c>
      <c r="AT14">
        <v>0</v>
      </c>
      <c r="AU14" t="s">
        <v>69</v>
      </c>
      <c r="AW14">
        <v>0</v>
      </c>
      <c r="AX14" t="s">
        <v>69</v>
      </c>
      <c r="AY14" t="s">
        <v>83</v>
      </c>
      <c r="AZ14" t="s">
        <v>96</v>
      </c>
      <c r="BA14">
        <v>0</v>
      </c>
      <c r="BB14">
        <v>0</v>
      </c>
      <c r="BC14" t="s">
        <v>98</v>
      </c>
      <c r="BD14" t="s">
        <v>99</v>
      </c>
      <c r="BE14" t="s">
        <v>98</v>
      </c>
      <c r="BF14" t="s">
        <v>99</v>
      </c>
      <c r="BG14" t="s">
        <v>98</v>
      </c>
      <c r="BH14" t="s">
        <v>99</v>
      </c>
      <c r="BI14" t="s">
        <v>98</v>
      </c>
    </row>
    <row r="15" spans="1:61" x14ac:dyDescent="0.35">
      <c r="A15">
        <v>14</v>
      </c>
      <c r="B15">
        <v>45838.841261574074</v>
      </c>
      <c r="C15" t="s">
        <v>207</v>
      </c>
      <c r="D15" t="s">
        <v>208</v>
      </c>
      <c r="E15" t="s">
        <v>63</v>
      </c>
      <c r="F15" t="s">
        <v>136</v>
      </c>
      <c r="G15" t="s">
        <v>209</v>
      </c>
      <c r="H15" t="s">
        <v>210</v>
      </c>
      <c r="I15" t="s">
        <v>211</v>
      </c>
      <c r="J15" t="s">
        <v>163</v>
      </c>
      <c r="K15" t="s">
        <v>212</v>
      </c>
      <c r="L15" t="s">
        <v>69</v>
      </c>
      <c r="M15" t="s">
        <v>69</v>
      </c>
      <c r="N15" t="s">
        <v>69</v>
      </c>
      <c r="O15" t="s">
        <v>69</v>
      </c>
      <c r="P15" t="s">
        <v>70</v>
      </c>
      <c r="Q15" t="s">
        <v>107</v>
      </c>
      <c r="R15" s="3">
        <v>32</v>
      </c>
      <c r="S15">
        <v>32</v>
      </c>
      <c r="T15" t="s">
        <v>109</v>
      </c>
      <c r="U15" t="s">
        <v>73</v>
      </c>
      <c r="V15" t="s">
        <v>74</v>
      </c>
      <c r="W15" t="s">
        <v>74</v>
      </c>
      <c r="X15">
        <v>3</v>
      </c>
      <c r="Y15">
        <v>3</v>
      </c>
      <c r="Z15">
        <v>4</v>
      </c>
      <c r="AA15">
        <v>3</v>
      </c>
      <c r="AB15">
        <v>3</v>
      </c>
      <c r="AC15">
        <v>3</v>
      </c>
      <c r="AD15">
        <v>4</v>
      </c>
      <c r="AE15">
        <v>4</v>
      </c>
      <c r="AF15">
        <v>3</v>
      </c>
      <c r="AG15">
        <v>3</v>
      </c>
      <c r="AH15">
        <v>3</v>
      </c>
      <c r="AI15">
        <v>3</v>
      </c>
      <c r="AJ15">
        <v>4</v>
      </c>
      <c r="AK15">
        <v>4</v>
      </c>
      <c r="AL15">
        <v>4</v>
      </c>
      <c r="AM15">
        <v>4</v>
      </c>
      <c r="AN15">
        <v>3</v>
      </c>
      <c r="AO15">
        <v>3</v>
      </c>
      <c r="AQ15">
        <v>0</v>
      </c>
      <c r="AR15" t="s">
        <v>69</v>
      </c>
      <c r="AT15">
        <v>0</v>
      </c>
      <c r="AU15" t="s">
        <v>69</v>
      </c>
      <c r="AV15">
        <v>1</v>
      </c>
      <c r="AW15">
        <v>4</v>
      </c>
      <c r="AX15" t="s">
        <v>75</v>
      </c>
      <c r="AY15" t="s">
        <v>83</v>
      </c>
      <c r="AZ15" t="s">
        <v>96</v>
      </c>
      <c r="BA15">
        <v>0</v>
      </c>
      <c r="BB15">
        <v>0</v>
      </c>
      <c r="BC15" t="s">
        <v>98</v>
      </c>
      <c r="BD15" t="s">
        <v>99</v>
      </c>
      <c r="BE15" t="s">
        <v>98</v>
      </c>
      <c r="BF15" t="s">
        <v>99</v>
      </c>
      <c r="BG15" t="s">
        <v>98</v>
      </c>
      <c r="BH15" t="s">
        <v>99</v>
      </c>
      <c r="BI15" t="s">
        <v>98</v>
      </c>
    </row>
    <row r="16" spans="1:61" x14ac:dyDescent="0.35">
      <c r="A16">
        <v>15</v>
      </c>
      <c r="B16">
        <v>45838.821655092594</v>
      </c>
      <c r="C16" t="s">
        <v>213</v>
      </c>
      <c r="D16" t="s">
        <v>214</v>
      </c>
      <c r="E16" t="s">
        <v>63</v>
      </c>
      <c r="F16" t="s">
        <v>63</v>
      </c>
      <c r="G16" t="s">
        <v>215</v>
      </c>
      <c r="H16" t="s">
        <v>88</v>
      </c>
      <c r="I16" t="s">
        <v>89</v>
      </c>
      <c r="J16" t="s">
        <v>67</v>
      </c>
      <c r="K16" t="s">
        <v>216</v>
      </c>
      <c r="L16" t="s">
        <v>69</v>
      </c>
      <c r="M16" t="s">
        <v>69</v>
      </c>
      <c r="N16" t="s">
        <v>69</v>
      </c>
      <c r="O16" t="s">
        <v>69</v>
      </c>
      <c r="P16" t="s">
        <v>70</v>
      </c>
      <c r="Q16" t="s">
        <v>71</v>
      </c>
      <c r="R16" s="3" t="s">
        <v>217</v>
      </c>
      <c r="S16">
        <v>20</v>
      </c>
      <c r="T16" t="s">
        <v>131</v>
      </c>
      <c r="U16" t="s">
        <v>73</v>
      </c>
      <c r="V16" t="s">
        <v>94</v>
      </c>
      <c r="W16" t="s">
        <v>95</v>
      </c>
      <c r="X16">
        <v>3</v>
      </c>
      <c r="Y16">
        <v>3</v>
      </c>
      <c r="Z16">
        <v>3</v>
      </c>
      <c r="AA16">
        <v>3</v>
      </c>
      <c r="AB16">
        <v>3</v>
      </c>
      <c r="AC16">
        <v>3</v>
      </c>
      <c r="AD16">
        <v>3</v>
      </c>
      <c r="AE16">
        <v>3</v>
      </c>
      <c r="AF16">
        <v>3</v>
      </c>
      <c r="AG16">
        <v>3</v>
      </c>
      <c r="AH16">
        <v>4</v>
      </c>
      <c r="AI16">
        <v>3</v>
      </c>
      <c r="AJ16">
        <v>3</v>
      </c>
      <c r="AK16">
        <v>4</v>
      </c>
      <c r="AL16">
        <v>3</v>
      </c>
      <c r="AM16">
        <v>3</v>
      </c>
      <c r="AN16">
        <v>3</v>
      </c>
      <c r="AO16">
        <v>3</v>
      </c>
      <c r="AP16">
        <v>3</v>
      </c>
      <c r="AQ16">
        <v>2</v>
      </c>
      <c r="AR16" t="s">
        <v>75</v>
      </c>
      <c r="AT16">
        <v>0</v>
      </c>
      <c r="AU16" t="s">
        <v>69</v>
      </c>
      <c r="AW16">
        <v>0</v>
      </c>
      <c r="AX16" t="s">
        <v>69</v>
      </c>
      <c r="AY16" t="s">
        <v>83</v>
      </c>
      <c r="AZ16" t="s">
        <v>96</v>
      </c>
      <c r="BA16">
        <v>0</v>
      </c>
      <c r="BB16">
        <v>0</v>
      </c>
      <c r="BC16" t="s">
        <v>98</v>
      </c>
      <c r="BD16" t="s">
        <v>99</v>
      </c>
      <c r="BE16" t="s">
        <v>218</v>
      </c>
      <c r="BF16" t="s">
        <v>112</v>
      </c>
      <c r="BG16" t="s">
        <v>98</v>
      </c>
      <c r="BH16" t="s">
        <v>99</v>
      </c>
      <c r="BI16" t="s">
        <v>219</v>
      </c>
    </row>
    <row r="17" spans="1:61" x14ac:dyDescent="0.35">
      <c r="A17">
        <v>16</v>
      </c>
      <c r="B17">
        <v>45838.825578703705</v>
      </c>
      <c r="C17" t="s">
        <v>220</v>
      </c>
      <c r="D17" t="s">
        <v>221</v>
      </c>
      <c r="E17" t="s">
        <v>63</v>
      </c>
      <c r="F17" t="s">
        <v>125</v>
      </c>
      <c r="G17" t="s">
        <v>222</v>
      </c>
      <c r="H17" t="s">
        <v>88</v>
      </c>
      <c r="I17" t="s">
        <v>89</v>
      </c>
      <c r="J17" t="s">
        <v>67</v>
      </c>
      <c r="K17" t="s">
        <v>223</v>
      </c>
      <c r="L17" t="s">
        <v>69</v>
      </c>
      <c r="M17" t="s">
        <v>69</v>
      </c>
      <c r="N17" t="s">
        <v>69</v>
      </c>
      <c r="O17" t="s">
        <v>69</v>
      </c>
      <c r="P17" t="s">
        <v>106</v>
      </c>
      <c r="Q17" t="s">
        <v>107</v>
      </c>
      <c r="R17" s="3" t="s">
        <v>224</v>
      </c>
      <c r="S17">
        <v>46</v>
      </c>
      <c r="T17" t="s">
        <v>225</v>
      </c>
      <c r="U17" t="s">
        <v>93</v>
      </c>
      <c r="V17" t="s">
        <v>74</v>
      </c>
      <c r="W17" t="s">
        <v>74</v>
      </c>
      <c r="X17">
        <v>4</v>
      </c>
      <c r="Y17">
        <v>4</v>
      </c>
      <c r="Z17">
        <v>4</v>
      </c>
      <c r="AA17">
        <v>4</v>
      </c>
      <c r="AB17">
        <v>4</v>
      </c>
      <c r="AC17">
        <v>4</v>
      </c>
      <c r="AD17">
        <v>3</v>
      </c>
      <c r="AE17">
        <v>4</v>
      </c>
      <c r="AF17">
        <v>4</v>
      </c>
      <c r="AG17">
        <v>4</v>
      </c>
      <c r="AH17">
        <v>3</v>
      </c>
      <c r="AI17">
        <v>4</v>
      </c>
      <c r="AJ17">
        <v>4</v>
      </c>
      <c r="AK17">
        <v>4</v>
      </c>
      <c r="AL17">
        <v>4</v>
      </c>
      <c r="AM17">
        <v>4</v>
      </c>
      <c r="AN17">
        <v>4</v>
      </c>
      <c r="AO17">
        <v>4</v>
      </c>
      <c r="AQ17">
        <v>0</v>
      </c>
      <c r="AR17" t="s">
        <v>69</v>
      </c>
      <c r="AT17">
        <v>0</v>
      </c>
      <c r="AU17" t="s">
        <v>69</v>
      </c>
      <c r="AW17">
        <v>0</v>
      </c>
      <c r="AX17" t="s">
        <v>69</v>
      </c>
      <c r="AY17" t="s">
        <v>144</v>
      </c>
      <c r="AZ17" t="s">
        <v>144</v>
      </c>
      <c r="BA17">
        <v>2</v>
      </c>
      <c r="BB17">
        <v>3</v>
      </c>
      <c r="BC17" t="s">
        <v>226</v>
      </c>
      <c r="BD17" t="s">
        <v>227</v>
      </c>
      <c r="BE17" t="s">
        <v>98</v>
      </c>
      <c r="BF17" t="s">
        <v>99</v>
      </c>
      <c r="BG17" t="s">
        <v>98</v>
      </c>
      <c r="BH17" t="s">
        <v>99</v>
      </c>
      <c r="BI17" t="s">
        <v>228</v>
      </c>
    </row>
    <row r="18" spans="1:61" x14ac:dyDescent="0.35">
      <c r="A18">
        <v>17</v>
      </c>
      <c r="B18">
        <v>45838.856238425928</v>
      </c>
      <c r="C18" t="s">
        <v>229</v>
      </c>
      <c r="D18" t="s">
        <v>161</v>
      </c>
      <c r="E18" t="s">
        <v>63</v>
      </c>
      <c r="F18" t="s">
        <v>136</v>
      </c>
      <c r="G18" t="s">
        <v>230</v>
      </c>
      <c r="H18" t="s">
        <v>210</v>
      </c>
      <c r="I18" t="s">
        <v>211</v>
      </c>
      <c r="J18" t="s">
        <v>163</v>
      </c>
      <c r="K18" t="s">
        <v>231</v>
      </c>
      <c r="L18" t="s">
        <v>69</v>
      </c>
      <c r="M18" t="s">
        <v>69</v>
      </c>
      <c r="N18" t="s">
        <v>83</v>
      </c>
      <c r="O18" t="s">
        <v>69</v>
      </c>
      <c r="P18" t="s">
        <v>70</v>
      </c>
      <c r="Q18" t="s">
        <v>107</v>
      </c>
      <c r="R18" s="3">
        <v>60</v>
      </c>
      <c r="S18">
        <v>60</v>
      </c>
      <c r="T18" t="s">
        <v>182</v>
      </c>
      <c r="U18" t="s">
        <v>73</v>
      </c>
      <c r="V18" t="s">
        <v>232</v>
      </c>
      <c r="W18" t="s">
        <v>232</v>
      </c>
      <c r="X18">
        <v>3</v>
      </c>
      <c r="Y18">
        <v>3</v>
      </c>
      <c r="Z18">
        <v>4</v>
      </c>
      <c r="AA18">
        <v>4</v>
      </c>
      <c r="AB18">
        <v>3</v>
      </c>
      <c r="AC18">
        <v>3</v>
      </c>
      <c r="AD18">
        <v>4</v>
      </c>
      <c r="AE18">
        <v>4</v>
      </c>
      <c r="AF18">
        <v>3</v>
      </c>
      <c r="AG18">
        <v>3</v>
      </c>
      <c r="AH18">
        <v>3</v>
      </c>
      <c r="AI18">
        <v>3</v>
      </c>
      <c r="AJ18">
        <v>3</v>
      </c>
      <c r="AK18">
        <v>3</v>
      </c>
      <c r="AL18">
        <v>3</v>
      </c>
      <c r="AM18">
        <v>3</v>
      </c>
      <c r="AN18">
        <v>3</v>
      </c>
      <c r="AO18">
        <v>3</v>
      </c>
      <c r="AQ18">
        <v>0</v>
      </c>
      <c r="AR18" t="s">
        <v>69</v>
      </c>
      <c r="AT18">
        <v>0</v>
      </c>
      <c r="AU18" t="s">
        <v>69</v>
      </c>
      <c r="AW18">
        <v>0</v>
      </c>
      <c r="AX18" t="s">
        <v>69</v>
      </c>
      <c r="AY18" t="s">
        <v>233</v>
      </c>
      <c r="AZ18" t="s">
        <v>144</v>
      </c>
      <c r="BA18">
        <v>2</v>
      </c>
      <c r="BB18">
        <v>3</v>
      </c>
      <c r="BC18" t="s">
        <v>234</v>
      </c>
      <c r="BD18" t="s">
        <v>235</v>
      </c>
      <c r="BE18" t="s">
        <v>98</v>
      </c>
      <c r="BF18" t="s">
        <v>99</v>
      </c>
      <c r="BG18" t="s">
        <v>236</v>
      </c>
      <c r="BH18" t="s">
        <v>237</v>
      </c>
      <c r="BI18" t="s">
        <v>98</v>
      </c>
    </row>
    <row r="19" spans="1:61" x14ac:dyDescent="0.35">
      <c r="A19">
        <v>18</v>
      </c>
      <c r="B19">
        <v>45838.829270833332</v>
      </c>
      <c r="C19" t="s">
        <v>238</v>
      </c>
      <c r="D19" t="s">
        <v>239</v>
      </c>
      <c r="E19" t="s">
        <v>63</v>
      </c>
      <c r="F19" t="s">
        <v>240</v>
      </c>
      <c r="G19" t="s">
        <v>241</v>
      </c>
      <c r="H19" t="s">
        <v>242</v>
      </c>
      <c r="I19" t="s">
        <v>243</v>
      </c>
      <c r="J19" t="s">
        <v>67</v>
      </c>
      <c r="K19" t="s">
        <v>244</v>
      </c>
      <c r="L19" t="s">
        <v>69</v>
      </c>
      <c r="M19" t="s">
        <v>69</v>
      </c>
      <c r="N19" t="s">
        <v>69</v>
      </c>
      <c r="O19" t="s">
        <v>69</v>
      </c>
      <c r="P19" t="s">
        <v>106</v>
      </c>
      <c r="Q19" t="s">
        <v>71</v>
      </c>
      <c r="R19" s="3" t="s">
        <v>245</v>
      </c>
      <c r="S19">
        <v>21</v>
      </c>
      <c r="T19" t="s">
        <v>72</v>
      </c>
      <c r="U19" t="s">
        <v>73</v>
      </c>
      <c r="V19" t="s">
        <v>246</v>
      </c>
      <c r="W19" t="s">
        <v>246</v>
      </c>
      <c r="X19">
        <v>4</v>
      </c>
      <c r="Y19">
        <v>4</v>
      </c>
      <c r="Z19">
        <v>4</v>
      </c>
      <c r="AA19">
        <v>4</v>
      </c>
      <c r="AB19">
        <v>4</v>
      </c>
      <c r="AC19">
        <v>4</v>
      </c>
      <c r="AD19">
        <v>4</v>
      </c>
      <c r="AE19">
        <v>4</v>
      </c>
      <c r="AF19">
        <v>4</v>
      </c>
      <c r="AG19">
        <v>4</v>
      </c>
      <c r="AH19">
        <v>4</v>
      </c>
      <c r="AI19">
        <v>4</v>
      </c>
      <c r="AJ19">
        <v>4</v>
      </c>
      <c r="AK19">
        <v>4</v>
      </c>
      <c r="AL19">
        <v>4</v>
      </c>
      <c r="AM19">
        <v>4</v>
      </c>
      <c r="AN19">
        <v>4</v>
      </c>
      <c r="AO19">
        <v>4</v>
      </c>
      <c r="AQ19">
        <v>0</v>
      </c>
      <c r="AR19" t="s">
        <v>69</v>
      </c>
      <c r="AT19">
        <v>0</v>
      </c>
      <c r="AU19" t="s">
        <v>69</v>
      </c>
      <c r="AW19">
        <v>0</v>
      </c>
      <c r="AX19" t="s">
        <v>69</v>
      </c>
      <c r="AY19" t="s">
        <v>247</v>
      </c>
      <c r="AZ19" t="s">
        <v>144</v>
      </c>
      <c r="BA19">
        <v>1</v>
      </c>
      <c r="BB19">
        <v>4</v>
      </c>
      <c r="BC19" t="s">
        <v>248</v>
      </c>
      <c r="BD19" t="s">
        <v>79</v>
      </c>
      <c r="BE19" t="s">
        <v>248</v>
      </c>
      <c r="BF19" t="s">
        <v>79</v>
      </c>
      <c r="BG19" t="s">
        <v>248</v>
      </c>
      <c r="BH19" t="s">
        <v>79</v>
      </c>
      <c r="BI19" t="s">
        <v>248</v>
      </c>
    </row>
    <row r="20" spans="1:61" x14ac:dyDescent="0.35">
      <c r="A20">
        <v>19</v>
      </c>
      <c r="B20">
        <v>45838.834351851852</v>
      </c>
      <c r="C20" t="s">
        <v>249</v>
      </c>
      <c r="D20" t="s">
        <v>250</v>
      </c>
      <c r="E20" t="s">
        <v>63</v>
      </c>
      <c r="F20" t="s">
        <v>63</v>
      </c>
      <c r="G20" t="s">
        <v>251</v>
      </c>
      <c r="H20" t="s">
        <v>242</v>
      </c>
      <c r="I20" t="s">
        <v>243</v>
      </c>
      <c r="J20" t="s">
        <v>67</v>
      </c>
      <c r="K20" t="s">
        <v>252</v>
      </c>
      <c r="L20" t="s">
        <v>69</v>
      </c>
      <c r="M20" t="s">
        <v>69</v>
      </c>
      <c r="N20" t="s">
        <v>69</v>
      </c>
      <c r="O20" t="s">
        <v>69</v>
      </c>
      <c r="P20" t="s">
        <v>106</v>
      </c>
      <c r="Q20" t="s">
        <v>107</v>
      </c>
      <c r="R20" s="3" t="s">
        <v>253</v>
      </c>
      <c r="S20">
        <v>60</v>
      </c>
      <c r="T20" t="s">
        <v>182</v>
      </c>
      <c r="U20" t="s">
        <v>254</v>
      </c>
      <c r="V20" t="s">
        <v>255</v>
      </c>
      <c r="W20" t="s">
        <v>184</v>
      </c>
      <c r="X20">
        <v>4</v>
      </c>
      <c r="Y20">
        <v>4</v>
      </c>
      <c r="Z20">
        <v>4</v>
      </c>
      <c r="AA20">
        <v>4</v>
      </c>
      <c r="AB20">
        <v>4</v>
      </c>
      <c r="AC20">
        <v>4</v>
      </c>
      <c r="AD20">
        <v>4</v>
      </c>
      <c r="AE20">
        <v>4</v>
      </c>
      <c r="AF20">
        <v>4</v>
      </c>
      <c r="AG20">
        <v>4</v>
      </c>
      <c r="AH20">
        <v>4</v>
      </c>
      <c r="AI20">
        <v>4</v>
      </c>
      <c r="AJ20">
        <v>4</v>
      </c>
      <c r="AK20">
        <v>4</v>
      </c>
      <c r="AL20">
        <v>4</v>
      </c>
      <c r="AM20">
        <v>4</v>
      </c>
      <c r="AN20">
        <v>3</v>
      </c>
      <c r="AO20">
        <v>4</v>
      </c>
      <c r="AQ20">
        <v>0</v>
      </c>
      <c r="AR20" t="s">
        <v>75</v>
      </c>
      <c r="AT20">
        <v>0</v>
      </c>
      <c r="AU20" t="s">
        <v>75</v>
      </c>
      <c r="AV20">
        <v>1</v>
      </c>
      <c r="AW20">
        <v>4</v>
      </c>
      <c r="AX20" t="s">
        <v>75</v>
      </c>
      <c r="AY20" t="s">
        <v>83</v>
      </c>
      <c r="AZ20" t="s">
        <v>96</v>
      </c>
      <c r="BA20">
        <v>0</v>
      </c>
      <c r="BB20">
        <v>0</v>
      </c>
      <c r="BC20" t="s">
        <v>256</v>
      </c>
      <c r="BD20" t="s">
        <v>112</v>
      </c>
      <c r="BE20" t="s">
        <v>257</v>
      </c>
      <c r="BF20" t="s">
        <v>112</v>
      </c>
      <c r="BG20" t="s">
        <v>258</v>
      </c>
      <c r="BH20" t="s">
        <v>190</v>
      </c>
      <c r="BI20" t="s">
        <v>248</v>
      </c>
    </row>
    <row r="21" spans="1:61" x14ac:dyDescent="0.35">
      <c r="A21">
        <v>20</v>
      </c>
      <c r="B21">
        <v>45838.862743055557</v>
      </c>
      <c r="C21" t="s">
        <v>259</v>
      </c>
      <c r="D21" t="s">
        <v>260</v>
      </c>
      <c r="E21" t="s">
        <v>63</v>
      </c>
      <c r="F21" t="s">
        <v>136</v>
      </c>
      <c r="G21" t="s">
        <v>261</v>
      </c>
      <c r="H21" t="s">
        <v>210</v>
      </c>
      <c r="I21" t="s">
        <v>211</v>
      </c>
      <c r="J21" t="s">
        <v>163</v>
      </c>
      <c r="K21" t="s">
        <v>262</v>
      </c>
      <c r="L21" t="s">
        <v>69</v>
      </c>
      <c r="M21" t="s">
        <v>69</v>
      </c>
      <c r="N21" t="s">
        <v>69</v>
      </c>
      <c r="O21" t="s">
        <v>69</v>
      </c>
      <c r="P21" t="s">
        <v>106</v>
      </c>
      <c r="Q21" t="s">
        <v>107</v>
      </c>
      <c r="R21" s="3">
        <v>18</v>
      </c>
      <c r="S21">
        <v>18</v>
      </c>
      <c r="T21" t="s">
        <v>131</v>
      </c>
      <c r="U21" t="s">
        <v>73</v>
      </c>
      <c r="V21" t="s">
        <v>74</v>
      </c>
      <c r="W21" t="s">
        <v>74</v>
      </c>
      <c r="X21">
        <v>3</v>
      </c>
      <c r="Y21">
        <v>3</v>
      </c>
      <c r="Z21">
        <v>4</v>
      </c>
      <c r="AA21">
        <v>4</v>
      </c>
      <c r="AB21">
        <v>4</v>
      </c>
      <c r="AC21">
        <v>4</v>
      </c>
      <c r="AD21">
        <v>4</v>
      </c>
      <c r="AE21">
        <v>4</v>
      </c>
      <c r="AF21">
        <v>4</v>
      </c>
      <c r="AG21">
        <v>4</v>
      </c>
      <c r="AH21">
        <v>4</v>
      </c>
      <c r="AI21">
        <v>4</v>
      </c>
      <c r="AJ21">
        <v>4</v>
      </c>
      <c r="AK21">
        <v>4</v>
      </c>
      <c r="AL21">
        <v>3</v>
      </c>
      <c r="AM21">
        <v>3</v>
      </c>
      <c r="AN21">
        <v>3</v>
      </c>
      <c r="AO21">
        <v>3</v>
      </c>
      <c r="AQ21">
        <v>0</v>
      </c>
      <c r="AR21" t="s">
        <v>69</v>
      </c>
      <c r="AT21">
        <v>0</v>
      </c>
      <c r="AU21" t="s">
        <v>69</v>
      </c>
      <c r="AW21">
        <v>0</v>
      </c>
      <c r="AX21" t="s">
        <v>69</v>
      </c>
      <c r="AY21" t="s">
        <v>144</v>
      </c>
      <c r="AZ21" t="s">
        <v>144</v>
      </c>
      <c r="BA21">
        <v>1</v>
      </c>
      <c r="BB21">
        <v>4</v>
      </c>
      <c r="BC21" t="s">
        <v>263</v>
      </c>
      <c r="BD21" t="s">
        <v>99</v>
      </c>
      <c r="BE21" t="s">
        <v>98</v>
      </c>
      <c r="BF21" t="s">
        <v>99</v>
      </c>
      <c r="BG21" t="s">
        <v>264</v>
      </c>
      <c r="BH21" t="s">
        <v>146</v>
      </c>
      <c r="BI21" t="s">
        <v>98</v>
      </c>
    </row>
    <row r="22" spans="1:61" x14ac:dyDescent="0.35">
      <c r="A22">
        <v>21</v>
      </c>
      <c r="B22">
        <v>45838.837812500002</v>
      </c>
      <c r="C22" t="s">
        <v>265</v>
      </c>
      <c r="D22" t="s">
        <v>266</v>
      </c>
      <c r="E22" t="s">
        <v>267</v>
      </c>
      <c r="F22" t="s">
        <v>268</v>
      </c>
      <c r="G22" t="s">
        <v>269</v>
      </c>
      <c r="H22" t="s">
        <v>242</v>
      </c>
      <c r="I22" t="s">
        <v>243</v>
      </c>
      <c r="J22" t="s">
        <v>67</v>
      </c>
      <c r="K22" t="s">
        <v>270</v>
      </c>
      <c r="L22" t="s">
        <v>69</v>
      </c>
      <c r="M22" t="s">
        <v>69</v>
      </c>
      <c r="N22" t="s">
        <v>69</v>
      </c>
      <c r="O22" t="s">
        <v>69</v>
      </c>
      <c r="P22" t="s">
        <v>106</v>
      </c>
      <c r="Q22" t="s">
        <v>271</v>
      </c>
      <c r="R22" s="3" t="s">
        <v>272</v>
      </c>
      <c r="S22">
        <v>43</v>
      </c>
      <c r="T22" t="s">
        <v>197</v>
      </c>
      <c r="U22" t="s">
        <v>273</v>
      </c>
      <c r="V22" t="s">
        <v>274</v>
      </c>
      <c r="W22" t="s">
        <v>274</v>
      </c>
      <c r="X22">
        <v>4</v>
      </c>
      <c r="Y22">
        <v>4</v>
      </c>
      <c r="Z22">
        <v>4</v>
      </c>
      <c r="AA22">
        <v>4</v>
      </c>
      <c r="AB22">
        <v>4</v>
      </c>
      <c r="AC22">
        <v>4</v>
      </c>
      <c r="AD22">
        <v>4</v>
      </c>
      <c r="AE22">
        <v>4</v>
      </c>
      <c r="AF22">
        <v>4</v>
      </c>
      <c r="AG22">
        <v>4</v>
      </c>
      <c r="AH22">
        <v>4</v>
      </c>
      <c r="AI22">
        <v>4</v>
      </c>
      <c r="AJ22">
        <v>4</v>
      </c>
      <c r="AK22">
        <v>4</v>
      </c>
      <c r="AL22">
        <v>4</v>
      </c>
      <c r="AM22">
        <v>4</v>
      </c>
      <c r="AN22">
        <v>4</v>
      </c>
      <c r="AO22">
        <v>4</v>
      </c>
      <c r="AQ22">
        <v>0</v>
      </c>
      <c r="AR22" t="s">
        <v>69</v>
      </c>
      <c r="AT22">
        <v>0</v>
      </c>
      <c r="AU22" t="s">
        <v>69</v>
      </c>
      <c r="AW22">
        <v>0</v>
      </c>
      <c r="AX22" t="s">
        <v>69</v>
      </c>
      <c r="AY22" t="s">
        <v>275</v>
      </c>
      <c r="AZ22" t="s">
        <v>276</v>
      </c>
      <c r="BA22">
        <v>2</v>
      </c>
      <c r="BB22">
        <v>3</v>
      </c>
      <c r="BC22" t="s">
        <v>277</v>
      </c>
      <c r="BD22" t="s">
        <v>79</v>
      </c>
      <c r="BE22" t="s">
        <v>248</v>
      </c>
      <c r="BF22" t="s">
        <v>79</v>
      </c>
      <c r="BG22" t="s">
        <v>248</v>
      </c>
      <c r="BH22" t="s">
        <v>79</v>
      </c>
      <c r="BI22" t="s">
        <v>278</v>
      </c>
    </row>
    <row r="23" spans="1:61" x14ac:dyDescent="0.35">
      <c r="A23">
        <v>22</v>
      </c>
      <c r="B23">
        <v>45838.83902777778</v>
      </c>
      <c r="C23" t="s">
        <v>279</v>
      </c>
      <c r="D23" t="s">
        <v>280</v>
      </c>
      <c r="E23" t="s">
        <v>63</v>
      </c>
      <c r="F23" t="s">
        <v>63</v>
      </c>
      <c r="G23" t="s">
        <v>281</v>
      </c>
      <c r="H23" t="s">
        <v>65</v>
      </c>
      <c r="I23" t="s">
        <v>66</v>
      </c>
      <c r="J23" t="s">
        <v>151</v>
      </c>
      <c r="K23" t="s">
        <v>282</v>
      </c>
      <c r="L23" t="s">
        <v>69</v>
      </c>
      <c r="M23" t="s">
        <v>69</v>
      </c>
      <c r="N23" t="s">
        <v>69</v>
      </c>
      <c r="O23" t="s">
        <v>69</v>
      </c>
      <c r="P23" t="s">
        <v>70</v>
      </c>
      <c r="Q23" t="s">
        <v>107</v>
      </c>
      <c r="R23" s="3">
        <v>56</v>
      </c>
      <c r="S23">
        <v>56</v>
      </c>
      <c r="T23" t="s">
        <v>182</v>
      </c>
      <c r="U23" t="s">
        <v>73</v>
      </c>
      <c r="V23" t="s">
        <v>232</v>
      </c>
      <c r="W23" t="s">
        <v>232</v>
      </c>
      <c r="X23">
        <v>4</v>
      </c>
      <c r="Y23">
        <v>4</v>
      </c>
      <c r="Z23">
        <v>4</v>
      </c>
      <c r="AA23">
        <v>4</v>
      </c>
      <c r="AB23">
        <v>4</v>
      </c>
      <c r="AC23">
        <v>4</v>
      </c>
      <c r="AD23">
        <v>4</v>
      </c>
      <c r="AE23">
        <v>4</v>
      </c>
      <c r="AF23">
        <v>3</v>
      </c>
      <c r="AG23">
        <v>4</v>
      </c>
      <c r="AH23">
        <v>4</v>
      </c>
      <c r="AI23">
        <v>4</v>
      </c>
      <c r="AJ23">
        <v>4</v>
      </c>
      <c r="AK23">
        <v>4</v>
      </c>
      <c r="AL23">
        <v>4</v>
      </c>
      <c r="AM23">
        <v>4</v>
      </c>
      <c r="AN23">
        <v>4</v>
      </c>
      <c r="AO23">
        <v>4</v>
      </c>
      <c r="AQ23">
        <v>0</v>
      </c>
      <c r="AR23" t="s">
        <v>69</v>
      </c>
      <c r="AT23">
        <v>0</v>
      </c>
      <c r="AU23" t="s">
        <v>69</v>
      </c>
      <c r="AW23">
        <v>0</v>
      </c>
      <c r="AX23" t="s">
        <v>69</v>
      </c>
      <c r="AY23" t="s">
        <v>283</v>
      </c>
      <c r="AZ23" t="s">
        <v>144</v>
      </c>
      <c r="BA23">
        <v>2</v>
      </c>
      <c r="BB23">
        <v>3</v>
      </c>
      <c r="BC23" t="s">
        <v>284</v>
      </c>
      <c r="BD23" t="s">
        <v>79</v>
      </c>
      <c r="BE23" t="s">
        <v>285</v>
      </c>
      <c r="BF23" t="s">
        <v>157</v>
      </c>
      <c r="BG23" t="s">
        <v>286</v>
      </c>
      <c r="BH23" t="s">
        <v>190</v>
      </c>
      <c r="BI23" t="s">
        <v>83</v>
      </c>
    </row>
    <row r="24" spans="1:61" x14ac:dyDescent="0.35">
      <c r="A24">
        <v>23</v>
      </c>
      <c r="B24">
        <v>45838.84101851852</v>
      </c>
      <c r="C24" t="s">
        <v>287</v>
      </c>
      <c r="D24" t="s">
        <v>288</v>
      </c>
      <c r="E24" t="s">
        <v>63</v>
      </c>
      <c r="F24" t="s">
        <v>289</v>
      </c>
      <c r="G24" t="s">
        <v>290</v>
      </c>
      <c r="H24" t="s">
        <v>242</v>
      </c>
      <c r="I24" t="s">
        <v>243</v>
      </c>
      <c r="J24" t="s">
        <v>67</v>
      </c>
      <c r="K24" t="s">
        <v>291</v>
      </c>
      <c r="L24" t="s">
        <v>69</v>
      </c>
      <c r="M24" t="s">
        <v>69</v>
      </c>
      <c r="N24" t="s">
        <v>69</v>
      </c>
      <c r="O24" t="s">
        <v>69</v>
      </c>
      <c r="P24" t="s">
        <v>70</v>
      </c>
      <c r="Q24" t="s">
        <v>292</v>
      </c>
      <c r="R24" s="3" t="s">
        <v>130</v>
      </c>
      <c r="S24">
        <v>18</v>
      </c>
      <c r="T24" t="s">
        <v>131</v>
      </c>
      <c r="U24" t="s">
        <v>73</v>
      </c>
      <c r="V24" t="s">
        <v>94</v>
      </c>
      <c r="W24" t="s">
        <v>95</v>
      </c>
      <c r="X24">
        <v>4</v>
      </c>
      <c r="Y24">
        <v>4</v>
      </c>
      <c r="Z24">
        <v>4</v>
      </c>
      <c r="AA24">
        <v>4</v>
      </c>
      <c r="AB24">
        <v>4</v>
      </c>
      <c r="AC24">
        <v>4</v>
      </c>
      <c r="AD24">
        <v>4</v>
      </c>
      <c r="AE24">
        <v>4</v>
      </c>
      <c r="AF24">
        <v>4</v>
      </c>
      <c r="AG24">
        <v>4</v>
      </c>
      <c r="AH24">
        <v>4</v>
      </c>
      <c r="AI24">
        <v>4</v>
      </c>
      <c r="AJ24">
        <v>4</v>
      </c>
      <c r="AK24">
        <v>4</v>
      </c>
      <c r="AL24">
        <v>4</v>
      </c>
      <c r="AM24">
        <v>4</v>
      </c>
      <c r="AN24">
        <v>4</v>
      </c>
      <c r="AO24">
        <v>4</v>
      </c>
      <c r="AQ24">
        <v>0</v>
      </c>
      <c r="AR24" t="s">
        <v>69</v>
      </c>
      <c r="AT24">
        <v>0</v>
      </c>
      <c r="AU24" t="s">
        <v>69</v>
      </c>
      <c r="AW24">
        <v>0</v>
      </c>
      <c r="AX24" t="s">
        <v>69</v>
      </c>
      <c r="AY24" t="s">
        <v>293</v>
      </c>
      <c r="AZ24" t="s">
        <v>144</v>
      </c>
      <c r="BA24">
        <v>1</v>
      </c>
      <c r="BB24">
        <v>4</v>
      </c>
      <c r="BC24" t="s">
        <v>248</v>
      </c>
      <c r="BD24" t="s">
        <v>79</v>
      </c>
      <c r="BE24" t="s">
        <v>248</v>
      </c>
      <c r="BF24" t="s">
        <v>79</v>
      </c>
      <c r="BG24" t="s">
        <v>248</v>
      </c>
      <c r="BH24" t="s">
        <v>79</v>
      </c>
      <c r="BI24" t="s">
        <v>248</v>
      </c>
    </row>
    <row r="25" spans="1:61" x14ac:dyDescent="0.35">
      <c r="A25">
        <v>24</v>
      </c>
      <c r="B25">
        <v>45838.874444444446</v>
      </c>
      <c r="C25" t="s">
        <v>294</v>
      </c>
      <c r="D25" t="s">
        <v>295</v>
      </c>
      <c r="E25" t="s">
        <v>63</v>
      </c>
      <c r="F25" t="s">
        <v>136</v>
      </c>
      <c r="G25" t="s">
        <v>296</v>
      </c>
      <c r="H25" t="s">
        <v>210</v>
      </c>
      <c r="I25" t="s">
        <v>211</v>
      </c>
      <c r="J25" t="s">
        <v>163</v>
      </c>
      <c r="K25" t="s">
        <v>297</v>
      </c>
      <c r="L25" t="s">
        <v>69</v>
      </c>
      <c r="M25" t="s">
        <v>69</v>
      </c>
      <c r="N25" t="s">
        <v>69</v>
      </c>
      <c r="O25" t="s">
        <v>69</v>
      </c>
      <c r="P25" t="s">
        <v>70</v>
      </c>
      <c r="Q25" t="s">
        <v>107</v>
      </c>
      <c r="R25" s="3">
        <v>18</v>
      </c>
      <c r="S25">
        <v>18</v>
      </c>
      <c r="T25" t="s">
        <v>131</v>
      </c>
      <c r="U25" t="s">
        <v>73</v>
      </c>
      <c r="V25" t="s">
        <v>94</v>
      </c>
      <c r="W25" t="s">
        <v>95</v>
      </c>
      <c r="X25">
        <v>4</v>
      </c>
      <c r="Y25">
        <v>4</v>
      </c>
      <c r="Z25">
        <v>4</v>
      </c>
      <c r="AA25">
        <v>4</v>
      </c>
      <c r="AB25">
        <v>4</v>
      </c>
      <c r="AC25">
        <v>4</v>
      </c>
      <c r="AD25">
        <v>4</v>
      </c>
      <c r="AE25">
        <v>4</v>
      </c>
      <c r="AF25">
        <v>4</v>
      </c>
      <c r="AG25">
        <v>4</v>
      </c>
      <c r="AH25">
        <v>4</v>
      </c>
      <c r="AI25">
        <v>4</v>
      </c>
      <c r="AJ25">
        <v>3</v>
      </c>
      <c r="AK25">
        <v>4</v>
      </c>
      <c r="AL25">
        <v>4</v>
      </c>
      <c r="AM25">
        <v>4</v>
      </c>
      <c r="AN25">
        <v>4</v>
      </c>
      <c r="AO25">
        <v>4</v>
      </c>
      <c r="AP25">
        <v>3</v>
      </c>
      <c r="AQ25">
        <v>2</v>
      </c>
      <c r="AR25" t="s">
        <v>75</v>
      </c>
      <c r="AT25">
        <v>0</v>
      </c>
      <c r="AU25" t="s">
        <v>69</v>
      </c>
      <c r="AW25">
        <v>0</v>
      </c>
      <c r="AX25" t="s">
        <v>69</v>
      </c>
      <c r="AY25" t="s">
        <v>83</v>
      </c>
      <c r="AZ25" t="s">
        <v>96</v>
      </c>
      <c r="BA25">
        <v>0</v>
      </c>
      <c r="BB25">
        <v>0</v>
      </c>
      <c r="BC25" t="s">
        <v>298</v>
      </c>
      <c r="BD25" t="s">
        <v>112</v>
      </c>
      <c r="BE25" t="s">
        <v>98</v>
      </c>
      <c r="BF25" t="s">
        <v>99</v>
      </c>
      <c r="BG25" t="s">
        <v>98</v>
      </c>
      <c r="BH25" t="s">
        <v>99</v>
      </c>
      <c r="BI25" t="s">
        <v>98</v>
      </c>
    </row>
    <row r="26" spans="1:61" x14ac:dyDescent="0.35">
      <c r="A26">
        <v>25</v>
      </c>
      <c r="B26">
        <v>45838.844189814816</v>
      </c>
      <c r="C26" t="s">
        <v>299</v>
      </c>
      <c r="D26" t="s">
        <v>300</v>
      </c>
      <c r="E26" t="s">
        <v>63</v>
      </c>
      <c r="F26" t="s">
        <v>179</v>
      </c>
      <c r="G26" t="s">
        <v>301</v>
      </c>
      <c r="H26" t="s">
        <v>242</v>
      </c>
      <c r="I26" t="s">
        <v>243</v>
      </c>
      <c r="J26" t="s">
        <v>302</v>
      </c>
      <c r="K26" t="s">
        <v>303</v>
      </c>
      <c r="L26" t="s">
        <v>69</v>
      </c>
      <c r="M26" t="s">
        <v>69</v>
      </c>
      <c r="N26" t="s">
        <v>69</v>
      </c>
      <c r="O26" t="s">
        <v>69</v>
      </c>
      <c r="P26" t="s">
        <v>106</v>
      </c>
      <c r="Q26" t="s">
        <v>271</v>
      </c>
      <c r="R26" s="3" t="s">
        <v>130</v>
      </c>
      <c r="S26">
        <v>18</v>
      </c>
      <c r="T26" t="s">
        <v>131</v>
      </c>
      <c r="U26" t="s">
        <v>73</v>
      </c>
      <c r="V26" t="s">
        <v>94</v>
      </c>
      <c r="W26" t="s">
        <v>95</v>
      </c>
      <c r="X26">
        <v>4</v>
      </c>
      <c r="Y26">
        <v>3</v>
      </c>
      <c r="Z26">
        <v>3</v>
      </c>
      <c r="AA26">
        <v>4</v>
      </c>
      <c r="AB26">
        <v>4</v>
      </c>
      <c r="AC26">
        <v>4</v>
      </c>
      <c r="AD26">
        <v>4</v>
      </c>
      <c r="AE26">
        <v>3</v>
      </c>
      <c r="AF26">
        <v>4</v>
      </c>
      <c r="AG26">
        <v>4</v>
      </c>
      <c r="AH26">
        <v>4</v>
      </c>
      <c r="AI26">
        <v>3</v>
      </c>
      <c r="AJ26">
        <v>4</v>
      </c>
      <c r="AK26">
        <v>4</v>
      </c>
      <c r="AL26">
        <v>4</v>
      </c>
      <c r="AM26">
        <v>3</v>
      </c>
      <c r="AN26">
        <v>4</v>
      </c>
      <c r="AO26">
        <v>4</v>
      </c>
      <c r="AQ26">
        <v>0</v>
      </c>
      <c r="AR26" t="s">
        <v>69</v>
      </c>
      <c r="AT26">
        <v>0</v>
      </c>
      <c r="AU26" t="s">
        <v>69</v>
      </c>
      <c r="AW26">
        <v>0</v>
      </c>
      <c r="AX26" t="s">
        <v>69</v>
      </c>
      <c r="AY26" t="s">
        <v>144</v>
      </c>
      <c r="AZ26" t="s">
        <v>144</v>
      </c>
      <c r="BA26">
        <v>1</v>
      </c>
      <c r="BB26">
        <v>4</v>
      </c>
      <c r="BC26" t="s">
        <v>248</v>
      </c>
      <c r="BD26" t="s">
        <v>79</v>
      </c>
      <c r="BE26" t="s">
        <v>248</v>
      </c>
      <c r="BF26" t="s">
        <v>79</v>
      </c>
      <c r="BG26" t="s">
        <v>248</v>
      </c>
      <c r="BH26" t="s">
        <v>79</v>
      </c>
      <c r="BI26" t="s">
        <v>277</v>
      </c>
    </row>
    <row r="27" spans="1:61" x14ac:dyDescent="0.35">
      <c r="A27">
        <v>26</v>
      </c>
      <c r="B27">
        <v>45838.846215277779</v>
      </c>
      <c r="C27" t="s">
        <v>304</v>
      </c>
      <c r="D27" t="s">
        <v>305</v>
      </c>
      <c r="E27" t="s">
        <v>63</v>
      </c>
      <c r="F27" t="s">
        <v>136</v>
      </c>
      <c r="G27" t="s">
        <v>306</v>
      </c>
      <c r="H27" t="s">
        <v>210</v>
      </c>
      <c r="I27" t="s">
        <v>211</v>
      </c>
      <c r="J27" t="s">
        <v>307</v>
      </c>
      <c r="K27" t="s">
        <v>308</v>
      </c>
      <c r="L27" t="s">
        <v>69</v>
      </c>
      <c r="M27" t="s">
        <v>69</v>
      </c>
      <c r="N27" t="s">
        <v>69</v>
      </c>
      <c r="O27" t="s">
        <v>69</v>
      </c>
      <c r="P27" t="s">
        <v>106</v>
      </c>
      <c r="Q27" t="s">
        <v>71</v>
      </c>
      <c r="R27" s="3">
        <v>25</v>
      </c>
      <c r="S27">
        <v>25</v>
      </c>
      <c r="T27" t="s">
        <v>72</v>
      </c>
      <c r="U27" t="s">
        <v>73</v>
      </c>
      <c r="V27" t="s">
        <v>309</v>
      </c>
      <c r="W27" t="s">
        <v>133</v>
      </c>
      <c r="X27">
        <v>4</v>
      </c>
      <c r="Y27">
        <v>3</v>
      </c>
      <c r="Z27">
        <v>3</v>
      </c>
      <c r="AA27">
        <v>4</v>
      </c>
      <c r="AB27">
        <v>4</v>
      </c>
      <c r="AC27">
        <v>4</v>
      </c>
      <c r="AD27">
        <v>4</v>
      </c>
      <c r="AE27">
        <v>4</v>
      </c>
      <c r="AF27">
        <v>3</v>
      </c>
      <c r="AG27">
        <v>4</v>
      </c>
      <c r="AH27">
        <v>3</v>
      </c>
      <c r="AI27">
        <v>4</v>
      </c>
      <c r="AJ27">
        <v>4</v>
      </c>
      <c r="AK27">
        <v>4</v>
      </c>
      <c r="AL27">
        <v>4</v>
      </c>
      <c r="AM27">
        <v>4</v>
      </c>
      <c r="AN27">
        <v>3</v>
      </c>
      <c r="AO27">
        <v>4</v>
      </c>
      <c r="AQ27">
        <v>0</v>
      </c>
      <c r="AR27" t="s">
        <v>69</v>
      </c>
      <c r="AT27">
        <v>0</v>
      </c>
      <c r="AU27" t="s">
        <v>69</v>
      </c>
      <c r="AW27">
        <v>0</v>
      </c>
      <c r="AX27" t="s">
        <v>69</v>
      </c>
      <c r="AY27" t="s">
        <v>144</v>
      </c>
      <c r="AZ27" t="s">
        <v>144</v>
      </c>
      <c r="BA27">
        <v>1</v>
      </c>
      <c r="BB27">
        <v>4</v>
      </c>
      <c r="BC27" t="s">
        <v>98</v>
      </c>
      <c r="BD27" t="s">
        <v>99</v>
      </c>
      <c r="BE27" t="s">
        <v>98</v>
      </c>
      <c r="BF27" t="s">
        <v>99</v>
      </c>
      <c r="BG27" t="s">
        <v>98</v>
      </c>
      <c r="BH27" t="s">
        <v>99</v>
      </c>
      <c r="BI27" t="s">
        <v>98</v>
      </c>
    </row>
    <row r="28" spans="1:61" x14ac:dyDescent="0.35">
      <c r="A28">
        <v>27</v>
      </c>
      <c r="B28">
        <v>45838.848599537036</v>
      </c>
      <c r="C28" t="s">
        <v>310</v>
      </c>
      <c r="D28" t="s">
        <v>311</v>
      </c>
      <c r="E28" t="s">
        <v>63</v>
      </c>
      <c r="F28" t="s">
        <v>312</v>
      </c>
      <c r="G28" t="s">
        <v>313</v>
      </c>
      <c r="H28" t="s">
        <v>242</v>
      </c>
      <c r="I28" t="s">
        <v>243</v>
      </c>
      <c r="J28" t="s">
        <v>302</v>
      </c>
      <c r="K28" t="s">
        <v>314</v>
      </c>
      <c r="L28" t="s">
        <v>69</v>
      </c>
      <c r="M28" t="s">
        <v>69</v>
      </c>
      <c r="N28" t="s">
        <v>69</v>
      </c>
      <c r="O28" t="s">
        <v>69</v>
      </c>
      <c r="P28" t="s">
        <v>106</v>
      </c>
      <c r="Q28" t="s">
        <v>292</v>
      </c>
      <c r="R28" s="3" t="s">
        <v>130</v>
      </c>
      <c r="S28">
        <v>18</v>
      </c>
      <c r="T28" t="s">
        <v>131</v>
      </c>
      <c r="U28" t="s">
        <v>73</v>
      </c>
      <c r="V28" t="s">
        <v>94</v>
      </c>
      <c r="W28" t="s">
        <v>95</v>
      </c>
      <c r="X28">
        <v>3</v>
      </c>
      <c r="Y28">
        <v>3</v>
      </c>
      <c r="Z28">
        <v>3</v>
      </c>
      <c r="AA28">
        <v>4</v>
      </c>
      <c r="AB28">
        <v>2</v>
      </c>
      <c r="AC28">
        <v>3</v>
      </c>
      <c r="AD28">
        <v>3</v>
      </c>
      <c r="AE28">
        <v>3</v>
      </c>
      <c r="AF28">
        <v>3</v>
      </c>
      <c r="AG28">
        <v>4</v>
      </c>
      <c r="AH28">
        <v>3</v>
      </c>
      <c r="AI28">
        <v>4</v>
      </c>
      <c r="AJ28">
        <v>3</v>
      </c>
      <c r="AK28">
        <v>4</v>
      </c>
      <c r="AL28">
        <v>3</v>
      </c>
      <c r="AM28">
        <v>4</v>
      </c>
      <c r="AN28">
        <v>3</v>
      </c>
      <c r="AO28">
        <v>3</v>
      </c>
      <c r="AQ28">
        <v>0</v>
      </c>
      <c r="AR28" t="s">
        <v>69</v>
      </c>
      <c r="AT28">
        <v>0</v>
      </c>
      <c r="AU28" t="s">
        <v>69</v>
      </c>
      <c r="AW28">
        <v>0</v>
      </c>
      <c r="AX28" t="s">
        <v>69</v>
      </c>
      <c r="AY28" t="s">
        <v>144</v>
      </c>
      <c r="AZ28" t="s">
        <v>144</v>
      </c>
      <c r="BA28">
        <v>2</v>
      </c>
      <c r="BB28">
        <v>3</v>
      </c>
      <c r="BC28" t="s">
        <v>315</v>
      </c>
      <c r="BD28" t="s">
        <v>235</v>
      </c>
      <c r="BE28" t="s">
        <v>316</v>
      </c>
      <c r="BF28" t="s">
        <v>112</v>
      </c>
      <c r="BG28" t="s">
        <v>317</v>
      </c>
      <c r="BH28" t="s">
        <v>79</v>
      </c>
      <c r="BI28" t="s">
        <v>248</v>
      </c>
    </row>
    <row r="29" spans="1:61" x14ac:dyDescent="0.35">
      <c r="A29">
        <v>28</v>
      </c>
      <c r="B29">
        <v>45838.851331018515</v>
      </c>
      <c r="C29" t="s">
        <v>318</v>
      </c>
      <c r="D29" t="s">
        <v>161</v>
      </c>
      <c r="E29" t="s">
        <v>63</v>
      </c>
      <c r="F29" t="s">
        <v>136</v>
      </c>
      <c r="G29" t="s">
        <v>319</v>
      </c>
      <c r="H29" t="s">
        <v>210</v>
      </c>
      <c r="I29" t="s">
        <v>211</v>
      </c>
      <c r="J29" t="s">
        <v>163</v>
      </c>
      <c r="K29" t="s">
        <v>320</v>
      </c>
      <c r="L29" t="s">
        <v>69</v>
      </c>
      <c r="M29" t="s">
        <v>69</v>
      </c>
      <c r="N29" t="s">
        <v>69</v>
      </c>
      <c r="O29" t="s">
        <v>69</v>
      </c>
      <c r="P29" t="s">
        <v>106</v>
      </c>
      <c r="Q29" t="s">
        <v>71</v>
      </c>
      <c r="R29" s="3">
        <v>24</v>
      </c>
      <c r="S29">
        <v>24</v>
      </c>
      <c r="T29" t="s">
        <v>72</v>
      </c>
      <c r="U29" t="s">
        <v>93</v>
      </c>
      <c r="V29" t="s">
        <v>74</v>
      </c>
      <c r="W29" t="s">
        <v>74</v>
      </c>
      <c r="X29">
        <v>4</v>
      </c>
      <c r="Y29">
        <v>4</v>
      </c>
      <c r="Z29">
        <v>4</v>
      </c>
      <c r="AA29">
        <v>4</v>
      </c>
      <c r="AB29">
        <v>4</v>
      </c>
      <c r="AC29">
        <v>4</v>
      </c>
      <c r="AD29">
        <v>4</v>
      </c>
      <c r="AE29">
        <v>4</v>
      </c>
      <c r="AF29">
        <v>4</v>
      </c>
      <c r="AG29">
        <v>4</v>
      </c>
      <c r="AH29">
        <v>4</v>
      </c>
      <c r="AI29">
        <v>4</v>
      </c>
      <c r="AJ29">
        <v>4</v>
      </c>
      <c r="AK29">
        <v>4</v>
      </c>
      <c r="AL29">
        <v>4</v>
      </c>
      <c r="AM29">
        <v>4</v>
      </c>
      <c r="AN29">
        <v>4</v>
      </c>
      <c r="AO29">
        <v>4</v>
      </c>
      <c r="AQ29">
        <v>0</v>
      </c>
      <c r="AR29" t="s">
        <v>69</v>
      </c>
      <c r="AS29">
        <v>3</v>
      </c>
      <c r="AT29">
        <v>2</v>
      </c>
      <c r="AU29" t="s">
        <v>75</v>
      </c>
      <c r="AW29">
        <v>0</v>
      </c>
      <c r="AX29" t="s">
        <v>69</v>
      </c>
      <c r="AY29" t="s">
        <v>83</v>
      </c>
      <c r="AZ29" t="s">
        <v>96</v>
      </c>
      <c r="BA29">
        <v>0</v>
      </c>
      <c r="BB29">
        <v>0</v>
      </c>
      <c r="BC29" t="s">
        <v>98</v>
      </c>
      <c r="BD29" t="s">
        <v>99</v>
      </c>
      <c r="BE29" t="s">
        <v>98</v>
      </c>
      <c r="BF29" t="s">
        <v>99</v>
      </c>
      <c r="BG29" t="s">
        <v>98</v>
      </c>
      <c r="BH29" t="s">
        <v>99</v>
      </c>
      <c r="BI29" t="s">
        <v>321</v>
      </c>
    </row>
    <row r="30" spans="1:61" x14ac:dyDescent="0.35">
      <c r="A30">
        <v>29</v>
      </c>
      <c r="B30">
        <v>45838.851747685185</v>
      </c>
      <c r="C30" t="s">
        <v>322</v>
      </c>
      <c r="D30" t="s">
        <v>323</v>
      </c>
      <c r="E30" t="s">
        <v>63</v>
      </c>
      <c r="F30" t="s">
        <v>136</v>
      </c>
      <c r="G30" t="s">
        <v>324</v>
      </c>
      <c r="H30" t="s">
        <v>242</v>
      </c>
      <c r="I30" t="s">
        <v>243</v>
      </c>
      <c r="J30" t="s">
        <v>302</v>
      </c>
      <c r="K30" t="s">
        <v>325</v>
      </c>
      <c r="L30" t="s">
        <v>69</v>
      </c>
      <c r="M30" t="s">
        <v>69</v>
      </c>
      <c r="N30" t="s">
        <v>69</v>
      </c>
      <c r="O30" t="s">
        <v>69</v>
      </c>
      <c r="P30" t="s">
        <v>70</v>
      </c>
      <c r="Q30" t="s">
        <v>292</v>
      </c>
      <c r="R30" s="3" t="s">
        <v>130</v>
      </c>
      <c r="S30">
        <v>18</v>
      </c>
      <c r="T30" t="s">
        <v>131</v>
      </c>
      <c r="U30" t="s">
        <v>73</v>
      </c>
      <c r="V30" t="s">
        <v>326</v>
      </c>
      <c r="W30" t="s">
        <v>74</v>
      </c>
      <c r="X30">
        <v>4</v>
      </c>
      <c r="Y30">
        <v>4</v>
      </c>
      <c r="Z30">
        <v>4</v>
      </c>
      <c r="AA30">
        <v>4</v>
      </c>
      <c r="AB30">
        <v>4</v>
      </c>
      <c r="AC30">
        <v>4</v>
      </c>
      <c r="AD30">
        <v>4</v>
      </c>
      <c r="AE30">
        <v>4</v>
      </c>
      <c r="AF30">
        <v>4</v>
      </c>
      <c r="AG30">
        <v>4</v>
      </c>
      <c r="AH30">
        <v>4</v>
      </c>
      <c r="AI30">
        <v>4</v>
      </c>
      <c r="AJ30">
        <v>4</v>
      </c>
      <c r="AK30">
        <v>4</v>
      </c>
      <c r="AL30">
        <v>4</v>
      </c>
      <c r="AM30">
        <v>4</v>
      </c>
      <c r="AN30">
        <v>4</v>
      </c>
      <c r="AO30">
        <v>4</v>
      </c>
      <c r="AQ30">
        <v>0</v>
      </c>
      <c r="AR30" t="s">
        <v>75</v>
      </c>
      <c r="AT30">
        <v>0</v>
      </c>
      <c r="AU30" t="s">
        <v>69</v>
      </c>
      <c r="AW30">
        <v>0</v>
      </c>
      <c r="AX30" t="s">
        <v>69</v>
      </c>
      <c r="AY30" t="s">
        <v>327</v>
      </c>
      <c r="AZ30" t="s">
        <v>77</v>
      </c>
      <c r="BA30">
        <v>1</v>
      </c>
      <c r="BB30">
        <v>4</v>
      </c>
      <c r="BC30" t="s">
        <v>248</v>
      </c>
      <c r="BD30" t="s">
        <v>79</v>
      </c>
      <c r="BE30" t="s">
        <v>248</v>
      </c>
      <c r="BF30" t="s">
        <v>79</v>
      </c>
      <c r="BG30" t="s">
        <v>248</v>
      </c>
      <c r="BH30" t="s">
        <v>79</v>
      </c>
      <c r="BI30" t="s">
        <v>248</v>
      </c>
    </row>
    <row r="31" spans="1:61" x14ac:dyDescent="0.35">
      <c r="A31">
        <v>30</v>
      </c>
      <c r="B31">
        <v>45838.852800925924</v>
      </c>
      <c r="C31" t="s">
        <v>328</v>
      </c>
      <c r="D31" t="s">
        <v>329</v>
      </c>
      <c r="E31" t="s">
        <v>63</v>
      </c>
      <c r="F31" t="s">
        <v>63</v>
      </c>
      <c r="G31" t="s">
        <v>330</v>
      </c>
      <c r="H31" t="s">
        <v>65</v>
      </c>
      <c r="I31" t="s">
        <v>66</v>
      </c>
      <c r="J31" t="s">
        <v>67</v>
      </c>
      <c r="K31" t="s">
        <v>331</v>
      </c>
      <c r="L31" t="s">
        <v>69</v>
      </c>
      <c r="M31" t="s">
        <v>69</v>
      </c>
      <c r="N31" t="s">
        <v>69</v>
      </c>
      <c r="O31" t="s">
        <v>69</v>
      </c>
      <c r="P31" t="s">
        <v>106</v>
      </c>
      <c r="Q31" t="s">
        <v>107</v>
      </c>
      <c r="R31" s="3">
        <v>22</v>
      </c>
      <c r="S31">
        <v>22</v>
      </c>
      <c r="T31" t="s">
        <v>72</v>
      </c>
      <c r="U31" t="s">
        <v>73</v>
      </c>
      <c r="V31" t="s">
        <v>94</v>
      </c>
      <c r="W31" t="s">
        <v>95</v>
      </c>
      <c r="X31">
        <v>4</v>
      </c>
      <c r="Y31">
        <v>3</v>
      </c>
      <c r="Z31">
        <v>4</v>
      </c>
      <c r="AA31">
        <v>3</v>
      </c>
      <c r="AB31">
        <v>4</v>
      </c>
      <c r="AC31">
        <v>3</v>
      </c>
      <c r="AD31">
        <v>4</v>
      </c>
      <c r="AE31">
        <v>4</v>
      </c>
      <c r="AF31">
        <v>4</v>
      </c>
      <c r="AG31">
        <v>3</v>
      </c>
      <c r="AH31">
        <v>3</v>
      </c>
      <c r="AI31">
        <v>3</v>
      </c>
      <c r="AJ31">
        <v>4</v>
      </c>
      <c r="AK31">
        <v>3</v>
      </c>
      <c r="AL31">
        <v>3</v>
      </c>
      <c r="AM31">
        <v>3</v>
      </c>
      <c r="AN31">
        <v>3</v>
      </c>
      <c r="AO31">
        <v>3</v>
      </c>
      <c r="AQ31">
        <v>0</v>
      </c>
      <c r="AR31" t="s">
        <v>69</v>
      </c>
      <c r="AT31">
        <v>0</v>
      </c>
      <c r="AU31" t="s">
        <v>69</v>
      </c>
      <c r="AW31">
        <v>0</v>
      </c>
      <c r="AX31" t="s">
        <v>69</v>
      </c>
      <c r="AY31" t="s">
        <v>293</v>
      </c>
      <c r="AZ31" t="s">
        <v>144</v>
      </c>
      <c r="BA31">
        <v>1</v>
      </c>
      <c r="BB31">
        <v>4</v>
      </c>
      <c r="BC31" t="s">
        <v>332</v>
      </c>
      <c r="BD31" t="s">
        <v>79</v>
      </c>
      <c r="BE31" t="s">
        <v>333</v>
      </c>
      <c r="BF31" t="s">
        <v>81</v>
      </c>
      <c r="BG31" t="s">
        <v>334</v>
      </c>
      <c r="BH31" t="s">
        <v>79</v>
      </c>
      <c r="BI31" t="s">
        <v>335</v>
      </c>
    </row>
    <row r="32" spans="1:61" x14ac:dyDescent="0.35">
      <c r="A32">
        <v>31</v>
      </c>
      <c r="B32">
        <v>45838.880057870374</v>
      </c>
      <c r="C32" t="s">
        <v>336</v>
      </c>
      <c r="D32" t="s">
        <v>337</v>
      </c>
      <c r="E32" t="s">
        <v>63</v>
      </c>
      <c r="F32" t="s">
        <v>338</v>
      </c>
      <c r="G32" t="s">
        <v>339</v>
      </c>
      <c r="H32" t="s">
        <v>210</v>
      </c>
      <c r="I32" t="s">
        <v>211</v>
      </c>
      <c r="J32" t="s">
        <v>163</v>
      </c>
      <c r="K32" t="s">
        <v>340</v>
      </c>
      <c r="L32" t="s">
        <v>69</v>
      </c>
      <c r="M32" t="s">
        <v>69</v>
      </c>
      <c r="N32" t="s">
        <v>69</v>
      </c>
      <c r="O32" t="s">
        <v>69</v>
      </c>
      <c r="P32" t="s">
        <v>70</v>
      </c>
      <c r="Q32" t="s">
        <v>107</v>
      </c>
      <c r="R32" s="3">
        <v>42</v>
      </c>
      <c r="S32">
        <v>42</v>
      </c>
      <c r="T32" t="s">
        <v>197</v>
      </c>
      <c r="U32" t="s">
        <v>73</v>
      </c>
      <c r="V32" t="s">
        <v>232</v>
      </c>
      <c r="W32" t="s">
        <v>232</v>
      </c>
      <c r="X32">
        <v>4</v>
      </c>
      <c r="Y32">
        <v>4</v>
      </c>
      <c r="Z32">
        <v>4</v>
      </c>
      <c r="AA32">
        <v>4</v>
      </c>
      <c r="AB32">
        <v>4</v>
      </c>
      <c r="AC32">
        <v>4</v>
      </c>
      <c r="AD32">
        <v>4</v>
      </c>
      <c r="AE32">
        <v>4</v>
      </c>
      <c r="AF32">
        <v>4</v>
      </c>
      <c r="AG32">
        <v>4</v>
      </c>
      <c r="AH32">
        <v>4</v>
      </c>
      <c r="AI32">
        <v>4</v>
      </c>
      <c r="AJ32">
        <v>4</v>
      </c>
      <c r="AK32">
        <v>4</v>
      </c>
      <c r="AL32">
        <v>4</v>
      </c>
      <c r="AM32">
        <v>4</v>
      </c>
      <c r="AN32">
        <v>4</v>
      </c>
      <c r="AO32">
        <v>4</v>
      </c>
      <c r="AQ32">
        <v>0</v>
      </c>
      <c r="AR32" t="s">
        <v>69</v>
      </c>
      <c r="AT32">
        <v>0</v>
      </c>
      <c r="AU32" t="s">
        <v>69</v>
      </c>
      <c r="AW32">
        <v>0</v>
      </c>
      <c r="AX32" t="s">
        <v>69</v>
      </c>
      <c r="AY32" t="s">
        <v>144</v>
      </c>
      <c r="AZ32" t="s">
        <v>144</v>
      </c>
      <c r="BA32">
        <v>2</v>
      </c>
      <c r="BB32">
        <v>3</v>
      </c>
      <c r="BC32" t="s">
        <v>98</v>
      </c>
      <c r="BD32" t="s">
        <v>99</v>
      </c>
      <c r="BE32" t="s">
        <v>341</v>
      </c>
      <c r="BF32" t="s">
        <v>81</v>
      </c>
      <c r="BG32" t="s">
        <v>342</v>
      </c>
      <c r="BH32" t="s">
        <v>79</v>
      </c>
      <c r="BI32" t="s">
        <v>98</v>
      </c>
    </row>
    <row r="33" spans="1:61" x14ac:dyDescent="0.35">
      <c r="A33">
        <v>32</v>
      </c>
      <c r="B33">
        <v>45838.861134259256</v>
      </c>
      <c r="C33" t="s">
        <v>343</v>
      </c>
      <c r="D33" t="s">
        <v>344</v>
      </c>
      <c r="E33" t="s">
        <v>63</v>
      </c>
      <c r="F33" t="s">
        <v>63</v>
      </c>
      <c r="G33" t="s">
        <v>345</v>
      </c>
      <c r="H33" t="s">
        <v>65</v>
      </c>
      <c r="I33" t="s">
        <v>66</v>
      </c>
      <c r="J33" t="s">
        <v>67</v>
      </c>
      <c r="K33" t="s">
        <v>346</v>
      </c>
      <c r="L33" t="s">
        <v>69</v>
      </c>
      <c r="M33" t="s">
        <v>69</v>
      </c>
      <c r="N33" t="s">
        <v>69</v>
      </c>
      <c r="O33" t="s">
        <v>69</v>
      </c>
      <c r="P33" t="s">
        <v>106</v>
      </c>
      <c r="Q33" t="s">
        <v>71</v>
      </c>
      <c r="R33" s="3">
        <v>44</v>
      </c>
      <c r="S33">
        <v>44</v>
      </c>
      <c r="T33" t="s">
        <v>197</v>
      </c>
      <c r="U33" t="s">
        <v>93</v>
      </c>
      <c r="V33" t="s">
        <v>74</v>
      </c>
      <c r="W33" t="s">
        <v>74</v>
      </c>
      <c r="X33">
        <v>4</v>
      </c>
      <c r="Y33">
        <v>4</v>
      </c>
      <c r="Z33">
        <v>4</v>
      </c>
      <c r="AA33">
        <v>3</v>
      </c>
      <c r="AB33">
        <v>4</v>
      </c>
      <c r="AC33">
        <v>4</v>
      </c>
      <c r="AD33">
        <v>4</v>
      </c>
      <c r="AE33">
        <v>4</v>
      </c>
      <c r="AF33">
        <v>4</v>
      </c>
      <c r="AG33">
        <v>4</v>
      </c>
      <c r="AH33">
        <v>4</v>
      </c>
      <c r="AI33">
        <v>4</v>
      </c>
      <c r="AJ33">
        <v>4</v>
      </c>
      <c r="AK33">
        <v>4</v>
      </c>
      <c r="AL33">
        <v>3</v>
      </c>
      <c r="AM33">
        <v>3</v>
      </c>
      <c r="AN33">
        <v>4</v>
      </c>
      <c r="AO33">
        <v>4</v>
      </c>
      <c r="AQ33">
        <v>0</v>
      </c>
      <c r="AR33" t="s">
        <v>69</v>
      </c>
      <c r="AS33">
        <v>1</v>
      </c>
      <c r="AT33">
        <v>4</v>
      </c>
      <c r="AU33" t="s">
        <v>75</v>
      </c>
      <c r="AW33">
        <v>0</v>
      </c>
      <c r="AX33" t="s">
        <v>69</v>
      </c>
      <c r="AY33" t="s">
        <v>83</v>
      </c>
      <c r="AZ33" t="s">
        <v>96</v>
      </c>
      <c r="BA33">
        <v>0</v>
      </c>
      <c r="BB33">
        <v>0</v>
      </c>
      <c r="BC33" t="s">
        <v>347</v>
      </c>
      <c r="BD33" t="s">
        <v>99</v>
      </c>
      <c r="BE33" t="s">
        <v>348</v>
      </c>
      <c r="BF33" t="s">
        <v>81</v>
      </c>
      <c r="BG33" t="s">
        <v>349</v>
      </c>
      <c r="BH33" t="s">
        <v>79</v>
      </c>
      <c r="BI33" t="s">
        <v>83</v>
      </c>
    </row>
    <row r="34" spans="1:61" x14ac:dyDescent="0.35">
      <c r="A34">
        <v>33</v>
      </c>
      <c r="B34">
        <v>45838.861342592594</v>
      </c>
      <c r="C34" t="s">
        <v>350</v>
      </c>
      <c r="D34" t="s">
        <v>351</v>
      </c>
      <c r="E34" t="s">
        <v>352</v>
      </c>
      <c r="F34" t="s">
        <v>353</v>
      </c>
      <c r="G34" t="s">
        <v>354</v>
      </c>
      <c r="H34" t="s">
        <v>242</v>
      </c>
      <c r="I34" t="s">
        <v>243</v>
      </c>
      <c r="J34" t="s">
        <v>67</v>
      </c>
      <c r="K34" t="s">
        <v>355</v>
      </c>
      <c r="L34" t="s">
        <v>69</v>
      </c>
      <c r="M34" t="s">
        <v>69</v>
      </c>
      <c r="N34" t="s">
        <v>69</v>
      </c>
      <c r="O34" t="s">
        <v>69</v>
      </c>
      <c r="P34" t="s">
        <v>70</v>
      </c>
      <c r="Q34" t="s">
        <v>292</v>
      </c>
      <c r="R34" s="3" t="s">
        <v>217</v>
      </c>
      <c r="S34">
        <v>20</v>
      </c>
      <c r="T34" t="s">
        <v>131</v>
      </c>
      <c r="U34" t="s">
        <v>73</v>
      </c>
      <c r="V34" t="s">
        <v>94</v>
      </c>
      <c r="W34" t="s">
        <v>95</v>
      </c>
      <c r="X34">
        <v>3</v>
      </c>
      <c r="Y34">
        <v>4</v>
      </c>
      <c r="Z34">
        <v>3</v>
      </c>
      <c r="AA34">
        <v>4</v>
      </c>
      <c r="AB34">
        <v>3</v>
      </c>
      <c r="AC34">
        <v>3</v>
      </c>
      <c r="AD34">
        <v>3</v>
      </c>
      <c r="AE34">
        <v>4</v>
      </c>
      <c r="AF34">
        <v>3</v>
      </c>
      <c r="AG34">
        <v>4</v>
      </c>
      <c r="AH34">
        <v>3</v>
      </c>
      <c r="AI34">
        <v>4</v>
      </c>
      <c r="AJ34">
        <v>3</v>
      </c>
      <c r="AK34">
        <v>4</v>
      </c>
      <c r="AL34">
        <v>3</v>
      </c>
      <c r="AM34">
        <v>4</v>
      </c>
      <c r="AN34">
        <v>3</v>
      </c>
      <c r="AO34">
        <v>4</v>
      </c>
      <c r="AQ34">
        <v>0</v>
      </c>
      <c r="AR34" t="s">
        <v>69</v>
      </c>
      <c r="AT34">
        <v>0</v>
      </c>
      <c r="AU34" t="s">
        <v>69</v>
      </c>
      <c r="AW34">
        <v>0</v>
      </c>
      <c r="AX34" t="s">
        <v>69</v>
      </c>
      <c r="AY34" t="s">
        <v>356</v>
      </c>
      <c r="AZ34" t="s">
        <v>144</v>
      </c>
      <c r="BA34">
        <v>2</v>
      </c>
      <c r="BB34">
        <v>3</v>
      </c>
      <c r="BC34" t="s">
        <v>248</v>
      </c>
      <c r="BD34" t="s">
        <v>79</v>
      </c>
      <c r="BE34" t="s">
        <v>248</v>
      </c>
      <c r="BF34" t="s">
        <v>79</v>
      </c>
      <c r="BG34" t="s">
        <v>248</v>
      </c>
      <c r="BH34" t="s">
        <v>79</v>
      </c>
      <c r="BI34" t="s">
        <v>248</v>
      </c>
    </row>
    <row r="35" spans="1:61" x14ac:dyDescent="0.35">
      <c r="A35">
        <v>34</v>
      </c>
      <c r="B35">
        <v>45838.791354166664</v>
      </c>
      <c r="C35" t="s">
        <v>357</v>
      </c>
      <c r="D35" t="s">
        <v>358</v>
      </c>
      <c r="E35" t="s">
        <v>359</v>
      </c>
      <c r="F35" t="s">
        <v>360</v>
      </c>
      <c r="G35" t="s">
        <v>361</v>
      </c>
      <c r="H35" t="s">
        <v>362</v>
      </c>
      <c r="I35" t="s">
        <v>139</v>
      </c>
      <c r="J35" t="s">
        <v>163</v>
      </c>
      <c r="K35" t="s">
        <v>363</v>
      </c>
      <c r="L35" t="s">
        <v>69</v>
      </c>
      <c r="M35" t="s">
        <v>69</v>
      </c>
      <c r="N35" t="s">
        <v>69</v>
      </c>
      <c r="O35" t="s">
        <v>69</v>
      </c>
      <c r="P35" t="s">
        <v>106</v>
      </c>
      <c r="Q35" t="s">
        <v>107</v>
      </c>
      <c r="R35" s="3">
        <v>38</v>
      </c>
      <c r="S35">
        <v>38</v>
      </c>
      <c r="T35" t="s">
        <v>153</v>
      </c>
      <c r="U35" t="s">
        <v>93</v>
      </c>
      <c r="V35" t="s">
        <v>364</v>
      </c>
      <c r="W35" t="s">
        <v>74</v>
      </c>
      <c r="X35">
        <v>4</v>
      </c>
      <c r="Y35">
        <v>3</v>
      </c>
      <c r="Z35">
        <v>4</v>
      </c>
      <c r="AA35">
        <v>4</v>
      </c>
      <c r="AB35">
        <v>4</v>
      </c>
      <c r="AC35">
        <v>4</v>
      </c>
      <c r="AD35">
        <v>4</v>
      </c>
      <c r="AE35">
        <v>4</v>
      </c>
      <c r="AF35">
        <v>4</v>
      </c>
      <c r="AG35">
        <v>4</v>
      </c>
      <c r="AH35">
        <v>4</v>
      </c>
      <c r="AI35">
        <v>4</v>
      </c>
      <c r="AJ35">
        <v>4</v>
      </c>
      <c r="AK35">
        <v>4</v>
      </c>
      <c r="AL35">
        <v>4</v>
      </c>
      <c r="AM35">
        <v>4</v>
      </c>
      <c r="AN35">
        <v>4</v>
      </c>
      <c r="AO35">
        <v>4</v>
      </c>
      <c r="AP35">
        <v>1</v>
      </c>
      <c r="AQ35">
        <v>4</v>
      </c>
      <c r="AR35" t="s">
        <v>75</v>
      </c>
      <c r="AT35">
        <v>0</v>
      </c>
      <c r="AU35" t="s">
        <v>69</v>
      </c>
      <c r="AW35">
        <v>0</v>
      </c>
      <c r="AX35" t="s">
        <v>69</v>
      </c>
      <c r="AY35" t="s">
        <v>83</v>
      </c>
      <c r="AZ35" t="s">
        <v>96</v>
      </c>
      <c r="BA35">
        <v>0</v>
      </c>
      <c r="BB35">
        <v>0</v>
      </c>
      <c r="BC35" t="s">
        <v>365</v>
      </c>
      <c r="BD35" t="s">
        <v>99</v>
      </c>
      <c r="BE35" t="s">
        <v>365</v>
      </c>
      <c r="BF35" t="s">
        <v>99</v>
      </c>
      <c r="BG35" t="s">
        <v>365</v>
      </c>
      <c r="BH35" t="s">
        <v>99</v>
      </c>
      <c r="BI35" t="s">
        <v>365</v>
      </c>
    </row>
    <row r="36" spans="1:61" x14ac:dyDescent="0.35">
      <c r="A36">
        <v>35</v>
      </c>
      <c r="B36">
        <v>45838.865347222221</v>
      </c>
      <c r="C36" t="s">
        <v>366</v>
      </c>
      <c r="D36" t="s">
        <v>367</v>
      </c>
      <c r="E36" t="s">
        <v>63</v>
      </c>
      <c r="F36" t="s">
        <v>149</v>
      </c>
      <c r="G36" t="s">
        <v>368</v>
      </c>
      <c r="H36" t="s">
        <v>242</v>
      </c>
      <c r="I36" t="s">
        <v>243</v>
      </c>
      <c r="J36" t="s">
        <v>67</v>
      </c>
      <c r="K36" t="s">
        <v>369</v>
      </c>
      <c r="L36" t="s">
        <v>69</v>
      </c>
      <c r="M36" t="s">
        <v>69</v>
      </c>
      <c r="N36" t="s">
        <v>69</v>
      </c>
      <c r="O36" t="s">
        <v>69</v>
      </c>
      <c r="P36" t="s">
        <v>70</v>
      </c>
      <c r="Q36" t="s">
        <v>271</v>
      </c>
      <c r="R36" s="3" t="s">
        <v>130</v>
      </c>
      <c r="S36">
        <v>18</v>
      </c>
      <c r="T36" t="s">
        <v>131</v>
      </c>
      <c r="U36" t="s">
        <v>73</v>
      </c>
      <c r="V36" t="s">
        <v>94</v>
      </c>
      <c r="W36" t="s">
        <v>95</v>
      </c>
      <c r="X36">
        <v>3</v>
      </c>
      <c r="Y36">
        <v>4</v>
      </c>
      <c r="Z36">
        <v>4</v>
      </c>
      <c r="AA36">
        <v>4</v>
      </c>
      <c r="AB36">
        <v>4</v>
      </c>
      <c r="AC36">
        <v>4</v>
      </c>
      <c r="AD36">
        <v>4</v>
      </c>
      <c r="AE36">
        <v>4</v>
      </c>
      <c r="AF36">
        <v>4</v>
      </c>
      <c r="AG36">
        <v>4</v>
      </c>
      <c r="AH36">
        <v>4</v>
      </c>
      <c r="AI36">
        <v>4</v>
      </c>
      <c r="AJ36">
        <v>4</v>
      </c>
      <c r="AK36">
        <v>3</v>
      </c>
      <c r="AL36">
        <v>3</v>
      </c>
      <c r="AM36">
        <v>4</v>
      </c>
      <c r="AN36">
        <v>3</v>
      </c>
      <c r="AO36">
        <v>4</v>
      </c>
      <c r="AQ36">
        <v>0</v>
      </c>
      <c r="AR36" t="s">
        <v>69</v>
      </c>
      <c r="AT36">
        <v>0</v>
      </c>
      <c r="AU36" t="s">
        <v>69</v>
      </c>
      <c r="AW36">
        <v>0</v>
      </c>
      <c r="AX36" t="s">
        <v>69</v>
      </c>
      <c r="AY36" t="s">
        <v>370</v>
      </c>
      <c r="AZ36" t="s">
        <v>77</v>
      </c>
      <c r="BA36">
        <v>1</v>
      </c>
      <c r="BB36">
        <v>4</v>
      </c>
      <c r="BC36" t="s">
        <v>371</v>
      </c>
      <c r="BD36" t="s">
        <v>112</v>
      </c>
      <c r="BE36" t="s">
        <v>372</v>
      </c>
      <c r="BF36" t="s">
        <v>157</v>
      </c>
      <c r="BG36" t="s">
        <v>248</v>
      </c>
      <c r="BH36" t="s">
        <v>79</v>
      </c>
      <c r="BI36" t="s">
        <v>248</v>
      </c>
    </row>
    <row r="37" spans="1:61" x14ac:dyDescent="0.35">
      <c r="A37">
        <v>36</v>
      </c>
      <c r="B37">
        <v>45838.815520833334</v>
      </c>
      <c r="C37" t="s">
        <v>373</v>
      </c>
      <c r="D37" t="s">
        <v>374</v>
      </c>
      <c r="E37" t="s">
        <v>375</v>
      </c>
      <c r="F37" t="s">
        <v>376</v>
      </c>
      <c r="G37" t="s">
        <v>377</v>
      </c>
      <c r="H37" t="s">
        <v>138</v>
      </c>
      <c r="I37" t="s">
        <v>139</v>
      </c>
      <c r="J37" t="s">
        <v>163</v>
      </c>
      <c r="K37" t="s">
        <v>378</v>
      </c>
      <c r="L37" t="s">
        <v>69</v>
      </c>
      <c r="M37" t="s">
        <v>69</v>
      </c>
      <c r="N37" t="s">
        <v>69</v>
      </c>
      <c r="O37" t="s">
        <v>69</v>
      </c>
      <c r="P37" t="s">
        <v>70</v>
      </c>
      <c r="Q37" t="s">
        <v>107</v>
      </c>
      <c r="R37" s="3">
        <v>43</v>
      </c>
      <c r="S37">
        <v>43</v>
      </c>
      <c r="T37" t="s">
        <v>197</v>
      </c>
      <c r="U37" t="s">
        <v>73</v>
      </c>
      <c r="V37" t="s">
        <v>74</v>
      </c>
      <c r="W37" t="s">
        <v>74</v>
      </c>
      <c r="X37">
        <v>4</v>
      </c>
      <c r="Y37">
        <v>4</v>
      </c>
      <c r="Z37">
        <v>4</v>
      </c>
      <c r="AA37">
        <v>4</v>
      </c>
      <c r="AB37">
        <v>4</v>
      </c>
      <c r="AC37">
        <v>4</v>
      </c>
      <c r="AD37">
        <v>4</v>
      </c>
      <c r="AE37">
        <v>4</v>
      </c>
      <c r="AF37">
        <v>4</v>
      </c>
      <c r="AG37">
        <v>4</v>
      </c>
      <c r="AH37">
        <v>4</v>
      </c>
      <c r="AI37">
        <v>4</v>
      </c>
      <c r="AJ37">
        <v>4</v>
      </c>
      <c r="AK37">
        <v>4</v>
      </c>
      <c r="AL37">
        <v>4</v>
      </c>
      <c r="AM37">
        <v>4</v>
      </c>
      <c r="AN37">
        <v>4</v>
      </c>
      <c r="AO37">
        <v>4</v>
      </c>
      <c r="AQ37">
        <v>0</v>
      </c>
      <c r="AR37" t="s">
        <v>69</v>
      </c>
      <c r="AT37">
        <v>0</v>
      </c>
      <c r="AU37" t="s">
        <v>69</v>
      </c>
      <c r="AW37">
        <v>0</v>
      </c>
      <c r="AX37" t="s">
        <v>69</v>
      </c>
      <c r="AY37" t="s">
        <v>379</v>
      </c>
      <c r="AZ37" t="s">
        <v>77</v>
      </c>
      <c r="BA37">
        <v>1</v>
      </c>
      <c r="BB37">
        <v>4</v>
      </c>
      <c r="BC37" t="s">
        <v>98</v>
      </c>
      <c r="BD37" t="s">
        <v>99</v>
      </c>
      <c r="BE37" t="s">
        <v>98</v>
      </c>
      <c r="BF37" t="s">
        <v>99</v>
      </c>
      <c r="BG37" t="s">
        <v>98</v>
      </c>
      <c r="BH37" t="s">
        <v>99</v>
      </c>
      <c r="BI37" t="s">
        <v>98</v>
      </c>
    </row>
    <row r="38" spans="1:61" x14ac:dyDescent="0.35">
      <c r="A38">
        <v>37</v>
      </c>
      <c r="B38">
        <v>45838.86886574074</v>
      </c>
      <c r="C38" t="s">
        <v>380</v>
      </c>
      <c r="D38" t="s">
        <v>161</v>
      </c>
      <c r="E38" t="s">
        <v>63</v>
      </c>
      <c r="F38" t="s">
        <v>136</v>
      </c>
      <c r="G38" t="s">
        <v>381</v>
      </c>
      <c r="H38" t="s">
        <v>210</v>
      </c>
      <c r="I38" t="s">
        <v>211</v>
      </c>
      <c r="J38" t="s">
        <v>163</v>
      </c>
      <c r="K38" t="s">
        <v>382</v>
      </c>
      <c r="L38" t="s">
        <v>69</v>
      </c>
      <c r="M38" t="s">
        <v>69</v>
      </c>
      <c r="N38" t="s">
        <v>69</v>
      </c>
      <c r="O38" t="s">
        <v>69</v>
      </c>
      <c r="P38" t="s">
        <v>106</v>
      </c>
      <c r="Q38" t="s">
        <v>71</v>
      </c>
      <c r="R38" s="3">
        <v>52</v>
      </c>
      <c r="S38">
        <v>52</v>
      </c>
      <c r="T38" t="s">
        <v>383</v>
      </c>
      <c r="U38" t="s">
        <v>93</v>
      </c>
      <c r="V38" t="s">
        <v>74</v>
      </c>
      <c r="W38" t="s">
        <v>74</v>
      </c>
      <c r="X38">
        <v>4</v>
      </c>
      <c r="Y38">
        <v>4</v>
      </c>
      <c r="Z38">
        <v>4</v>
      </c>
      <c r="AA38">
        <v>4</v>
      </c>
      <c r="AB38">
        <v>4</v>
      </c>
      <c r="AC38">
        <v>4</v>
      </c>
      <c r="AD38">
        <v>4</v>
      </c>
      <c r="AE38">
        <v>4</v>
      </c>
      <c r="AF38">
        <v>4</v>
      </c>
      <c r="AG38">
        <v>4</v>
      </c>
      <c r="AH38">
        <v>4</v>
      </c>
      <c r="AI38">
        <v>4</v>
      </c>
      <c r="AJ38">
        <v>4</v>
      </c>
      <c r="AK38">
        <v>4</v>
      </c>
      <c r="AL38">
        <v>4</v>
      </c>
      <c r="AM38">
        <v>4</v>
      </c>
      <c r="AN38">
        <v>4</v>
      </c>
      <c r="AO38">
        <v>4</v>
      </c>
      <c r="AQ38">
        <v>0</v>
      </c>
      <c r="AR38" t="s">
        <v>69</v>
      </c>
      <c r="AT38">
        <v>0</v>
      </c>
      <c r="AU38" t="s">
        <v>69</v>
      </c>
      <c r="AW38">
        <v>0</v>
      </c>
      <c r="AX38" t="s">
        <v>69</v>
      </c>
      <c r="AY38" t="s">
        <v>384</v>
      </c>
      <c r="AZ38" t="s">
        <v>186</v>
      </c>
      <c r="BA38">
        <v>1</v>
      </c>
      <c r="BB38">
        <v>4</v>
      </c>
      <c r="BC38" t="s">
        <v>98</v>
      </c>
      <c r="BD38" t="s">
        <v>99</v>
      </c>
      <c r="BE38" t="s">
        <v>98</v>
      </c>
      <c r="BF38" t="s">
        <v>99</v>
      </c>
      <c r="BG38" t="s">
        <v>98</v>
      </c>
      <c r="BH38" t="s">
        <v>99</v>
      </c>
      <c r="BI38" t="s">
        <v>98</v>
      </c>
    </row>
    <row r="39" spans="1:61" x14ac:dyDescent="0.35">
      <c r="A39">
        <v>38</v>
      </c>
      <c r="B39">
        <v>45838.872673611113</v>
      </c>
      <c r="C39" t="s">
        <v>385</v>
      </c>
      <c r="D39" t="s">
        <v>386</v>
      </c>
      <c r="E39" t="s">
        <v>63</v>
      </c>
      <c r="F39" t="s">
        <v>63</v>
      </c>
      <c r="G39" t="s">
        <v>387</v>
      </c>
      <c r="H39" t="s">
        <v>88</v>
      </c>
      <c r="I39" t="s">
        <v>89</v>
      </c>
      <c r="J39" t="s">
        <v>67</v>
      </c>
      <c r="K39" t="s">
        <v>388</v>
      </c>
      <c r="L39" t="s">
        <v>69</v>
      </c>
      <c r="M39" t="s">
        <v>69</v>
      </c>
      <c r="N39" t="s">
        <v>69</v>
      </c>
      <c r="O39" t="s">
        <v>69</v>
      </c>
      <c r="P39" t="s">
        <v>70</v>
      </c>
      <c r="Q39" t="s">
        <v>107</v>
      </c>
      <c r="R39" s="3" t="s">
        <v>389</v>
      </c>
      <c r="S39">
        <v>47</v>
      </c>
      <c r="T39" t="s">
        <v>225</v>
      </c>
      <c r="U39" t="s">
        <v>73</v>
      </c>
      <c r="V39" t="s">
        <v>74</v>
      </c>
      <c r="W39" t="s">
        <v>74</v>
      </c>
      <c r="X39">
        <v>4</v>
      </c>
      <c r="Y39">
        <v>4</v>
      </c>
      <c r="Z39">
        <v>3</v>
      </c>
      <c r="AA39">
        <v>3</v>
      </c>
      <c r="AB39">
        <v>3</v>
      </c>
      <c r="AC39">
        <v>3</v>
      </c>
      <c r="AD39">
        <v>2</v>
      </c>
      <c r="AE39">
        <v>2</v>
      </c>
      <c r="AF39">
        <v>3</v>
      </c>
      <c r="AG39">
        <v>3</v>
      </c>
      <c r="AH39">
        <v>3</v>
      </c>
      <c r="AI39">
        <v>3</v>
      </c>
      <c r="AJ39">
        <v>3</v>
      </c>
      <c r="AK39">
        <v>3</v>
      </c>
      <c r="AL39">
        <v>4</v>
      </c>
      <c r="AM39">
        <v>3</v>
      </c>
      <c r="AN39">
        <v>4</v>
      </c>
      <c r="AO39">
        <v>3</v>
      </c>
      <c r="AQ39">
        <v>0</v>
      </c>
      <c r="AR39" t="s">
        <v>69</v>
      </c>
      <c r="AT39">
        <v>0</v>
      </c>
      <c r="AU39" t="s">
        <v>69</v>
      </c>
      <c r="AW39">
        <v>0</v>
      </c>
      <c r="AX39" t="s">
        <v>69</v>
      </c>
      <c r="AY39" t="s">
        <v>390</v>
      </c>
      <c r="AZ39" t="s">
        <v>47</v>
      </c>
      <c r="BA39">
        <v>1</v>
      </c>
      <c r="BB39">
        <v>4</v>
      </c>
      <c r="BC39" t="s">
        <v>391</v>
      </c>
      <c r="BD39" t="s">
        <v>112</v>
      </c>
      <c r="BE39" t="s">
        <v>98</v>
      </c>
      <c r="BF39" t="s">
        <v>99</v>
      </c>
      <c r="BG39" t="s">
        <v>98</v>
      </c>
      <c r="BH39" t="s">
        <v>99</v>
      </c>
      <c r="BI39" t="s">
        <v>98</v>
      </c>
    </row>
    <row r="40" spans="1:61" x14ac:dyDescent="0.35">
      <c r="A40">
        <v>39</v>
      </c>
      <c r="B40">
        <v>45838.821504629632</v>
      </c>
      <c r="C40" t="s">
        <v>392</v>
      </c>
      <c r="D40" t="s">
        <v>174</v>
      </c>
      <c r="E40" t="s">
        <v>63</v>
      </c>
      <c r="F40" t="s">
        <v>136</v>
      </c>
      <c r="G40" t="s">
        <v>393</v>
      </c>
      <c r="H40" t="s">
        <v>138</v>
      </c>
      <c r="I40" t="s">
        <v>139</v>
      </c>
      <c r="J40" t="s">
        <v>163</v>
      </c>
      <c r="K40" t="s">
        <v>394</v>
      </c>
      <c r="L40" t="s">
        <v>69</v>
      </c>
      <c r="M40" t="s">
        <v>69</v>
      </c>
      <c r="N40" t="s">
        <v>69</v>
      </c>
      <c r="O40" t="s">
        <v>69</v>
      </c>
      <c r="P40" t="s">
        <v>70</v>
      </c>
      <c r="Q40" t="s">
        <v>107</v>
      </c>
      <c r="R40" s="3">
        <v>60</v>
      </c>
      <c r="S40">
        <v>60</v>
      </c>
      <c r="T40" t="s">
        <v>182</v>
      </c>
      <c r="U40" t="s">
        <v>73</v>
      </c>
      <c r="V40" t="s">
        <v>232</v>
      </c>
      <c r="W40" t="s">
        <v>232</v>
      </c>
      <c r="X40">
        <v>4</v>
      </c>
      <c r="Y40">
        <v>4</v>
      </c>
      <c r="Z40">
        <v>4</v>
      </c>
      <c r="AA40">
        <v>4</v>
      </c>
      <c r="AB40">
        <v>4</v>
      </c>
      <c r="AC40">
        <v>4</v>
      </c>
      <c r="AD40">
        <v>4</v>
      </c>
      <c r="AE40">
        <v>4</v>
      </c>
      <c r="AF40">
        <v>4</v>
      </c>
      <c r="AG40">
        <v>4</v>
      </c>
      <c r="AH40">
        <v>4</v>
      </c>
      <c r="AI40">
        <v>4</v>
      </c>
      <c r="AJ40">
        <v>4</v>
      </c>
      <c r="AK40">
        <v>4</v>
      </c>
      <c r="AL40">
        <v>4</v>
      </c>
      <c r="AM40">
        <v>4</v>
      </c>
      <c r="AN40">
        <v>4</v>
      </c>
      <c r="AO40">
        <v>4</v>
      </c>
      <c r="AQ40">
        <v>0</v>
      </c>
      <c r="AR40" t="s">
        <v>75</v>
      </c>
      <c r="AT40">
        <v>0</v>
      </c>
      <c r="AU40" t="s">
        <v>69</v>
      </c>
      <c r="AW40">
        <v>0</v>
      </c>
      <c r="AX40" t="s">
        <v>69</v>
      </c>
      <c r="AY40" t="s">
        <v>293</v>
      </c>
      <c r="AZ40" t="s">
        <v>144</v>
      </c>
      <c r="BA40">
        <v>2</v>
      </c>
      <c r="BB40">
        <v>3</v>
      </c>
      <c r="BC40" t="s">
        <v>98</v>
      </c>
      <c r="BD40" t="s">
        <v>99</v>
      </c>
      <c r="BE40" t="s">
        <v>98</v>
      </c>
      <c r="BF40" t="s">
        <v>99</v>
      </c>
      <c r="BG40" t="s">
        <v>98</v>
      </c>
      <c r="BH40" t="s">
        <v>99</v>
      </c>
      <c r="BI40" t="s">
        <v>98</v>
      </c>
    </row>
    <row r="41" spans="1:61" x14ac:dyDescent="0.35">
      <c r="A41">
        <v>40</v>
      </c>
      <c r="B41">
        <v>45838.875219907408</v>
      </c>
      <c r="C41" t="s">
        <v>395</v>
      </c>
      <c r="D41" t="s">
        <v>396</v>
      </c>
      <c r="E41" t="s">
        <v>63</v>
      </c>
      <c r="F41" t="s">
        <v>397</v>
      </c>
      <c r="G41" t="s">
        <v>398</v>
      </c>
      <c r="H41" t="s">
        <v>242</v>
      </c>
      <c r="I41" t="s">
        <v>243</v>
      </c>
      <c r="J41" t="s">
        <v>67</v>
      </c>
      <c r="K41" t="s">
        <v>399</v>
      </c>
      <c r="L41" t="s">
        <v>69</v>
      </c>
      <c r="M41" t="s">
        <v>69</v>
      </c>
      <c r="N41" t="s">
        <v>69</v>
      </c>
      <c r="O41" t="s">
        <v>69</v>
      </c>
      <c r="P41" t="s">
        <v>106</v>
      </c>
      <c r="Q41" t="s">
        <v>271</v>
      </c>
      <c r="R41" s="3" t="s">
        <v>91</v>
      </c>
      <c r="S41">
        <v>27</v>
      </c>
      <c r="T41" t="s">
        <v>92</v>
      </c>
      <c r="U41" t="s">
        <v>73</v>
      </c>
      <c r="V41" t="s">
        <v>74</v>
      </c>
      <c r="W41" t="s">
        <v>74</v>
      </c>
      <c r="X41">
        <v>3</v>
      </c>
      <c r="Y41">
        <v>3</v>
      </c>
      <c r="Z41">
        <v>3</v>
      </c>
      <c r="AA41">
        <v>3</v>
      </c>
      <c r="AB41">
        <v>3</v>
      </c>
      <c r="AC41">
        <v>3</v>
      </c>
      <c r="AD41">
        <v>4</v>
      </c>
      <c r="AE41">
        <v>3</v>
      </c>
      <c r="AF41">
        <v>4</v>
      </c>
      <c r="AG41">
        <v>4</v>
      </c>
      <c r="AH41">
        <v>4</v>
      </c>
      <c r="AI41">
        <v>3</v>
      </c>
      <c r="AJ41">
        <v>3</v>
      </c>
      <c r="AK41">
        <v>3</v>
      </c>
      <c r="AL41">
        <v>3</v>
      </c>
      <c r="AM41">
        <v>3</v>
      </c>
      <c r="AN41">
        <v>4</v>
      </c>
      <c r="AO41">
        <v>4</v>
      </c>
      <c r="AQ41">
        <v>0</v>
      </c>
      <c r="AR41" t="s">
        <v>69</v>
      </c>
      <c r="AT41">
        <v>0</v>
      </c>
      <c r="AU41" t="s">
        <v>69</v>
      </c>
      <c r="AW41">
        <v>0</v>
      </c>
      <c r="AX41" t="s">
        <v>69</v>
      </c>
      <c r="AY41" t="s">
        <v>144</v>
      </c>
      <c r="AZ41" t="s">
        <v>144</v>
      </c>
      <c r="BA41">
        <v>2</v>
      </c>
      <c r="BB41">
        <v>3</v>
      </c>
      <c r="BC41" t="s">
        <v>248</v>
      </c>
      <c r="BD41" t="s">
        <v>79</v>
      </c>
      <c r="BE41" t="s">
        <v>248</v>
      </c>
      <c r="BF41" t="s">
        <v>79</v>
      </c>
      <c r="BG41" t="s">
        <v>248</v>
      </c>
      <c r="BH41" t="s">
        <v>79</v>
      </c>
      <c r="BI41" t="s">
        <v>248</v>
      </c>
    </row>
    <row r="42" spans="1:61" x14ac:dyDescent="0.35">
      <c r="A42">
        <v>41</v>
      </c>
      <c r="B42">
        <v>45838.875902777778</v>
      </c>
      <c r="C42" t="s">
        <v>400</v>
      </c>
      <c r="D42" t="s">
        <v>401</v>
      </c>
      <c r="E42" t="s">
        <v>63</v>
      </c>
      <c r="F42" t="s">
        <v>63</v>
      </c>
      <c r="G42" t="s">
        <v>402</v>
      </c>
      <c r="H42" t="s">
        <v>88</v>
      </c>
      <c r="I42" t="s">
        <v>89</v>
      </c>
      <c r="J42" t="s">
        <v>67</v>
      </c>
      <c r="K42" t="s">
        <v>403</v>
      </c>
      <c r="L42" t="s">
        <v>69</v>
      </c>
      <c r="M42" t="s">
        <v>69</v>
      </c>
      <c r="N42" t="s">
        <v>69</v>
      </c>
      <c r="O42" t="s">
        <v>69</v>
      </c>
      <c r="P42" t="s">
        <v>70</v>
      </c>
      <c r="Q42" t="s">
        <v>107</v>
      </c>
      <c r="R42" s="3" t="s">
        <v>404</v>
      </c>
      <c r="S42">
        <v>42</v>
      </c>
      <c r="T42" t="s">
        <v>197</v>
      </c>
      <c r="U42" t="s">
        <v>73</v>
      </c>
      <c r="V42" t="s">
        <v>74</v>
      </c>
      <c r="W42" t="s">
        <v>74</v>
      </c>
      <c r="X42">
        <v>4</v>
      </c>
      <c r="Y42">
        <v>4</v>
      </c>
      <c r="Z42">
        <v>4</v>
      </c>
      <c r="AA42">
        <v>4</v>
      </c>
      <c r="AB42">
        <v>4</v>
      </c>
      <c r="AC42">
        <v>4</v>
      </c>
      <c r="AD42">
        <v>2</v>
      </c>
      <c r="AE42">
        <v>2</v>
      </c>
      <c r="AF42">
        <v>3</v>
      </c>
      <c r="AG42">
        <v>3</v>
      </c>
      <c r="AH42">
        <v>4</v>
      </c>
      <c r="AI42">
        <v>4</v>
      </c>
      <c r="AJ42">
        <v>4</v>
      </c>
      <c r="AK42">
        <v>4</v>
      </c>
      <c r="AL42">
        <v>4</v>
      </c>
      <c r="AM42">
        <v>3</v>
      </c>
      <c r="AN42">
        <v>4</v>
      </c>
      <c r="AO42">
        <v>4</v>
      </c>
      <c r="AQ42">
        <v>0</v>
      </c>
      <c r="AR42" t="s">
        <v>69</v>
      </c>
      <c r="AT42">
        <v>0</v>
      </c>
      <c r="AU42" t="s">
        <v>69</v>
      </c>
      <c r="AW42">
        <v>0</v>
      </c>
      <c r="AX42" t="s">
        <v>69</v>
      </c>
      <c r="AY42" t="s">
        <v>405</v>
      </c>
      <c r="AZ42" t="s">
        <v>47</v>
      </c>
      <c r="BA42">
        <v>2</v>
      </c>
      <c r="BB42">
        <v>3</v>
      </c>
      <c r="BC42" t="s">
        <v>98</v>
      </c>
      <c r="BD42" t="s">
        <v>99</v>
      </c>
      <c r="BE42" t="s">
        <v>98</v>
      </c>
      <c r="BF42" t="s">
        <v>99</v>
      </c>
      <c r="BG42" t="s">
        <v>406</v>
      </c>
      <c r="BH42" t="s">
        <v>146</v>
      </c>
      <c r="BI42" t="s">
        <v>98</v>
      </c>
    </row>
    <row r="43" spans="1:61" x14ac:dyDescent="0.35">
      <c r="A43">
        <v>42</v>
      </c>
      <c r="B43">
        <v>45838.825844907406</v>
      </c>
      <c r="C43" t="s">
        <v>407</v>
      </c>
      <c r="D43" t="s">
        <v>408</v>
      </c>
      <c r="E43" t="s">
        <v>409</v>
      </c>
      <c r="F43" t="s">
        <v>410</v>
      </c>
      <c r="G43" t="s">
        <v>411</v>
      </c>
      <c r="H43" t="s">
        <v>138</v>
      </c>
      <c r="I43" t="s">
        <v>139</v>
      </c>
      <c r="J43" t="s">
        <v>163</v>
      </c>
      <c r="K43" t="s">
        <v>412</v>
      </c>
      <c r="L43" t="s">
        <v>69</v>
      </c>
      <c r="M43" t="s">
        <v>69</v>
      </c>
      <c r="N43" t="s">
        <v>69</v>
      </c>
      <c r="O43" t="s">
        <v>69</v>
      </c>
      <c r="P43" t="s">
        <v>106</v>
      </c>
      <c r="Q43" t="s">
        <v>107</v>
      </c>
      <c r="R43" s="3">
        <v>24</v>
      </c>
      <c r="S43">
        <v>24</v>
      </c>
      <c r="T43" t="s">
        <v>72</v>
      </c>
      <c r="U43" t="s">
        <v>254</v>
      </c>
      <c r="V43" t="s">
        <v>413</v>
      </c>
      <c r="W43" t="s">
        <v>413</v>
      </c>
      <c r="X43">
        <v>4</v>
      </c>
      <c r="Y43">
        <v>4</v>
      </c>
      <c r="Z43">
        <v>4</v>
      </c>
      <c r="AA43">
        <v>4</v>
      </c>
      <c r="AB43">
        <v>4</v>
      </c>
      <c r="AC43">
        <v>4</v>
      </c>
      <c r="AD43">
        <v>4</v>
      </c>
      <c r="AE43">
        <v>4</v>
      </c>
      <c r="AF43">
        <v>4</v>
      </c>
      <c r="AG43">
        <v>4</v>
      </c>
      <c r="AH43">
        <v>4</v>
      </c>
      <c r="AI43">
        <v>4</v>
      </c>
      <c r="AJ43">
        <v>4</v>
      </c>
      <c r="AK43">
        <v>4</v>
      </c>
      <c r="AL43">
        <v>4</v>
      </c>
      <c r="AM43">
        <v>4</v>
      </c>
      <c r="AN43">
        <v>4</v>
      </c>
      <c r="AO43">
        <v>4</v>
      </c>
      <c r="AQ43">
        <v>0</v>
      </c>
      <c r="AR43" t="s">
        <v>69</v>
      </c>
      <c r="AT43">
        <v>0</v>
      </c>
      <c r="AU43" t="s">
        <v>69</v>
      </c>
      <c r="AW43">
        <v>0</v>
      </c>
      <c r="AX43" t="s">
        <v>69</v>
      </c>
      <c r="AY43" t="s">
        <v>144</v>
      </c>
      <c r="AZ43" t="s">
        <v>144</v>
      </c>
      <c r="BA43">
        <v>1</v>
      </c>
      <c r="BB43">
        <v>4</v>
      </c>
      <c r="BC43" t="s">
        <v>98</v>
      </c>
      <c r="BD43" t="s">
        <v>99</v>
      </c>
      <c r="BE43" t="s">
        <v>98</v>
      </c>
      <c r="BF43" t="s">
        <v>99</v>
      </c>
      <c r="BG43" t="s">
        <v>98</v>
      </c>
      <c r="BH43" t="s">
        <v>99</v>
      </c>
      <c r="BI43" t="s">
        <v>98</v>
      </c>
    </row>
    <row r="44" spans="1:61" x14ac:dyDescent="0.35">
      <c r="A44">
        <v>43</v>
      </c>
      <c r="B44">
        <v>45838.88181712963</v>
      </c>
      <c r="C44" t="s">
        <v>414</v>
      </c>
      <c r="D44" t="s">
        <v>415</v>
      </c>
      <c r="E44" t="s">
        <v>63</v>
      </c>
      <c r="F44" t="s">
        <v>416</v>
      </c>
      <c r="G44" t="s">
        <v>417</v>
      </c>
      <c r="H44" t="s">
        <v>242</v>
      </c>
      <c r="I44" t="s">
        <v>243</v>
      </c>
      <c r="J44" t="s">
        <v>67</v>
      </c>
      <c r="K44" t="s">
        <v>418</v>
      </c>
      <c r="L44" t="s">
        <v>69</v>
      </c>
      <c r="M44" t="s">
        <v>69</v>
      </c>
      <c r="N44" t="s">
        <v>69</v>
      </c>
      <c r="O44" t="s">
        <v>83</v>
      </c>
      <c r="P44" t="s">
        <v>106</v>
      </c>
      <c r="Q44" t="s">
        <v>271</v>
      </c>
      <c r="R44" s="3" t="s">
        <v>130</v>
      </c>
      <c r="S44">
        <v>18</v>
      </c>
      <c r="T44" t="s">
        <v>131</v>
      </c>
      <c r="U44" t="s">
        <v>73</v>
      </c>
      <c r="V44" t="s">
        <v>94</v>
      </c>
      <c r="W44" t="s">
        <v>95</v>
      </c>
      <c r="X44">
        <v>3</v>
      </c>
      <c r="Y44">
        <v>4</v>
      </c>
      <c r="Z44">
        <v>3</v>
      </c>
      <c r="AA44">
        <v>3</v>
      </c>
      <c r="AB44">
        <v>2</v>
      </c>
      <c r="AC44">
        <v>4</v>
      </c>
      <c r="AD44">
        <v>4</v>
      </c>
      <c r="AE44">
        <v>4</v>
      </c>
      <c r="AF44">
        <v>3</v>
      </c>
      <c r="AG44">
        <v>3</v>
      </c>
      <c r="AH44">
        <v>3</v>
      </c>
      <c r="AI44">
        <v>4</v>
      </c>
      <c r="AJ44">
        <v>3</v>
      </c>
      <c r="AK44">
        <v>4</v>
      </c>
      <c r="AL44">
        <v>3</v>
      </c>
      <c r="AM44">
        <v>3</v>
      </c>
      <c r="AN44">
        <v>3</v>
      </c>
      <c r="AO44">
        <v>4</v>
      </c>
      <c r="AQ44">
        <v>0</v>
      </c>
      <c r="AR44" t="s">
        <v>69</v>
      </c>
      <c r="AS44">
        <v>2</v>
      </c>
      <c r="AT44">
        <v>3</v>
      </c>
      <c r="AU44" t="s">
        <v>75</v>
      </c>
      <c r="AW44">
        <v>0</v>
      </c>
      <c r="AX44" t="s">
        <v>69</v>
      </c>
      <c r="AY44" t="s">
        <v>83</v>
      </c>
      <c r="AZ44" t="s">
        <v>96</v>
      </c>
      <c r="BA44">
        <v>0</v>
      </c>
      <c r="BB44">
        <v>0</v>
      </c>
      <c r="BC44" t="s">
        <v>419</v>
      </c>
      <c r="BD44" t="s">
        <v>112</v>
      </c>
      <c r="BE44" t="s">
        <v>420</v>
      </c>
      <c r="BF44" t="s">
        <v>421</v>
      </c>
      <c r="BG44" t="s">
        <v>248</v>
      </c>
      <c r="BH44" t="s">
        <v>79</v>
      </c>
      <c r="BI44" t="s">
        <v>248</v>
      </c>
    </row>
    <row r="45" spans="1:61" x14ac:dyDescent="0.35">
      <c r="A45">
        <v>44</v>
      </c>
      <c r="B45">
        <v>45838.834467592591</v>
      </c>
      <c r="C45" t="s">
        <v>422</v>
      </c>
      <c r="D45" t="s">
        <v>423</v>
      </c>
      <c r="E45" t="s">
        <v>63</v>
      </c>
      <c r="F45" t="s">
        <v>136</v>
      </c>
      <c r="G45" t="s">
        <v>424</v>
      </c>
      <c r="H45" t="s">
        <v>138</v>
      </c>
      <c r="I45" t="s">
        <v>139</v>
      </c>
      <c r="J45" t="s">
        <v>163</v>
      </c>
      <c r="K45" t="s">
        <v>425</v>
      </c>
      <c r="L45" t="s">
        <v>69</v>
      </c>
      <c r="M45" t="s">
        <v>69</v>
      </c>
      <c r="N45" t="s">
        <v>69</v>
      </c>
      <c r="O45" t="s">
        <v>69</v>
      </c>
      <c r="P45" t="s">
        <v>70</v>
      </c>
      <c r="Q45" t="s">
        <v>107</v>
      </c>
      <c r="R45" s="3">
        <v>39</v>
      </c>
      <c r="S45">
        <v>39</v>
      </c>
      <c r="T45" t="s">
        <v>153</v>
      </c>
      <c r="U45" t="s">
        <v>93</v>
      </c>
      <c r="V45" t="s">
        <v>142</v>
      </c>
      <c r="W45" t="s">
        <v>143</v>
      </c>
      <c r="X45">
        <v>3</v>
      </c>
      <c r="Y45">
        <v>3</v>
      </c>
      <c r="Z45">
        <v>4</v>
      </c>
      <c r="AA45">
        <v>4</v>
      </c>
      <c r="AB45">
        <v>4</v>
      </c>
      <c r="AC45">
        <v>4</v>
      </c>
      <c r="AD45">
        <v>4</v>
      </c>
      <c r="AE45">
        <v>4</v>
      </c>
      <c r="AF45">
        <v>4</v>
      </c>
      <c r="AG45">
        <v>4</v>
      </c>
      <c r="AH45">
        <v>4</v>
      </c>
      <c r="AI45">
        <v>4</v>
      </c>
      <c r="AJ45">
        <v>4</v>
      </c>
      <c r="AK45">
        <v>4</v>
      </c>
      <c r="AL45">
        <v>4</v>
      </c>
      <c r="AM45">
        <v>4</v>
      </c>
      <c r="AN45">
        <v>3</v>
      </c>
      <c r="AO45">
        <v>3</v>
      </c>
      <c r="AQ45">
        <v>0</v>
      </c>
      <c r="AR45" t="s">
        <v>69</v>
      </c>
      <c r="AT45">
        <v>0</v>
      </c>
      <c r="AU45" t="s">
        <v>69</v>
      </c>
      <c r="AW45">
        <v>0</v>
      </c>
      <c r="AX45" t="s">
        <v>69</v>
      </c>
      <c r="AY45" t="s">
        <v>379</v>
      </c>
      <c r="AZ45" t="s">
        <v>77</v>
      </c>
      <c r="BA45">
        <v>2</v>
      </c>
      <c r="BB45">
        <v>3</v>
      </c>
      <c r="BC45" t="s">
        <v>98</v>
      </c>
      <c r="BD45" t="s">
        <v>99</v>
      </c>
      <c r="BE45" t="s">
        <v>98</v>
      </c>
      <c r="BF45" t="s">
        <v>99</v>
      </c>
      <c r="BG45" t="s">
        <v>426</v>
      </c>
      <c r="BH45" t="s">
        <v>190</v>
      </c>
      <c r="BI45" t="s">
        <v>98</v>
      </c>
    </row>
    <row r="46" spans="1:61" x14ac:dyDescent="0.35">
      <c r="A46">
        <v>45</v>
      </c>
      <c r="B46">
        <v>45838.886122685188</v>
      </c>
      <c r="C46" t="s">
        <v>427</v>
      </c>
      <c r="D46" t="s">
        <v>428</v>
      </c>
      <c r="E46" t="s">
        <v>63</v>
      </c>
      <c r="F46" t="s">
        <v>149</v>
      </c>
      <c r="G46" t="s">
        <v>429</v>
      </c>
      <c r="H46" t="s">
        <v>242</v>
      </c>
      <c r="I46" t="s">
        <v>243</v>
      </c>
      <c r="J46" t="s">
        <v>67</v>
      </c>
      <c r="K46" t="s">
        <v>430</v>
      </c>
      <c r="L46" t="s">
        <v>69</v>
      </c>
      <c r="M46" t="s">
        <v>69</v>
      </c>
      <c r="N46" t="s">
        <v>69</v>
      </c>
      <c r="O46" t="s">
        <v>69</v>
      </c>
      <c r="P46" t="s">
        <v>106</v>
      </c>
      <c r="Q46" t="s">
        <v>292</v>
      </c>
      <c r="R46" s="3" t="s">
        <v>431</v>
      </c>
      <c r="S46">
        <v>19</v>
      </c>
      <c r="T46" t="s">
        <v>131</v>
      </c>
      <c r="U46" t="s">
        <v>73</v>
      </c>
      <c r="V46" t="s">
        <v>94</v>
      </c>
      <c r="W46" t="s">
        <v>95</v>
      </c>
      <c r="X46">
        <v>3</v>
      </c>
      <c r="Y46">
        <v>4</v>
      </c>
      <c r="Z46">
        <v>4</v>
      </c>
      <c r="AA46">
        <v>4</v>
      </c>
      <c r="AB46">
        <v>3</v>
      </c>
      <c r="AC46">
        <v>3</v>
      </c>
      <c r="AD46">
        <v>3</v>
      </c>
      <c r="AE46">
        <v>4</v>
      </c>
      <c r="AF46">
        <v>3</v>
      </c>
      <c r="AG46">
        <v>3</v>
      </c>
      <c r="AH46">
        <v>3</v>
      </c>
      <c r="AI46">
        <v>3</v>
      </c>
      <c r="AJ46">
        <v>4</v>
      </c>
      <c r="AK46">
        <v>3</v>
      </c>
      <c r="AL46">
        <v>3</v>
      </c>
      <c r="AM46">
        <v>4</v>
      </c>
      <c r="AN46">
        <v>4</v>
      </c>
      <c r="AO46">
        <v>4</v>
      </c>
      <c r="AQ46">
        <v>0</v>
      </c>
      <c r="AR46" t="s">
        <v>69</v>
      </c>
      <c r="AS46">
        <v>2</v>
      </c>
      <c r="AT46">
        <v>3</v>
      </c>
      <c r="AU46" t="s">
        <v>75</v>
      </c>
      <c r="AW46">
        <v>0</v>
      </c>
      <c r="AX46" t="s">
        <v>69</v>
      </c>
      <c r="AY46" t="s">
        <v>83</v>
      </c>
      <c r="AZ46" t="s">
        <v>96</v>
      </c>
      <c r="BA46">
        <v>0</v>
      </c>
      <c r="BB46">
        <v>0</v>
      </c>
      <c r="BC46" t="s">
        <v>432</v>
      </c>
      <c r="BD46" t="s">
        <v>433</v>
      </c>
      <c r="BE46" t="s">
        <v>434</v>
      </c>
      <c r="BF46" t="s">
        <v>157</v>
      </c>
      <c r="BG46" t="s">
        <v>248</v>
      </c>
      <c r="BH46" t="s">
        <v>79</v>
      </c>
      <c r="BI46" t="s">
        <v>248</v>
      </c>
    </row>
    <row r="47" spans="1:61" x14ac:dyDescent="0.35">
      <c r="A47">
        <v>46</v>
      </c>
      <c r="B47">
        <v>45838.921782407408</v>
      </c>
      <c r="C47" t="s">
        <v>435</v>
      </c>
      <c r="D47" t="s">
        <v>436</v>
      </c>
      <c r="E47" t="s">
        <v>63</v>
      </c>
      <c r="F47" t="s">
        <v>63</v>
      </c>
      <c r="G47" t="s">
        <v>437</v>
      </c>
      <c r="H47" t="s">
        <v>438</v>
      </c>
      <c r="I47" t="s">
        <v>439</v>
      </c>
      <c r="J47" t="s">
        <v>67</v>
      </c>
      <c r="K47" t="s">
        <v>440</v>
      </c>
      <c r="L47" t="s">
        <v>69</v>
      </c>
      <c r="M47" t="s">
        <v>69</v>
      </c>
      <c r="N47" t="s">
        <v>69</v>
      </c>
      <c r="O47" t="s">
        <v>69</v>
      </c>
      <c r="P47" t="s">
        <v>70</v>
      </c>
      <c r="Q47" t="s">
        <v>107</v>
      </c>
      <c r="R47" s="3" t="s">
        <v>441</v>
      </c>
      <c r="S47">
        <v>23</v>
      </c>
      <c r="T47" t="s">
        <v>72</v>
      </c>
      <c r="U47" t="s">
        <v>73</v>
      </c>
      <c r="V47" t="s">
        <v>232</v>
      </c>
      <c r="W47" t="s">
        <v>232</v>
      </c>
      <c r="X47">
        <v>4</v>
      </c>
      <c r="Y47">
        <v>4</v>
      </c>
      <c r="Z47">
        <v>4</v>
      </c>
      <c r="AA47">
        <v>4</v>
      </c>
      <c r="AB47">
        <v>4</v>
      </c>
      <c r="AC47">
        <v>4</v>
      </c>
      <c r="AD47">
        <v>4</v>
      </c>
      <c r="AE47">
        <v>0</v>
      </c>
      <c r="AF47">
        <v>4</v>
      </c>
      <c r="AG47">
        <v>4</v>
      </c>
      <c r="AH47">
        <v>4</v>
      </c>
      <c r="AI47">
        <v>4</v>
      </c>
      <c r="AJ47">
        <v>4</v>
      </c>
      <c r="AK47">
        <v>4</v>
      </c>
      <c r="AL47">
        <v>4</v>
      </c>
      <c r="AM47">
        <v>4</v>
      </c>
      <c r="AN47">
        <v>4</v>
      </c>
      <c r="AO47">
        <v>4</v>
      </c>
      <c r="AQ47">
        <v>0</v>
      </c>
      <c r="AR47" t="s">
        <v>69</v>
      </c>
      <c r="AT47">
        <v>0</v>
      </c>
      <c r="AU47" t="s">
        <v>69</v>
      </c>
      <c r="AW47">
        <v>0</v>
      </c>
      <c r="AX47" t="s">
        <v>69</v>
      </c>
      <c r="AY47" t="s">
        <v>293</v>
      </c>
      <c r="AZ47" t="s">
        <v>144</v>
      </c>
      <c r="BA47">
        <v>1</v>
      </c>
      <c r="BB47">
        <v>4</v>
      </c>
      <c r="BC47" t="s">
        <v>442</v>
      </c>
      <c r="BD47" t="s">
        <v>79</v>
      </c>
      <c r="BE47" t="s">
        <v>442</v>
      </c>
      <c r="BF47" t="s">
        <v>79</v>
      </c>
      <c r="BG47" t="s">
        <v>443</v>
      </c>
      <c r="BH47" t="s">
        <v>190</v>
      </c>
      <c r="BI47" t="s">
        <v>83</v>
      </c>
    </row>
    <row r="48" spans="1:61" x14ac:dyDescent="0.35">
      <c r="A48">
        <v>47</v>
      </c>
      <c r="B48">
        <v>45838.925925925927</v>
      </c>
      <c r="C48" t="s">
        <v>444</v>
      </c>
      <c r="D48" t="s">
        <v>445</v>
      </c>
      <c r="E48" t="s">
        <v>63</v>
      </c>
      <c r="F48" t="s">
        <v>63</v>
      </c>
      <c r="G48" t="s">
        <v>446</v>
      </c>
      <c r="H48" t="s">
        <v>103</v>
      </c>
      <c r="I48" t="s">
        <v>104</v>
      </c>
      <c r="J48" t="s">
        <v>67</v>
      </c>
      <c r="K48" t="s">
        <v>447</v>
      </c>
      <c r="L48" t="s">
        <v>69</v>
      </c>
      <c r="M48" t="s">
        <v>69</v>
      </c>
      <c r="N48" t="s">
        <v>69</v>
      </c>
      <c r="O48" t="s">
        <v>69</v>
      </c>
      <c r="P48" t="s">
        <v>70</v>
      </c>
      <c r="Q48" t="s">
        <v>107</v>
      </c>
      <c r="R48" s="3">
        <v>27</v>
      </c>
      <c r="S48">
        <v>27</v>
      </c>
      <c r="T48" t="s">
        <v>92</v>
      </c>
      <c r="U48" t="s">
        <v>93</v>
      </c>
      <c r="V48" t="s">
        <v>74</v>
      </c>
      <c r="W48" t="s">
        <v>74</v>
      </c>
      <c r="X48">
        <v>4</v>
      </c>
      <c r="Y48">
        <v>4</v>
      </c>
      <c r="Z48">
        <v>3</v>
      </c>
      <c r="AA48">
        <v>4</v>
      </c>
      <c r="AB48">
        <v>4</v>
      </c>
      <c r="AC48">
        <v>4</v>
      </c>
      <c r="AD48">
        <v>0</v>
      </c>
      <c r="AE48">
        <v>0</v>
      </c>
      <c r="AF48">
        <v>4</v>
      </c>
      <c r="AG48">
        <v>4</v>
      </c>
      <c r="AH48">
        <v>4</v>
      </c>
      <c r="AI48">
        <v>4</v>
      </c>
      <c r="AJ48">
        <v>4</v>
      </c>
      <c r="AK48">
        <v>4</v>
      </c>
      <c r="AL48">
        <v>3</v>
      </c>
      <c r="AM48">
        <v>4</v>
      </c>
      <c r="AN48">
        <v>4</v>
      </c>
      <c r="AO48">
        <v>4</v>
      </c>
      <c r="AQ48">
        <v>0</v>
      </c>
      <c r="AR48" t="s">
        <v>69</v>
      </c>
      <c r="AT48">
        <v>0</v>
      </c>
      <c r="AU48" t="s">
        <v>69</v>
      </c>
      <c r="AW48">
        <v>0</v>
      </c>
      <c r="AX48" t="s">
        <v>69</v>
      </c>
      <c r="AY48" t="s">
        <v>449</v>
      </c>
      <c r="AZ48" t="s">
        <v>450</v>
      </c>
      <c r="BA48">
        <v>2</v>
      </c>
      <c r="BB48">
        <v>3</v>
      </c>
      <c r="BC48" t="s">
        <v>451</v>
      </c>
      <c r="BD48" t="s">
        <v>452</v>
      </c>
      <c r="BE48" t="s">
        <v>453</v>
      </c>
      <c r="BF48" t="s">
        <v>79</v>
      </c>
      <c r="BG48" t="s">
        <v>454</v>
      </c>
      <c r="BH48" t="s">
        <v>146</v>
      </c>
      <c r="BI48" t="s">
        <v>455</v>
      </c>
    </row>
    <row r="49" spans="1:61" x14ac:dyDescent="0.35">
      <c r="A49">
        <v>48</v>
      </c>
      <c r="B49">
        <v>45838.932800925926</v>
      </c>
      <c r="C49" t="s">
        <v>456</v>
      </c>
      <c r="D49" t="s">
        <v>457</v>
      </c>
      <c r="E49" t="s">
        <v>63</v>
      </c>
      <c r="F49" t="s">
        <v>63</v>
      </c>
      <c r="G49" t="s">
        <v>458</v>
      </c>
      <c r="H49" t="s">
        <v>459</v>
      </c>
      <c r="I49" t="s">
        <v>439</v>
      </c>
      <c r="J49" t="s">
        <v>67</v>
      </c>
      <c r="K49" t="s">
        <v>460</v>
      </c>
      <c r="L49" t="s">
        <v>69</v>
      </c>
      <c r="M49" t="s">
        <v>69</v>
      </c>
      <c r="N49" t="s">
        <v>69</v>
      </c>
      <c r="O49" t="s">
        <v>69</v>
      </c>
      <c r="P49" t="s">
        <v>106</v>
      </c>
      <c r="Q49" t="s">
        <v>107</v>
      </c>
      <c r="R49" s="3" t="s">
        <v>441</v>
      </c>
      <c r="S49">
        <v>23</v>
      </c>
      <c r="T49" t="s">
        <v>72</v>
      </c>
      <c r="U49" t="s">
        <v>93</v>
      </c>
      <c r="V49" t="s">
        <v>74</v>
      </c>
      <c r="W49" t="s">
        <v>74</v>
      </c>
      <c r="X49">
        <v>3</v>
      </c>
      <c r="Y49">
        <v>3</v>
      </c>
      <c r="Z49">
        <v>3</v>
      </c>
      <c r="AA49">
        <v>3</v>
      </c>
      <c r="AB49">
        <v>3</v>
      </c>
      <c r="AC49">
        <v>4</v>
      </c>
      <c r="AD49">
        <v>0</v>
      </c>
      <c r="AE49">
        <v>0</v>
      </c>
      <c r="AF49">
        <v>4</v>
      </c>
      <c r="AG49">
        <v>4</v>
      </c>
      <c r="AH49">
        <v>3</v>
      </c>
      <c r="AI49">
        <v>3</v>
      </c>
      <c r="AJ49">
        <v>3</v>
      </c>
      <c r="AK49">
        <v>3</v>
      </c>
      <c r="AL49">
        <v>3</v>
      </c>
      <c r="AM49">
        <v>3</v>
      </c>
      <c r="AN49">
        <v>3</v>
      </c>
      <c r="AO49">
        <v>3</v>
      </c>
      <c r="AQ49">
        <v>0</v>
      </c>
      <c r="AR49" t="s">
        <v>69</v>
      </c>
      <c r="AT49">
        <v>0</v>
      </c>
      <c r="AU49" t="s">
        <v>69</v>
      </c>
      <c r="AW49">
        <v>0</v>
      </c>
      <c r="AX49" t="s">
        <v>69</v>
      </c>
      <c r="AY49" t="s">
        <v>461</v>
      </c>
      <c r="AZ49" t="s">
        <v>186</v>
      </c>
      <c r="BA49">
        <v>3</v>
      </c>
      <c r="BB49">
        <v>2</v>
      </c>
      <c r="BC49" t="s">
        <v>462</v>
      </c>
      <c r="BD49" t="s">
        <v>79</v>
      </c>
      <c r="BE49" t="s">
        <v>463</v>
      </c>
      <c r="BF49" t="s">
        <v>421</v>
      </c>
      <c r="BG49" t="s">
        <v>462</v>
      </c>
      <c r="BH49" t="s">
        <v>79</v>
      </c>
      <c r="BI49" t="s">
        <v>83</v>
      </c>
    </row>
    <row r="50" spans="1:61" x14ac:dyDescent="0.35">
      <c r="A50">
        <v>49</v>
      </c>
      <c r="B50">
        <v>45838.939363425925</v>
      </c>
      <c r="C50" t="s">
        <v>464</v>
      </c>
      <c r="D50" t="s">
        <v>465</v>
      </c>
      <c r="E50" t="s">
        <v>63</v>
      </c>
      <c r="F50" t="s">
        <v>466</v>
      </c>
      <c r="G50" t="s">
        <v>467</v>
      </c>
      <c r="H50" t="s">
        <v>459</v>
      </c>
      <c r="I50" t="s">
        <v>439</v>
      </c>
      <c r="J50" t="s">
        <v>67</v>
      </c>
      <c r="K50" t="s">
        <v>468</v>
      </c>
      <c r="L50" t="s">
        <v>69</v>
      </c>
      <c r="M50" t="s">
        <v>69</v>
      </c>
      <c r="N50" t="s">
        <v>69</v>
      </c>
      <c r="O50" t="s">
        <v>69</v>
      </c>
      <c r="P50" t="s">
        <v>106</v>
      </c>
      <c r="Q50" t="s">
        <v>107</v>
      </c>
      <c r="R50" s="3" t="s">
        <v>469</v>
      </c>
      <c r="S50">
        <v>58</v>
      </c>
      <c r="T50" t="s">
        <v>182</v>
      </c>
      <c r="U50" t="s">
        <v>73</v>
      </c>
      <c r="V50" t="s">
        <v>184</v>
      </c>
      <c r="W50" t="s">
        <v>184</v>
      </c>
      <c r="X50">
        <v>3</v>
      </c>
      <c r="Y50">
        <v>3</v>
      </c>
      <c r="Z50">
        <v>3</v>
      </c>
      <c r="AA50">
        <v>3</v>
      </c>
      <c r="AB50">
        <v>3</v>
      </c>
      <c r="AC50">
        <v>3</v>
      </c>
      <c r="AD50">
        <v>0</v>
      </c>
      <c r="AE50">
        <v>0</v>
      </c>
      <c r="AF50">
        <v>3</v>
      </c>
      <c r="AG50">
        <v>3</v>
      </c>
      <c r="AH50">
        <v>4</v>
      </c>
      <c r="AI50">
        <v>4</v>
      </c>
      <c r="AJ50">
        <v>4</v>
      </c>
      <c r="AK50">
        <v>4</v>
      </c>
      <c r="AL50">
        <v>3</v>
      </c>
      <c r="AM50">
        <v>3</v>
      </c>
      <c r="AN50">
        <v>4</v>
      </c>
      <c r="AO50">
        <v>4</v>
      </c>
      <c r="AQ50">
        <v>0</v>
      </c>
      <c r="AR50" t="s">
        <v>75</v>
      </c>
      <c r="AT50">
        <v>0</v>
      </c>
      <c r="AU50" t="s">
        <v>69</v>
      </c>
      <c r="AW50">
        <v>0</v>
      </c>
      <c r="AX50" t="s">
        <v>69</v>
      </c>
      <c r="AY50" t="s">
        <v>470</v>
      </c>
      <c r="AZ50" t="s">
        <v>186</v>
      </c>
      <c r="BA50">
        <v>2</v>
      </c>
      <c r="BB50">
        <v>3</v>
      </c>
      <c r="BC50" t="s">
        <v>462</v>
      </c>
      <c r="BD50" t="s">
        <v>79</v>
      </c>
      <c r="BE50" t="s">
        <v>462</v>
      </c>
      <c r="BF50" t="s">
        <v>79</v>
      </c>
      <c r="BG50" t="s">
        <v>462</v>
      </c>
      <c r="BH50" t="s">
        <v>79</v>
      </c>
      <c r="BI50" t="s">
        <v>83</v>
      </c>
    </row>
    <row r="51" spans="1:61" x14ac:dyDescent="0.35">
      <c r="A51">
        <v>50</v>
      </c>
      <c r="B51">
        <v>45838.944027777776</v>
      </c>
      <c r="C51" t="s">
        <v>471</v>
      </c>
      <c r="D51" t="s">
        <v>472</v>
      </c>
      <c r="E51" t="s">
        <v>63</v>
      </c>
      <c r="F51" t="s">
        <v>63</v>
      </c>
      <c r="G51" t="s">
        <v>473</v>
      </c>
      <c r="H51" t="s">
        <v>459</v>
      </c>
      <c r="I51" t="s">
        <v>439</v>
      </c>
      <c r="J51" t="s">
        <v>67</v>
      </c>
      <c r="K51" t="s">
        <v>474</v>
      </c>
      <c r="L51" t="s">
        <v>69</v>
      </c>
      <c r="M51" t="s">
        <v>69</v>
      </c>
      <c r="N51" t="s">
        <v>69</v>
      </c>
      <c r="O51" t="s">
        <v>69</v>
      </c>
      <c r="P51" t="s">
        <v>70</v>
      </c>
      <c r="Q51" t="s">
        <v>107</v>
      </c>
      <c r="R51" s="3" t="s">
        <v>475</v>
      </c>
      <c r="S51">
        <v>54</v>
      </c>
      <c r="T51" t="s">
        <v>383</v>
      </c>
      <c r="U51" t="s">
        <v>93</v>
      </c>
      <c r="V51" t="s">
        <v>476</v>
      </c>
      <c r="W51" t="s">
        <v>184</v>
      </c>
      <c r="X51">
        <v>3</v>
      </c>
      <c r="Y51">
        <v>4</v>
      </c>
      <c r="Z51">
        <v>4</v>
      </c>
      <c r="AA51">
        <v>4</v>
      </c>
      <c r="AB51">
        <v>4</v>
      </c>
      <c r="AC51">
        <v>4</v>
      </c>
      <c r="AD51">
        <v>0</v>
      </c>
      <c r="AE51">
        <v>0</v>
      </c>
      <c r="AF51">
        <v>4</v>
      </c>
      <c r="AG51">
        <v>4</v>
      </c>
      <c r="AH51">
        <v>4</v>
      </c>
      <c r="AI51">
        <v>4</v>
      </c>
      <c r="AJ51">
        <v>4</v>
      </c>
      <c r="AK51">
        <v>4</v>
      </c>
      <c r="AL51">
        <v>4</v>
      </c>
      <c r="AM51">
        <v>4</v>
      </c>
      <c r="AN51">
        <v>4</v>
      </c>
      <c r="AO51">
        <v>4</v>
      </c>
      <c r="AP51">
        <v>2</v>
      </c>
      <c r="AQ51">
        <v>3</v>
      </c>
      <c r="AR51" t="s">
        <v>75</v>
      </c>
      <c r="AT51">
        <v>0</v>
      </c>
      <c r="AU51" t="s">
        <v>69</v>
      </c>
      <c r="AW51">
        <v>0</v>
      </c>
      <c r="AX51" t="s">
        <v>69</v>
      </c>
      <c r="AY51" t="s">
        <v>83</v>
      </c>
      <c r="AZ51" t="s">
        <v>96</v>
      </c>
      <c r="BA51">
        <v>0</v>
      </c>
      <c r="BB51">
        <v>0</v>
      </c>
      <c r="BC51" t="s">
        <v>462</v>
      </c>
      <c r="BD51" t="s">
        <v>79</v>
      </c>
      <c r="BE51" t="s">
        <v>477</v>
      </c>
      <c r="BF51" t="s">
        <v>112</v>
      </c>
      <c r="BG51" t="s">
        <v>462</v>
      </c>
      <c r="BH51" t="s">
        <v>79</v>
      </c>
      <c r="BI51" t="s">
        <v>83</v>
      </c>
    </row>
    <row r="52" spans="1:61" x14ac:dyDescent="0.35">
      <c r="A52">
        <v>51</v>
      </c>
      <c r="B52">
        <v>45838.953194444446</v>
      </c>
      <c r="C52" t="s">
        <v>478</v>
      </c>
      <c r="D52" t="s">
        <v>479</v>
      </c>
      <c r="E52" t="s">
        <v>63</v>
      </c>
      <c r="F52" t="s">
        <v>480</v>
      </c>
      <c r="G52" t="s">
        <v>481</v>
      </c>
      <c r="H52" t="s">
        <v>459</v>
      </c>
      <c r="I52" t="s">
        <v>439</v>
      </c>
      <c r="J52" t="s">
        <v>67</v>
      </c>
      <c r="K52" t="s">
        <v>482</v>
      </c>
      <c r="L52" t="s">
        <v>69</v>
      </c>
      <c r="M52" t="s">
        <v>69</v>
      </c>
      <c r="N52" t="s">
        <v>69</v>
      </c>
      <c r="O52" t="s">
        <v>69</v>
      </c>
      <c r="P52" t="s">
        <v>70</v>
      </c>
      <c r="Q52" t="s">
        <v>107</v>
      </c>
      <c r="R52" s="3" t="s">
        <v>483</v>
      </c>
      <c r="S52">
        <v>28</v>
      </c>
      <c r="T52" t="s">
        <v>92</v>
      </c>
      <c r="U52" t="s">
        <v>93</v>
      </c>
      <c r="V52" t="s">
        <v>246</v>
      </c>
      <c r="W52" t="s">
        <v>246</v>
      </c>
      <c r="X52">
        <v>2</v>
      </c>
      <c r="Y52">
        <v>3</v>
      </c>
      <c r="Z52">
        <v>2</v>
      </c>
      <c r="AA52">
        <v>3</v>
      </c>
      <c r="AB52">
        <v>3</v>
      </c>
      <c r="AC52">
        <v>3</v>
      </c>
      <c r="AD52">
        <v>0</v>
      </c>
      <c r="AE52">
        <v>0</v>
      </c>
      <c r="AF52">
        <v>3</v>
      </c>
      <c r="AG52">
        <v>3</v>
      </c>
      <c r="AH52">
        <v>3</v>
      </c>
      <c r="AI52">
        <v>3</v>
      </c>
      <c r="AJ52">
        <v>3</v>
      </c>
      <c r="AK52">
        <v>3</v>
      </c>
      <c r="AL52">
        <v>3</v>
      </c>
      <c r="AM52">
        <v>3</v>
      </c>
      <c r="AN52">
        <v>4</v>
      </c>
      <c r="AO52">
        <v>4</v>
      </c>
      <c r="AQ52">
        <v>0</v>
      </c>
      <c r="AR52" t="s">
        <v>69</v>
      </c>
      <c r="AT52">
        <v>0</v>
      </c>
      <c r="AU52" t="s">
        <v>69</v>
      </c>
      <c r="AW52">
        <v>0</v>
      </c>
      <c r="AX52" t="s">
        <v>69</v>
      </c>
      <c r="AY52" t="s">
        <v>484</v>
      </c>
      <c r="AZ52" t="s">
        <v>450</v>
      </c>
      <c r="BA52">
        <v>3</v>
      </c>
      <c r="BB52">
        <v>2</v>
      </c>
      <c r="BC52" t="s">
        <v>485</v>
      </c>
      <c r="BD52" t="s">
        <v>486</v>
      </c>
      <c r="BE52" t="s">
        <v>487</v>
      </c>
      <c r="BF52" t="s">
        <v>79</v>
      </c>
      <c r="BG52" t="s">
        <v>442</v>
      </c>
      <c r="BH52" t="s">
        <v>79</v>
      </c>
      <c r="BI52" t="s">
        <v>83</v>
      </c>
    </row>
    <row r="53" spans="1:61" x14ac:dyDescent="0.35">
      <c r="A53">
        <v>52</v>
      </c>
      <c r="B53">
        <v>45838.957766203705</v>
      </c>
      <c r="C53" t="s">
        <v>488</v>
      </c>
      <c r="D53" t="s">
        <v>489</v>
      </c>
      <c r="E53" t="s">
        <v>63</v>
      </c>
      <c r="F53" t="s">
        <v>63</v>
      </c>
      <c r="G53" t="s">
        <v>490</v>
      </c>
      <c r="H53" t="s">
        <v>459</v>
      </c>
      <c r="I53" t="s">
        <v>439</v>
      </c>
      <c r="J53" t="s">
        <v>67</v>
      </c>
      <c r="K53" t="s">
        <v>491</v>
      </c>
      <c r="L53" t="s">
        <v>69</v>
      </c>
      <c r="M53" t="s">
        <v>69</v>
      </c>
      <c r="N53" t="s">
        <v>69</v>
      </c>
      <c r="O53" t="s">
        <v>69</v>
      </c>
      <c r="P53" t="s">
        <v>106</v>
      </c>
      <c r="Q53" t="s">
        <v>71</v>
      </c>
      <c r="R53" s="3" t="s">
        <v>492</v>
      </c>
      <c r="S53">
        <v>24</v>
      </c>
      <c r="T53" t="s">
        <v>72</v>
      </c>
      <c r="U53" t="s">
        <v>93</v>
      </c>
      <c r="V53" t="s">
        <v>493</v>
      </c>
      <c r="W53" t="s">
        <v>74</v>
      </c>
      <c r="X53">
        <v>4</v>
      </c>
      <c r="Y53">
        <v>4</v>
      </c>
      <c r="Z53">
        <v>3</v>
      </c>
      <c r="AA53">
        <v>4</v>
      </c>
      <c r="AB53">
        <v>3</v>
      </c>
      <c r="AC53">
        <v>4</v>
      </c>
      <c r="AD53">
        <v>4</v>
      </c>
      <c r="AE53">
        <v>4</v>
      </c>
      <c r="AF53">
        <v>4</v>
      </c>
      <c r="AG53">
        <v>4</v>
      </c>
      <c r="AH53">
        <v>3</v>
      </c>
      <c r="AI53">
        <v>3</v>
      </c>
      <c r="AJ53">
        <v>3</v>
      </c>
      <c r="AK53">
        <v>3</v>
      </c>
      <c r="AL53">
        <v>3</v>
      </c>
      <c r="AM53">
        <v>3</v>
      </c>
      <c r="AN53">
        <v>4</v>
      </c>
      <c r="AO53">
        <v>4</v>
      </c>
      <c r="AQ53">
        <v>0</v>
      </c>
      <c r="AR53" t="s">
        <v>69</v>
      </c>
      <c r="AS53">
        <v>1</v>
      </c>
      <c r="AT53">
        <v>4</v>
      </c>
      <c r="AU53" t="s">
        <v>75</v>
      </c>
      <c r="AW53">
        <v>0</v>
      </c>
      <c r="AX53" t="s">
        <v>69</v>
      </c>
      <c r="AY53" t="s">
        <v>83</v>
      </c>
      <c r="AZ53" t="s">
        <v>96</v>
      </c>
      <c r="BA53">
        <v>0</v>
      </c>
      <c r="BB53">
        <v>0</v>
      </c>
      <c r="BC53" t="s">
        <v>494</v>
      </c>
      <c r="BD53" t="s">
        <v>452</v>
      </c>
      <c r="BE53" t="s">
        <v>442</v>
      </c>
      <c r="BF53" t="s">
        <v>79</v>
      </c>
      <c r="BG53" t="s">
        <v>442</v>
      </c>
      <c r="BH53" t="s">
        <v>79</v>
      </c>
      <c r="BI53" t="s">
        <v>83</v>
      </c>
    </row>
    <row r="54" spans="1:61" x14ac:dyDescent="0.35">
      <c r="A54">
        <v>53</v>
      </c>
      <c r="B54">
        <v>45838.964699074073</v>
      </c>
      <c r="C54" t="s">
        <v>495</v>
      </c>
      <c r="D54" t="s">
        <v>496</v>
      </c>
      <c r="E54" t="s">
        <v>63</v>
      </c>
      <c r="F54" t="s">
        <v>125</v>
      </c>
      <c r="G54" t="s">
        <v>497</v>
      </c>
      <c r="H54" t="s">
        <v>459</v>
      </c>
      <c r="I54" t="s">
        <v>439</v>
      </c>
      <c r="J54" t="s">
        <v>67</v>
      </c>
      <c r="K54" t="s">
        <v>498</v>
      </c>
      <c r="L54" t="s">
        <v>69</v>
      </c>
      <c r="M54" t="s">
        <v>69</v>
      </c>
      <c r="N54" t="s">
        <v>69</v>
      </c>
      <c r="O54" t="s">
        <v>69</v>
      </c>
      <c r="P54" t="s">
        <v>70</v>
      </c>
      <c r="Q54" t="s">
        <v>71</v>
      </c>
      <c r="R54" s="3" t="s">
        <v>499</v>
      </c>
      <c r="S54">
        <v>22</v>
      </c>
      <c r="T54" t="s">
        <v>72</v>
      </c>
      <c r="U54" t="s">
        <v>93</v>
      </c>
      <c r="V54" t="s">
        <v>94</v>
      </c>
      <c r="W54" t="s">
        <v>95</v>
      </c>
      <c r="X54">
        <v>3</v>
      </c>
      <c r="Y54">
        <v>3</v>
      </c>
      <c r="Z54">
        <v>3</v>
      </c>
      <c r="AA54">
        <v>3</v>
      </c>
      <c r="AB54">
        <v>3</v>
      </c>
      <c r="AC54">
        <v>3</v>
      </c>
      <c r="AD54">
        <v>4</v>
      </c>
      <c r="AE54">
        <v>4</v>
      </c>
      <c r="AF54">
        <v>4</v>
      </c>
      <c r="AG54">
        <v>4</v>
      </c>
      <c r="AH54">
        <v>3</v>
      </c>
      <c r="AI54">
        <v>3</v>
      </c>
      <c r="AJ54">
        <v>3</v>
      </c>
      <c r="AK54">
        <v>3</v>
      </c>
      <c r="AL54">
        <v>3</v>
      </c>
      <c r="AM54">
        <v>3</v>
      </c>
      <c r="AN54">
        <v>4</v>
      </c>
      <c r="AO54">
        <v>4</v>
      </c>
      <c r="AQ54">
        <v>0</v>
      </c>
      <c r="AR54" t="s">
        <v>69</v>
      </c>
      <c r="AS54">
        <v>2</v>
      </c>
      <c r="AT54">
        <v>3</v>
      </c>
      <c r="AU54" t="s">
        <v>75</v>
      </c>
      <c r="AW54">
        <v>0</v>
      </c>
      <c r="AX54" t="s">
        <v>69</v>
      </c>
      <c r="AY54" t="s">
        <v>83</v>
      </c>
      <c r="AZ54" t="s">
        <v>96</v>
      </c>
      <c r="BA54">
        <v>0</v>
      </c>
      <c r="BB54">
        <v>0</v>
      </c>
      <c r="BC54" t="s">
        <v>500</v>
      </c>
      <c r="BD54" t="s">
        <v>112</v>
      </c>
      <c r="BE54" t="s">
        <v>501</v>
      </c>
      <c r="BF54" t="s">
        <v>502</v>
      </c>
      <c r="BG54" t="s">
        <v>503</v>
      </c>
      <c r="BH54" t="s">
        <v>79</v>
      </c>
      <c r="BI54" t="s">
        <v>83</v>
      </c>
    </row>
    <row r="55" spans="1:61" x14ac:dyDescent="0.35">
      <c r="A55">
        <v>54</v>
      </c>
      <c r="B55">
        <v>45838.969513888886</v>
      </c>
      <c r="C55" t="s">
        <v>504</v>
      </c>
      <c r="D55" t="s">
        <v>505</v>
      </c>
      <c r="E55" t="s">
        <v>63</v>
      </c>
      <c r="F55" t="s">
        <v>125</v>
      </c>
      <c r="G55" t="s">
        <v>506</v>
      </c>
      <c r="H55" t="s">
        <v>459</v>
      </c>
      <c r="I55" t="s">
        <v>439</v>
      </c>
      <c r="J55" t="s">
        <v>67</v>
      </c>
      <c r="K55" t="s">
        <v>507</v>
      </c>
      <c r="L55" t="s">
        <v>69</v>
      </c>
      <c r="M55" t="s">
        <v>69</v>
      </c>
      <c r="N55" t="s">
        <v>69</v>
      </c>
      <c r="O55" t="s">
        <v>69</v>
      </c>
      <c r="P55" t="s">
        <v>70</v>
      </c>
      <c r="Q55" t="s">
        <v>71</v>
      </c>
      <c r="R55" s="3" t="s">
        <v>499</v>
      </c>
      <c r="S55">
        <v>22</v>
      </c>
      <c r="T55" t="s">
        <v>72</v>
      </c>
      <c r="U55" t="s">
        <v>73</v>
      </c>
      <c r="V55" t="s">
        <v>508</v>
      </c>
      <c r="W55" t="s">
        <v>133</v>
      </c>
      <c r="X55">
        <v>3</v>
      </c>
      <c r="Y55">
        <v>3</v>
      </c>
      <c r="Z55">
        <v>3</v>
      </c>
      <c r="AA55">
        <v>3</v>
      </c>
      <c r="AB55">
        <v>3</v>
      </c>
      <c r="AC55">
        <v>3</v>
      </c>
      <c r="AD55">
        <v>3</v>
      </c>
      <c r="AE55">
        <v>3</v>
      </c>
      <c r="AF55">
        <v>3</v>
      </c>
      <c r="AG55">
        <v>3</v>
      </c>
      <c r="AH55">
        <v>3</v>
      </c>
      <c r="AI55">
        <v>3</v>
      </c>
      <c r="AJ55">
        <v>3</v>
      </c>
      <c r="AK55">
        <v>3</v>
      </c>
      <c r="AL55">
        <v>3</v>
      </c>
      <c r="AM55">
        <v>3</v>
      </c>
      <c r="AN55">
        <v>4</v>
      </c>
      <c r="AO55">
        <v>4</v>
      </c>
      <c r="AQ55">
        <v>0</v>
      </c>
      <c r="AR55" t="s">
        <v>69</v>
      </c>
      <c r="AT55">
        <v>0</v>
      </c>
      <c r="AU55" t="s">
        <v>69</v>
      </c>
      <c r="AW55">
        <v>0</v>
      </c>
      <c r="AX55" t="s">
        <v>69</v>
      </c>
      <c r="AY55" t="s">
        <v>144</v>
      </c>
      <c r="AZ55" t="s">
        <v>144</v>
      </c>
      <c r="BA55">
        <v>2</v>
      </c>
      <c r="BB55">
        <v>3</v>
      </c>
      <c r="BC55" t="s">
        <v>442</v>
      </c>
      <c r="BD55" t="s">
        <v>79</v>
      </c>
      <c r="BE55" t="s">
        <v>509</v>
      </c>
      <c r="BF55" t="s">
        <v>157</v>
      </c>
      <c r="BG55" t="s">
        <v>503</v>
      </c>
      <c r="BH55" t="s">
        <v>79</v>
      </c>
      <c r="BI55" t="s">
        <v>83</v>
      </c>
    </row>
    <row r="56" spans="1:61" x14ac:dyDescent="0.35">
      <c r="A56">
        <v>55</v>
      </c>
      <c r="B56">
        <v>45838.973576388889</v>
      </c>
      <c r="C56" t="s">
        <v>510</v>
      </c>
      <c r="D56" t="s">
        <v>312</v>
      </c>
      <c r="E56" t="s">
        <v>63</v>
      </c>
      <c r="F56" t="s">
        <v>312</v>
      </c>
      <c r="G56" t="s">
        <v>511</v>
      </c>
      <c r="H56" t="s">
        <v>459</v>
      </c>
      <c r="I56" t="s">
        <v>439</v>
      </c>
      <c r="J56" t="s">
        <v>67</v>
      </c>
      <c r="K56" t="s">
        <v>512</v>
      </c>
      <c r="L56" t="s">
        <v>69</v>
      </c>
      <c r="M56" t="s">
        <v>69</v>
      </c>
      <c r="N56" t="s">
        <v>69</v>
      </c>
      <c r="O56" t="s">
        <v>69</v>
      </c>
      <c r="P56" t="s">
        <v>70</v>
      </c>
      <c r="Q56" t="s">
        <v>71</v>
      </c>
      <c r="R56" s="3" t="s">
        <v>91</v>
      </c>
      <c r="S56">
        <v>27</v>
      </c>
      <c r="T56" t="s">
        <v>92</v>
      </c>
      <c r="U56" t="s">
        <v>93</v>
      </c>
      <c r="V56" t="s">
        <v>232</v>
      </c>
      <c r="W56" t="s">
        <v>232</v>
      </c>
      <c r="X56">
        <v>3</v>
      </c>
      <c r="Y56">
        <v>3</v>
      </c>
      <c r="Z56">
        <v>3</v>
      </c>
      <c r="AA56">
        <v>3</v>
      </c>
      <c r="AB56">
        <v>3</v>
      </c>
      <c r="AC56">
        <v>3</v>
      </c>
      <c r="AD56">
        <v>3</v>
      </c>
      <c r="AE56">
        <v>3</v>
      </c>
      <c r="AF56">
        <v>3</v>
      </c>
      <c r="AG56">
        <v>3</v>
      </c>
      <c r="AH56">
        <v>2</v>
      </c>
      <c r="AI56">
        <v>2</v>
      </c>
      <c r="AJ56">
        <v>2</v>
      </c>
      <c r="AK56">
        <v>2</v>
      </c>
      <c r="AL56">
        <v>3</v>
      </c>
      <c r="AM56">
        <v>3</v>
      </c>
      <c r="AN56">
        <v>3</v>
      </c>
      <c r="AO56">
        <v>3</v>
      </c>
      <c r="AP56">
        <v>2</v>
      </c>
      <c r="AQ56">
        <v>3</v>
      </c>
      <c r="AR56" t="s">
        <v>75</v>
      </c>
      <c r="AT56">
        <v>0</v>
      </c>
      <c r="AU56" t="s">
        <v>69</v>
      </c>
      <c r="AW56">
        <v>0</v>
      </c>
      <c r="AX56" t="s">
        <v>69</v>
      </c>
      <c r="AY56" t="s">
        <v>83</v>
      </c>
      <c r="AZ56" t="s">
        <v>96</v>
      </c>
      <c r="BA56">
        <v>0</v>
      </c>
      <c r="BB56">
        <v>0</v>
      </c>
      <c r="BC56" t="s">
        <v>513</v>
      </c>
      <c r="BD56" t="s">
        <v>235</v>
      </c>
      <c r="BE56" t="s">
        <v>442</v>
      </c>
      <c r="BF56" t="s">
        <v>79</v>
      </c>
      <c r="BG56" t="s">
        <v>442</v>
      </c>
      <c r="BH56" t="s">
        <v>79</v>
      </c>
      <c r="BI56" t="s">
        <v>83</v>
      </c>
    </row>
    <row r="57" spans="1:61" x14ac:dyDescent="0.35">
      <c r="A57">
        <v>56</v>
      </c>
      <c r="B57">
        <v>45839.03533564815</v>
      </c>
      <c r="C57" t="s">
        <v>514</v>
      </c>
      <c r="D57" t="s">
        <v>515</v>
      </c>
      <c r="E57" t="s">
        <v>63</v>
      </c>
      <c r="F57" t="s">
        <v>86</v>
      </c>
      <c r="G57" t="s">
        <v>516</v>
      </c>
      <c r="H57" t="s">
        <v>517</v>
      </c>
      <c r="I57" t="s">
        <v>518</v>
      </c>
      <c r="J57" t="s">
        <v>163</v>
      </c>
      <c r="K57" t="s">
        <v>519</v>
      </c>
      <c r="L57" t="s">
        <v>69</v>
      </c>
      <c r="M57" t="s">
        <v>69</v>
      </c>
      <c r="N57" t="s">
        <v>69</v>
      </c>
      <c r="O57" t="s">
        <v>69</v>
      </c>
      <c r="P57" t="s">
        <v>106</v>
      </c>
      <c r="Q57" t="s">
        <v>71</v>
      </c>
      <c r="R57" s="3" t="s">
        <v>431</v>
      </c>
      <c r="S57">
        <v>19</v>
      </c>
      <c r="T57" t="s">
        <v>131</v>
      </c>
      <c r="U57" t="s">
        <v>73</v>
      </c>
      <c r="V57" t="s">
        <v>133</v>
      </c>
      <c r="W57" t="s">
        <v>133</v>
      </c>
      <c r="X57">
        <v>3</v>
      </c>
      <c r="Y57">
        <v>3</v>
      </c>
      <c r="Z57">
        <v>3</v>
      </c>
      <c r="AA57">
        <v>3</v>
      </c>
      <c r="AB57">
        <v>4</v>
      </c>
      <c r="AC57">
        <v>4</v>
      </c>
      <c r="AD57">
        <v>3</v>
      </c>
      <c r="AE57">
        <v>2</v>
      </c>
      <c r="AF57">
        <v>3</v>
      </c>
      <c r="AG57">
        <v>4</v>
      </c>
      <c r="AH57">
        <v>2</v>
      </c>
      <c r="AI57">
        <v>3</v>
      </c>
      <c r="AJ57">
        <v>2</v>
      </c>
      <c r="AK57">
        <v>3</v>
      </c>
      <c r="AL57">
        <v>3</v>
      </c>
      <c r="AM57">
        <v>3</v>
      </c>
      <c r="AN57">
        <v>3</v>
      </c>
      <c r="AO57">
        <v>4</v>
      </c>
      <c r="AP57">
        <v>2</v>
      </c>
      <c r="AQ57">
        <v>3</v>
      </c>
      <c r="AR57" t="s">
        <v>75</v>
      </c>
      <c r="AS57">
        <v>2</v>
      </c>
      <c r="AT57">
        <v>3</v>
      </c>
      <c r="AU57" t="s">
        <v>75</v>
      </c>
      <c r="AV57">
        <v>2</v>
      </c>
      <c r="AW57">
        <v>3</v>
      </c>
      <c r="AX57" t="s">
        <v>75</v>
      </c>
      <c r="AY57" t="s">
        <v>83</v>
      </c>
      <c r="AZ57" t="s">
        <v>96</v>
      </c>
      <c r="BA57">
        <v>2</v>
      </c>
      <c r="BB57">
        <v>3</v>
      </c>
      <c r="BC57" t="s">
        <v>520</v>
      </c>
      <c r="BD57" t="s">
        <v>112</v>
      </c>
      <c r="BE57" t="s">
        <v>521</v>
      </c>
      <c r="BF57" t="s">
        <v>79</v>
      </c>
      <c r="BG57" t="s">
        <v>503</v>
      </c>
      <c r="BH57" t="s">
        <v>79</v>
      </c>
      <c r="BI57" t="s">
        <v>83</v>
      </c>
    </row>
    <row r="58" spans="1:61" x14ac:dyDescent="0.35">
      <c r="A58">
        <v>57</v>
      </c>
      <c r="B58">
        <v>45839.041620370372</v>
      </c>
      <c r="C58" t="s">
        <v>522</v>
      </c>
      <c r="D58" t="s">
        <v>523</v>
      </c>
      <c r="E58" t="s">
        <v>63</v>
      </c>
      <c r="F58" t="s">
        <v>63</v>
      </c>
      <c r="G58" t="s">
        <v>524</v>
      </c>
      <c r="H58" t="s">
        <v>517</v>
      </c>
      <c r="I58" t="s">
        <v>518</v>
      </c>
      <c r="J58" t="s">
        <v>525</v>
      </c>
      <c r="K58" t="s">
        <v>526</v>
      </c>
      <c r="L58" t="s">
        <v>69</v>
      </c>
      <c r="M58" t="s">
        <v>69</v>
      </c>
      <c r="N58" t="s">
        <v>69</v>
      </c>
      <c r="O58" t="s">
        <v>69</v>
      </c>
      <c r="P58" t="s">
        <v>70</v>
      </c>
      <c r="Q58" t="s">
        <v>71</v>
      </c>
      <c r="R58" s="3" t="s">
        <v>431</v>
      </c>
      <c r="S58">
        <v>19</v>
      </c>
      <c r="T58" t="s">
        <v>131</v>
      </c>
      <c r="U58" t="s">
        <v>73</v>
      </c>
      <c r="V58" t="s">
        <v>133</v>
      </c>
      <c r="W58" t="s">
        <v>133</v>
      </c>
      <c r="X58">
        <v>3</v>
      </c>
      <c r="Y58">
        <v>3</v>
      </c>
      <c r="Z58">
        <v>3</v>
      </c>
      <c r="AA58">
        <v>3</v>
      </c>
      <c r="AB58">
        <v>3</v>
      </c>
      <c r="AC58">
        <v>3</v>
      </c>
      <c r="AD58">
        <v>3</v>
      </c>
      <c r="AE58">
        <v>3</v>
      </c>
      <c r="AF58">
        <v>3</v>
      </c>
      <c r="AG58">
        <v>3</v>
      </c>
      <c r="AH58">
        <v>3</v>
      </c>
      <c r="AI58">
        <v>3</v>
      </c>
      <c r="AJ58">
        <v>3</v>
      </c>
      <c r="AK58">
        <v>3</v>
      </c>
      <c r="AL58">
        <v>3</v>
      </c>
      <c r="AM58">
        <v>3</v>
      </c>
      <c r="AN58">
        <v>3</v>
      </c>
      <c r="AO58">
        <v>3</v>
      </c>
      <c r="AP58">
        <v>2</v>
      </c>
      <c r="AQ58">
        <v>3</v>
      </c>
      <c r="AR58" t="s">
        <v>75</v>
      </c>
      <c r="AS58">
        <v>2</v>
      </c>
      <c r="AT58">
        <v>3</v>
      </c>
      <c r="AU58" t="s">
        <v>75</v>
      </c>
      <c r="AV58">
        <v>2</v>
      </c>
      <c r="AW58">
        <v>3</v>
      </c>
      <c r="AX58" t="s">
        <v>75</v>
      </c>
      <c r="AY58" t="s">
        <v>83</v>
      </c>
      <c r="AZ58" t="s">
        <v>96</v>
      </c>
      <c r="BA58">
        <v>2</v>
      </c>
      <c r="BB58">
        <v>3</v>
      </c>
      <c r="BC58" t="s">
        <v>527</v>
      </c>
      <c r="BD58" t="s">
        <v>99</v>
      </c>
      <c r="BE58" t="s">
        <v>528</v>
      </c>
      <c r="BF58" t="s">
        <v>79</v>
      </c>
      <c r="BG58" t="s">
        <v>503</v>
      </c>
      <c r="BH58" t="s">
        <v>79</v>
      </c>
      <c r="BI58" t="s">
        <v>83</v>
      </c>
    </row>
    <row r="59" spans="1:61" x14ac:dyDescent="0.35">
      <c r="A59">
        <v>58</v>
      </c>
      <c r="B59">
        <v>45839.047430555554</v>
      </c>
      <c r="C59" t="s">
        <v>529</v>
      </c>
      <c r="D59" t="s">
        <v>530</v>
      </c>
      <c r="E59" t="s">
        <v>179</v>
      </c>
      <c r="F59" t="s">
        <v>63</v>
      </c>
      <c r="G59" t="s">
        <v>531</v>
      </c>
      <c r="H59" t="s">
        <v>517</v>
      </c>
      <c r="I59" t="s">
        <v>518</v>
      </c>
      <c r="J59" t="s">
        <v>525</v>
      </c>
      <c r="K59" t="s">
        <v>205</v>
      </c>
      <c r="L59" t="s">
        <v>69</v>
      </c>
      <c r="M59" t="s">
        <v>69</v>
      </c>
      <c r="N59" t="s">
        <v>69</v>
      </c>
      <c r="O59" t="s">
        <v>69</v>
      </c>
      <c r="P59" t="s">
        <v>106</v>
      </c>
      <c r="Q59" t="s">
        <v>71</v>
      </c>
      <c r="R59" s="3" t="s">
        <v>492</v>
      </c>
      <c r="S59">
        <v>24</v>
      </c>
      <c r="T59" t="s">
        <v>72</v>
      </c>
      <c r="U59" t="s">
        <v>73</v>
      </c>
      <c r="V59" t="s">
        <v>74</v>
      </c>
      <c r="W59" t="s">
        <v>74</v>
      </c>
      <c r="X59">
        <v>4</v>
      </c>
      <c r="Y59">
        <v>3</v>
      </c>
      <c r="Z59">
        <v>3</v>
      </c>
      <c r="AA59">
        <v>3</v>
      </c>
      <c r="AB59">
        <v>4</v>
      </c>
      <c r="AC59">
        <v>3</v>
      </c>
      <c r="AD59">
        <v>3</v>
      </c>
      <c r="AE59">
        <v>2</v>
      </c>
      <c r="AF59">
        <v>4</v>
      </c>
      <c r="AG59">
        <v>4</v>
      </c>
      <c r="AH59">
        <v>4</v>
      </c>
      <c r="AI59">
        <v>4</v>
      </c>
      <c r="AJ59">
        <v>4</v>
      </c>
      <c r="AK59">
        <v>4</v>
      </c>
      <c r="AL59">
        <v>4</v>
      </c>
      <c r="AM59">
        <v>4</v>
      </c>
      <c r="AN59">
        <v>4</v>
      </c>
      <c r="AO59">
        <v>4</v>
      </c>
      <c r="AP59">
        <v>2</v>
      </c>
      <c r="AQ59">
        <v>3</v>
      </c>
      <c r="AR59" t="s">
        <v>75</v>
      </c>
      <c r="AS59">
        <v>2</v>
      </c>
      <c r="AT59">
        <v>3</v>
      </c>
      <c r="AU59" t="s">
        <v>75</v>
      </c>
      <c r="AV59">
        <v>2</v>
      </c>
      <c r="AW59">
        <v>3</v>
      </c>
      <c r="AX59" t="s">
        <v>75</v>
      </c>
      <c r="AY59" t="s">
        <v>532</v>
      </c>
      <c r="AZ59" t="s">
        <v>77</v>
      </c>
      <c r="BA59">
        <v>1</v>
      </c>
      <c r="BB59">
        <v>4</v>
      </c>
      <c r="BC59" t="s">
        <v>503</v>
      </c>
      <c r="BD59" t="s">
        <v>79</v>
      </c>
      <c r="BE59" t="s">
        <v>533</v>
      </c>
      <c r="BF59" t="s">
        <v>157</v>
      </c>
      <c r="BG59" t="s">
        <v>503</v>
      </c>
      <c r="BH59" t="s">
        <v>79</v>
      </c>
      <c r="BI59" t="s">
        <v>83</v>
      </c>
    </row>
    <row r="60" spans="1:61" x14ac:dyDescent="0.35">
      <c r="A60">
        <v>59</v>
      </c>
      <c r="B60">
        <v>45839.052824074075</v>
      </c>
      <c r="C60" t="s">
        <v>534</v>
      </c>
      <c r="D60" t="s">
        <v>535</v>
      </c>
      <c r="E60" t="s">
        <v>63</v>
      </c>
      <c r="F60" t="s">
        <v>125</v>
      </c>
      <c r="G60" t="s">
        <v>536</v>
      </c>
      <c r="H60" t="s">
        <v>517</v>
      </c>
      <c r="I60" t="s">
        <v>518</v>
      </c>
      <c r="J60" t="s">
        <v>525</v>
      </c>
      <c r="K60" t="s">
        <v>537</v>
      </c>
      <c r="L60" t="s">
        <v>69</v>
      </c>
      <c r="M60" t="s">
        <v>69</v>
      </c>
      <c r="N60" t="s">
        <v>69</v>
      </c>
      <c r="O60" t="s">
        <v>69</v>
      </c>
      <c r="P60" t="s">
        <v>70</v>
      </c>
      <c r="Q60" t="s">
        <v>71</v>
      </c>
      <c r="R60" s="3" t="s">
        <v>538</v>
      </c>
      <c r="S60">
        <v>41</v>
      </c>
      <c r="T60" t="s">
        <v>197</v>
      </c>
      <c r="U60" t="s">
        <v>254</v>
      </c>
      <c r="V60" t="s">
        <v>74</v>
      </c>
      <c r="W60" t="s">
        <v>74</v>
      </c>
      <c r="X60">
        <v>3</v>
      </c>
      <c r="Y60">
        <v>4</v>
      </c>
      <c r="Z60">
        <v>3</v>
      </c>
      <c r="AA60">
        <v>4</v>
      </c>
      <c r="AB60">
        <v>3</v>
      </c>
      <c r="AC60">
        <v>3</v>
      </c>
      <c r="AD60">
        <v>3</v>
      </c>
      <c r="AE60">
        <v>3</v>
      </c>
      <c r="AF60">
        <v>3</v>
      </c>
      <c r="AG60">
        <v>3</v>
      </c>
      <c r="AH60">
        <v>3</v>
      </c>
      <c r="AI60">
        <v>3</v>
      </c>
      <c r="AJ60">
        <v>3</v>
      </c>
      <c r="AK60">
        <v>3</v>
      </c>
      <c r="AL60">
        <v>3</v>
      </c>
      <c r="AM60">
        <v>3</v>
      </c>
      <c r="AN60">
        <v>3</v>
      </c>
      <c r="AO60">
        <v>4</v>
      </c>
      <c r="AP60">
        <v>2</v>
      </c>
      <c r="AQ60">
        <v>3</v>
      </c>
      <c r="AR60" t="s">
        <v>75</v>
      </c>
      <c r="AS60">
        <v>2</v>
      </c>
      <c r="AT60">
        <v>3</v>
      </c>
      <c r="AU60" t="s">
        <v>69</v>
      </c>
      <c r="AV60">
        <v>2</v>
      </c>
      <c r="AW60">
        <v>3</v>
      </c>
      <c r="AX60" t="s">
        <v>69</v>
      </c>
      <c r="AY60" t="s">
        <v>144</v>
      </c>
      <c r="AZ60" t="s">
        <v>144</v>
      </c>
      <c r="BA60">
        <v>2</v>
      </c>
      <c r="BB60">
        <v>3</v>
      </c>
      <c r="BC60" t="s">
        <v>539</v>
      </c>
      <c r="BD60" t="s">
        <v>540</v>
      </c>
      <c r="BE60" t="s">
        <v>503</v>
      </c>
      <c r="BF60" t="s">
        <v>79</v>
      </c>
      <c r="BG60" t="s">
        <v>541</v>
      </c>
      <c r="BH60" t="s">
        <v>146</v>
      </c>
      <c r="BI60" t="s">
        <v>83</v>
      </c>
    </row>
    <row r="61" spans="1:61" x14ac:dyDescent="0.35">
      <c r="A61">
        <v>60</v>
      </c>
      <c r="B61">
        <v>45839.056504629632</v>
      </c>
      <c r="C61" t="s">
        <v>542</v>
      </c>
      <c r="D61" t="s">
        <v>543</v>
      </c>
      <c r="E61" t="s">
        <v>289</v>
      </c>
      <c r="F61" t="s">
        <v>63</v>
      </c>
      <c r="G61" t="s">
        <v>544</v>
      </c>
      <c r="H61" t="s">
        <v>517</v>
      </c>
      <c r="I61" t="s">
        <v>518</v>
      </c>
      <c r="J61" t="s">
        <v>525</v>
      </c>
      <c r="K61" t="s">
        <v>545</v>
      </c>
      <c r="L61" t="s">
        <v>69</v>
      </c>
      <c r="M61" t="s">
        <v>69</v>
      </c>
      <c r="N61" t="s">
        <v>69</v>
      </c>
      <c r="O61" t="s">
        <v>69</v>
      </c>
      <c r="P61" t="s">
        <v>106</v>
      </c>
      <c r="Q61" t="s">
        <v>71</v>
      </c>
      <c r="R61" s="3" t="s">
        <v>546</v>
      </c>
      <c r="S61">
        <v>31</v>
      </c>
      <c r="T61" t="s">
        <v>109</v>
      </c>
      <c r="U61" t="s">
        <v>73</v>
      </c>
      <c r="V61" t="s">
        <v>74</v>
      </c>
      <c r="W61" t="s">
        <v>74</v>
      </c>
      <c r="X61">
        <v>3</v>
      </c>
      <c r="Y61">
        <v>3</v>
      </c>
      <c r="Z61">
        <v>3</v>
      </c>
      <c r="AA61">
        <v>3</v>
      </c>
      <c r="AB61">
        <v>4</v>
      </c>
      <c r="AC61">
        <v>4</v>
      </c>
      <c r="AD61">
        <v>3</v>
      </c>
      <c r="AE61">
        <v>3</v>
      </c>
      <c r="AF61">
        <v>4</v>
      </c>
      <c r="AG61">
        <v>4</v>
      </c>
      <c r="AH61">
        <v>4</v>
      </c>
      <c r="AI61">
        <v>4</v>
      </c>
      <c r="AJ61">
        <v>4</v>
      </c>
      <c r="AK61">
        <v>4</v>
      </c>
      <c r="AL61">
        <v>4</v>
      </c>
      <c r="AM61">
        <v>4</v>
      </c>
      <c r="AN61">
        <v>4</v>
      </c>
      <c r="AO61">
        <v>4</v>
      </c>
      <c r="AP61">
        <v>2</v>
      </c>
      <c r="AQ61">
        <v>3</v>
      </c>
      <c r="AR61" t="s">
        <v>75</v>
      </c>
      <c r="AS61">
        <v>2</v>
      </c>
      <c r="AT61">
        <v>3</v>
      </c>
      <c r="AU61" t="s">
        <v>75</v>
      </c>
      <c r="AV61">
        <v>2</v>
      </c>
      <c r="AW61">
        <v>3</v>
      </c>
      <c r="AX61" t="s">
        <v>75</v>
      </c>
      <c r="AY61" t="s">
        <v>144</v>
      </c>
      <c r="AZ61" t="s">
        <v>144</v>
      </c>
      <c r="BA61">
        <v>1</v>
      </c>
      <c r="BB61">
        <v>4</v>
      </c>
      <c r="BC61" t="s">
        <v>547</v>
      </c>
      <c r="BD61" t="s">
        <v>79</v>
      </c>
      <c r="BE61" t="s">
        <v>503</v>
      </c>
      <c r="BF61" t="s">
        <v>79</v>
      </c>
      <c r="BG61" t="s">
        <v>503</v>
      </c>
      <c r="BH61" t="s">
        <v>79</v>
      </c>
      <c r="BI61" t="s">
        <v>83</v>
      </c>
    </row>
    <row r="62" spans="1:61" x14ac:dyDescent="0.35">
      <c r="A62">
        <v>61</v>
      </c>
      <c r="B62">
        <v>45839.061238425929</v>
      </c>
      <c r="C62" t="s">
        <v>548</v>
      </c>
      <c r="D62" t="s">
        <v>549</v>
      </c>
      <c r="E62" t="s">
        <v>63</v>
      </c>
      <c r="F62" t="s">
        <v>136</v>
      </c>
      <c r="G62" t="s">
        <v>550</v>
      </c>
      <c r="H62" t="s">
        <v>517</v>
      </c>
      <c r="I62" t="s">
        <v>518</v>
      </c>
      <c r="J62" t="s">
        <v>525</v>
      </c>
      <c r="K62" t="s">
        <v>291</v>
      </c>
      <c r="L62" t="s">
        <v>69</v>
      </c>
      <c r="M62" t="s">
        <v>69</v>
      </c>
      <c r="N62" t="s">
        <v>69</v>
      </c>
      <c r="O62" t="s">
        <v>69</v>
      </c>
      <c r="P62" t="s">
        <v>106</v>
      </c>
      <c r="Q62" t="s">
        <v>107</v>
      </c>
      <c r="R62" s="3" t="s">
        <v>551</v>
      </c>
      <c r="S62">
        <v>34</v>
      </c>
      <c r="T62" t="s">
        <v>109</v>
      </c>
      <c r="U62" t="s">
        <v>93</v>
      </c>
      <c r="V62" t="s">
        <v>74</v>
      </c>
      <c r="W62" t="s">
        <v>74</v>
      </c>
      <c r="X62">
        <v>4</v>
      </c>
      <c r="Y62">
        <v>4</v>
      </c>
      <c r="Z62">
        <v>3</v>
      </c>
      <c r="AA62">
        <v>4</v>
      </c>
      <c r="AB62">
        <v>3</v>
      </c>
      <c r="AC62">
        <v>4</v>
      </c>
      <c r="AD62">
        <v>0</v>
      </c>
      <c r="AE62">
        <v>0</v>
      </c>
      <c r="AF62">
        <v>4</v>
      </c>
      <c r="AG62">
        <v>4</v>
      </c>
      <c r="AH62">
        <v>4</v>
      </c>
      <c r="AI62">
        <v>4</v>
      </c>
      <c r="AJ62">
        <v>3</v>
      </c>
      <c r="AK62">
        <v>4</v>
      </c>
      <c r="AL62">
        <v>4</v>
      </c>
      <c r="AM62">
        <v>3</v>
      </c>
      <c r="AN62">
        <v>4</v>
      </c>
      <c r="AO62">
        <v>4</v>
      </c>
      <c r="AP62">
        <v>2</v>
      </c>
      <c r="AQ62">
        <v>3</v>
      </c>
      <c r="AR62" t="s">
        <v>75</v>
      </c>
      <c r="AS62">
        <v>2</v>
      </c>
      <c r="AT62">
        <v>3</v>
      </c>
      <c r="AU62" t="s">
        <v>75</v>
      </c>
      <c r="AV62">
        <v>2</v>
      </c>
      <c r="AW62">
        <v>3</v>
      </c>
      <c r="AX62" t="s">
        <v>75</v>
      </c>
      <c r="AY62" t="s">
        <v>552</v>
      </c>
      <c r="AZ62" t="s">
        <v>44</v>
      </c>
      <c r="BA62">
        <v>3</v>
      </c>
      <c r="BB62">
        <v>2</v>
      </c>
      <c r="BC62" t="s">
        <v>553</v>
      </c>
      <c r="BD62" t="s">
        <v>235</v>
      </c>
      <c r="BE62" t="s">
        <v>554</v>
      </c>
      <c r="BF62" t="s">
        <v>79</v>
      </c>
      <c r="BG62" t="s">
        <v>555</v>
      </c>
      <c r="BH62" t="s">
        <v>79</v>
      </c>
      <c r="BI62" t="s">
        <v>83</v>
      </c>
    </row>
    <row r="63" spans="1:61" x14ac:dyDescent="0.35">
      <c r="A63">
        <v>62</v>
      </c>
      <c r="B63">
        <v>45839.065729166665</v>
      </c>
      <c r="C63" t="s">
        <v>556</v>
      </c>
      <c r="D63" t="s">
        <v>557</v>
      </c>
      <c r="E63" t="s">
        <v>63</v>
      </c>
      <c r="F63" t="s">
        <v>558</v>
      </c>
      <c r="G63" t="s">
        <v>559</v>
      </c>
      <c r="H63" t="s">
        <v>517</v>
      </c>
      <c r="I63" t="s">
        <v>518</v>
      </c>
      <c r="J63" t="s">
        <v>525</v>
      </c>
      <c r="K63" t="s">
        <v>560</v>
      </c>
      <c r="L63" t="s">
        <v>69</v>
      </c>
      <c r="M63" t="s">
        <v>69</v>
      </c>
      <c r="N63" t="s">
        <v>69</v>
      </c>
      <c r="O63" t="s">
        <v>69</v>
      </c>
      <c r="P63" t="s">
        <v>70</v>
      </c>
      <c r="Q63" t="s">
        <v>107</v>
      </c>
      <c r="R63" s="3" t="s">
        <v>561</v>
      </c>
      <c r="S63">
        <v>45</v>
      </c>
      <c r="T63" t="s">
        <v>197</v>
      </c>
      <c r="U63" t="s">
        <v>93</v>
      </c>
      <c r="V63" t="s">
        <v>74</v>
      </c>
      <c r="W63" t="s">
        <v>74</v>
      </c>
      <c r="X63">
        <v>4</v>
      </c>
      <c r="Y63">
        <v>4</v>
      </c>
      <c r="Z63">
        <v>4</v>
      </c>
      <c r="AA63">
        <v>4</v>
      </c>
      <c r="AB63">
        <v>4</v>
      </c>
      <c r="AC63">
        <v>4</v>
      </c>
      <c r="AD63">
        <v>0</v>
      </c>
      <c r="AE63">
        <v>0</v>
      </c>
      <c r="AF63">
        <v>4</v>
      </c>
      <c r="AG63">
        <v>4</v>
      </c>
      <c r="AH63">
        <v>4</v>
      </c>
      <c r="AI63">
        <v>4</v>
      </c>
      <c r="AJ63">
        <v>4</v>
      </c>
      <c r="AK63">
        <v>4</v>
      </c>
      <c r="AL63">
        <v>4</v>
      </c>
      <c r="AM63">
        <v>3</v>
      </c>
      <c r="AN63">
        <v>4</v>
      </c>
      <c r="AO63">
        <v>4</v>
      </c>
      <c r="AP63">
        <v>2</v>
      </c>
      <c r="AQ63">
        <v>3</v>
      </c>
      <c r="AR63" t="s">
        <v>75</v>
      </c>
      <c r="AS63">
        <v>2</v>
      </c>
      <c r="AT63">
        <v>3</v>
      </c>
      <c r="AU63" t="s">
        <v>75</v>
      </c>
      <c r="AV63">
        <v>2</v>
      </c>
      <c r="AW63">
        <v>3</v>
      </c>
      <c r="AX63" t="s">
        <v>75</v>
      </c>
      <c r="AY63" t="s">
        <v>293</v>
      </c>
      <c r="AZ63" t="s">
        <v>144</v>
      </c>
      <c r="BA63">
        <v>1</v>
      </c>
      <c r="BB63">
        <v>4</v>
      </c>
      <c r="BC63" t="s">
        <v>503</v>
      </c>
      <c r="BD63" t="s">
        <v>79</v>
      </c>
      <c r="BE63" t="s">
        <v>503</v>
      </c>
      <c r="BF63" t="s">
        <v>79</v>
      </c>
      <c r="BG63" t="s">
        <v>503</v>
      </c>
      <c r="BH63" t="s">
        <v>79</v>
      </c>
      <c r="BI63" t="s">
        <v>83</v>
      </c>
    </row>
    <row r="64" spans="1:61" x14ac:dyDescent="0.35">
      <c r="A64">
        <v>63</v>
      </c>
      <c r="B64">
        <v>45839.069421296299</v>
      </c>
      <c r="C64" t="s">
        <v>562</v>
      </c>
      <c r="D64" t="s">
        <v>563</v>
      </c>
      <c r="E64" t="s">
        <v>63</v>
      </c>
      <c r="F64" t="s">
        <v>86</v>
      </c>
      <c r="G64" t="s">
        <v>564</v>
      </c>
      <c r="H64" t="s">
        <v>517</v>
      </c>
      <c r="I64" t="s">
        <v>518</v>
      </c>
      <c r="J64" t="s">
        <v>525</v>
      </c>
      <c r="K64" t="s">
        <v>565</v>
      </c>
      <c r="L64" t="s">
        <v>69</v>
      </c>
      <c r="M64" t="s">
        <v>69</v>
      </c>
      <c r="N64" t="s">
        <v>69</v>
      </c>
      <c r="O64" t="s">
        <v>69</v>
      </c>
      <c r="P64" t="s">
        <v>70</v>
      </c>
      <c r="Q64" t="s">
        <v>107</v>
      </c>
      <c r="R64" s="3" t="s">
        <v>566</v>
      </c>
      <c r="S64">
        <v>25</v>
      </c>
      <c r="T64" t="s">
        <v>72</v>
      </c>
      <c r="U64" t="s">
        <v>93</v>
      </c>
      <c r="V64" t="s">
        <v>74</v>
      </c>
      <c r="W64" t="s">
        <v>74</v>
      </c>
      <c r="X64">
        <v>3</v>
      </c>
      <c r="Y64">
        <v>3</v>
      </c>
      <c r="Z64">
        <v>3</v>
      </c>
      <c r="AA64">
        <v>3</v>
      </c>
      <c r="AB64">
        <v>4</v>
      </c>
      <c r="AC64">
        <v>4</v>
      </c>
      <c r="AD64">
        <v>0</v>
      </c>
      <c r="AE64">
        <v>0</v>
      </c>
      <c r="AF64">
        <v>3</v>
      </c>
      <c r="AG64">
        <v>3</v>
      </c>
      <c r="AH64">
        <v>4</v>
      </c>
      <c r="AI64">
        <v>4</v>
      </c>
      <c r="AJ64">
        <v>4</v>
      </c>
      <c r="AK64">
        <v>4</v>
      </c>
      <c r="AL64">
        <v>3</v>
      </c>
      <c r="AM64">
        <v>3</v>
      </c>
      <c r="AN64">
        <v>4</v>
      </c>
      <c r="AO64">
        <v>3</v>
      </c>
      <c r="AP64">
        <v>2</v>
      </c>
      <c r="AQ64">
        <v>3</v>
      </c>
      <c r="AR64" t="s">
        <v>75</v>
      </c>
      <c r="AS64">
        <v>2</v>
      </c>
      <c r="AT64">
        <v>3</v>
      </c>
      <c r="AU64" t="s">
        <v>75</v>
      </c>
      <c r="AV64">
        <v>2</v>
      </c>
      <c r="AW64">
        <v>3</v>
      </c>
      <c r="AX64" t="s">
        <v>75</v>
      </c>
      <c r="AY64" t="s">
        <v>144</v>
      </c>
      <c r="AZ64" t="s">
        <v>144</v>
      </c>
      <c r="BA64">
        <v>2</v>
      </c>
      <c r="BB64">
        <v>3</v>
      </c>
      <c r="BC64" t="s">
        <v>567</v>
      </c>
      <c r="BD64" t="s">
        <v>112</v>
      </c>
      <c r="BE64" t="s">
        <v>248</v>
      </c>
      <c r="BF64" t="s">
        <v>79</v>
      </c>
      <c r="BG64" t="s">
        <v>248</v>
      </c>
      <c r="BH64" t="s">
        <v>79</v>
      </c>
      <c r="BI64" t="s">
        <v>83</v>
      </c>
    </row>
    <row r="65" spans="1:61" x14ac:dyDescent="0.35">
      <c r="A65">
        <v>64</v>
      </c>
      <c r="B65">
        <v>45839.357986111114</v>
      </c>
      <c r="C65" t="s">
        <v>568</v>
      </c>
      <c r="D65" t="s">
        <v>569</v>
      </c>
      <c r="E65" t="s">
        <v>63</v>
      </c>
      <c r="F65" t="s">
        <v>63</v>
      </c>
      <c r="G65" t="s">
        <v>570</v>
      </c>
      <c r="H65" t="s">
        <v>103</v>
      </c>
      <c r="I65" t="s">
        <v>104</v>
      </c>
      <c r="J65" t="s">
        <v>67</v>
      </c>
      <c r="K65" t="s">
        <v>571</v>
      </c>
      <c r="L65" t="s">
        <v>69</v>
      </c>
      <c r="M65" t="s">
        <v>69</v>
      </c>
      <c r="N65" t="s">
        <v>69</v>
      </c>
      <c r="O65" t="s">
        <v>69</v>
      </c>
      <c r="P65" t="s">
        <v>70</v>
      </c>
      <c r="Q65" t="s">
        <v>107</v>
      </c>
      <c r="R65" s="3">
        <v>23</v>
      </c>
      <c r="S65">
        <v>23</v>
      </c>
      <c r="T65" t="s">
        <v>72</v>
      </c>
      <c r="U65" t="s">
        <v>93</v>
      </c>
      <c r="V65" t="s">
        <v>110</v>
      </c>
      <c r="W65" t="s">
        <v>110</v>
      </c>
      <c r="X65">
        <v>4</v>
      </c>
      <c r="Y65">
        <v>4</v>
      </c>
      <c r="Z65">
        <v>3</v>
      </c>
      <c r="AA65">
        <v>3</v>
      </c>
      <c r="AB65">
        <v>4</v>
      </c>
      <c r="AC65">
        <v>4</v>
      </c>
      <c r="AD65">
        <v>0</v>
      </c>
      <c r="AE65">
        <v>0</v>
      </c>
      <c r="AF65">
        <v>4</v>
      </c>
      <c r="AG65">
        <v>4</v>
      </c>
      <c r="AH65">
        <v>3</v>
      </c>
      <c r="AI65">
        <v>3</v>
      </c>
      <c r="AJ65">
        <v>4</v>
      </c>
      <c r="AK65">
        <v>4</v>
      </c>
      <c r="AL65">
        <v>3</v>
      </c>
      <c r="AM65">
        <v>4</v>
      </c>
      <c r="AN65">
        <v>4</v>
      </c>
      <c r="AO65">
        <v>4</v>
      </c>
      <c r="AP65">
        <v>2</v>
      </c>
      <c r="AQ65">
        <v>3</v>
      </c>
      <c r="AR65" t="s">
        <v>75</v>
      </c>
      <c r="AT65">
        <v>0</v>
      </c>
      <c r="AU65" t="s">
        <v>69</v>
      </c>
      <c r="AW65">
        <v>0</v>
      </c>
      <c r="AX65" t="s">
        <v>69</v>
      </c>
      <c r="AY65" t="s">
        <v>83</v>
      </c>
      <c r="AZ65" t="s">
        <v>96</v>
      </c>
      <c r="BA65">
        <v>0</v>
      </c>
      <c r="BB65">
        <v>0</v>
      </c>
      <c r="BC65" t="s">
        <v>503</v>
      </c>
      <c r="BD65" t="s">
        <v>79</v>
      </c>
      <c r="BE65" t="s">
        <v>573</v>
      </c>
      <c r="BF65" t="s">
        <v>157</v>
      </c>
      <c r="BG65" t="s">
        <v>574</v>
      </c>
      <c r="BH65" t="s">
        <v>99</v>
      </c>
      <c r="BI65" t="s">
        <v>83</v>
      </c>
    </row>
    <row r="66" spans="1:61" x14ac:dyDescent="0.35">
      <c r="A66">
        <v>65</v>
      </c>
      <c r="B66">
        <v>45839.483171296299</v>
      </c>
      <c r="C66" t="s">
        <v>575</v>
      </c>
      <c r="D66" t="s">
        <v>576</v>
      </c>
      <c r="E66" t="s">
        <v>63</v>
      </c>
      <c r="F66" t="s">
        <v>338</v>
      </c>
      <c r="G66" t="s">
        <v>577</v>
      </c>
      <c r="H66" t="s">
        <v>578</v>
      </c>
      <c r="I66" t="s">
        <v>579</v>
      </c>
      <c r="J66" t="s">
        <v>67</v>
      </c>
      <c r="K66" t="s">
        <v>580</v>
      </c>
      <c r="L66" t="s">
        <v>69</v>
      </c>
      <c r="M66" t="s">
        <v>69</v>
      </c>
      <c r="N66" t="s">
        <v>69</v>
      </c>
      <c r="O66" t="s">
        <v>69</v>
      </c>
      <c r="P66" t="s">
        <v>106</v>
      </c>
      <c r="Q66" t="s">
        <v>107</v>
      </c>
      <c r="R66" s="3">
        <v>20</v>
      </c>
      <c r="S66">
        <v>20</v>
      </c>
      <c r="T66" t="s">
        <v>131</v>
      </c>
      <c r="U66" t="s">
        <v>73</v>
      </c>
      <c r="V66" t="s">
        <v>94</v>
      </c>
      <c r="W66" t="s">
        <v>95</v>
      </c>
      <c r="X66">
        <v>3</v>
      </c>
      <c r="Y66">
        <v>3</v>
      </c>
      <c r="Z66">
        <v>2</v>
      </c>
      <c r="AA66">
        <v>3</v>
      </c>
      <c r="AB66">
        <v>3</v>
      </c>
      <c r="AC66">
        <v>3</v>
      </c>
      <c r="AD66">
        <v>3</v>
      </c>
      <c r="AE66">
        <v>0</v>
      </c>
      <c r="AF66">
        <v>3</v>
      </c>
      <c r="AG66">
        <v>3</v>
      </c>
      <c r="AH66">
        <v>4</v>
      </c>
      <c r="AI66">
        <v>4</v>
      </c>
      <c r="AJ66">
        <v>4</v>
      </c>
      <c r="AK66">
        <v>4</v>
      </c>
      <c r="AL66">
        <v>3</v>
      </c>
      <c r="AM66">
        <v>3</v>
      </c>
      <c r="AN66">
        <v>3</v>
      </c>
      <c r="AO66">
        <v>3</v>
      </c>
      <c r="AP66">
        <v>2</v>
      </c>
      <c r="AQ66">
        <v>3</v>
      </c>
      <c r="AR66" t="s">
        <v>75</v>
      </c>
      <c r="AT66">
        <v>0</v>
      </c>
      <c r="AU66" t="s">
        <v>69</v>
      </c>
      <c r="AW66">
        <v>0</v>
      </c>
      <c r="AX66" t="s">
        <v>69</v>
      </c>
      <c r="AY66" t="s">
        <v>83</v>
      </c>
      <c r="AZ66" t="s">
        <v>96</v>
      </c>
      <c r="BA66">
        <v>0</v>
      </c>
      <c r="BB66">
        <v>0</v>
      </c>
      <c r="BC66" t="s">
        <v>582</v>
      </c>
      <c r="BD66" t="s">
        <v>540</v>
      </c>
      <c r="BE66" t="s">
        <v>583</v>
      </c>
      <c r="BF66" t="s">
        <v>81</v>
      </c>
      <c r="BG66" t="s">
        <v>442</v>
      </c>
      <c r="BH66" t="s">
        <v>79</v>
      </c>
      <c r="BI66" t="s">
        <v>584</v>
      </c>
    </row>
    <row r="67" spans="1:61" x14ac:dyDescent="0.35">
      <c r="A67">
        <v>66</v>
      </c>
      <c r="B67">
        <v>45839.486724537041</v>
      </c>
      <c r="C67" t="s">
        <v>585</v>
      </c>
      <c r="D67" t="s">
        <v>586</v>
      </c>
      <c r="E67" t="s">
        <v>63</v>
      </c>
      <c r="F67" t="s">
        <v>63</v>
      </c>
      <c r="G67" t="s">
        <v>587</v>
      </c>
      <c r="H67" t="s">
        <v>578</v>
      </c>
      <c r="I67" t="s">
        <v>588</v>
      </c>
      <c r="J67" t="s">
        <v>67</v>
      </c>
      <c r="K67" t="s">
        <v>589</v>
      </c>
      <c r="L67" t="s">
        <v>69</v>
      </c>
      <c r="M67" t="s">
        <v>69</v>
      </c>
      <c r="N67" t="s">
        <v>69</v>
      </c>
      <c r="O67" t="s">
        <v>69</v>
      </c>
      <c r="P67" t="s">
        <v>70</v>
      </c>
      <c r="Q67" t="s">
        <v>107</v>
      </c>
      <c r="R67" s="3">
        <v>42</v>
      </c>
      <c r="S67">
        <v>42</v>
      </c>
      <c r="T67" t="s">
        <v>197</v>
      </c>
      <c r="U67" t="s">
        <v>73</v>
      </c>
      <c r="V67" t="s">
        <v>110</v>
      </c>
      <c r="W67" t="s">
        <v>110</v>
      </c>
      <c r="X67">
        <v>3</v>
      </c>
      <c r="Y67">
        <v>3</v>
      </c>
      <c r="Z67">
        <v>3</v>
      </c>
      <c r="AA67">
        <v>4</v>
      </c>
      <c r="AB67">
        <v>4</v>
      </c>
      <c r="AC67">
        <v>4</v>
      </c>
      <c r="AD67">
        <v>0</v>
      </c>
      <c r="AE67">
        <v>0</v>
      </c>
      <c r="AF67">
        <v>4</v>
      </c>
      <c r="AG67">
        <v>4</v>
      </c>
      <c r="AH67">
        <v>4</v>
      </c>
      <c r="AI67">
        <v>4</v>
      </c>
      <c r="AJ67">
        <v>4</v>
      </c>
      <c r="AK67">
        <v>4</v>
      </c>
      <c r="AL67">
        <v>4</v>
      </c>
      <c r="AM67">
        <v>4</v>
      </c>
      <c r="AN67">
        <v>4</v>
      </c>
      <c r="AO67">
        <v>4</v>
      </c>
      <c r="AQ67">
        <v>0</v>
      </c>
      <c r="AR67" t="s">
        <v>69</v>
      </c>
      <c r="AT67">
        <v>0</v>
      </c>
      <c r="AU67" t="s">
        <v>69</v>
      </c>
      <c r="AW67">
        <v>0</v>
      </c>
      <c r="AX67" t="s">
        <v>69</v>
      </c>
      <c r="AY67" t="s">
        <v>591</v>
      </c>
      <c r="AZ67" t="s">
        <v>77</v>
      </c>
      <c r="BA67">
        <v>2</v>
      </c>
      <c r="BB67">
        <v>3</v>
      </c>
      <c r="BC67" t="s">
        <v>592</v>
      </c>
      <c r="BD67" t="s">
        <v>79</v>
      </c>
      <c r="BE67" t="s">
        <v>592</v>
      </c>
      <c r="BF67" t="s">
        <v>79</v>
      </c>
      <c r="BG67" t="s">
        <v>592</v>
      </c>
      <c r="BH67" t="s">
        <v>79</v>
      </c>
      <c r="BI67" t="s">
        <v>83</v>
      </c>
    </row>
    <row r="68" spans="1:61" x14ac:dyDescent="0.35">
      <c r="A68">
        <v>67</v>
      </c>
      <c r="B68">
        <v>45839.495428240742</v>
      </c>
      <c r="C68" t="s">
        <v>593</v>
      </c>
      <c r="D68" t="s">
        <v>594</v>
      </c>
      <c r="E68" t="s">
        <v>63</v>
      </c>
      <c r="F68" t="s">
        <v>179</v>
      </c>
      <c r="G68" t="s">
        <v>595</v>
      </c>
      <c r="H68" t="s">
        <v>578</v>
      </c>
      <c r="I68" t="s">
        <v>596</v>
      </c>
      <c r="J68" t="s">
        <v>67</v>
      </c>
      <c r="K68" t="s">
        <v>597</v>
      </c>
      <c r="L68" t="s">
        <v>69</v>
      </c>
      <c r="M68" t="s">
        <v>69</v>
      </c>
      <c r="N68" t="s">
        <v>69</v>
      </c>
      <c r="O68" t="s">
        <v>69</v>
      </c>
      <c r="P68" t="s">
        <v>106</v>
      </c>
      <c r="Q68" t="s">
        <v>71</v>
      </c>
      <c r="R68" s="3">
        <v>18</v>
      </c>
      <c r="S68">
        <v>18</v>
      </c>
      <c r="T68" t="s">
        <v>131</v>
      </c>
      <c r="U68" t="s">
        <v>73</v>
      </c>
      <c r="V68" t="s">
        <v>94</v>
      </c>
      <c r="W68" t="s">
        <v>95</v>
      </c>
      <c r="X68">
        <v>3</v>
      </c>
      <c r="Y68">
        <v>4</v>
      </c>
      <c r="Z68">
        <v>3</v>
      </c>
      <c r="AA68">
        <v>3</v>
      </c>
      <c r="AB68">
        <v>4</v>
      </c>
      <c r="AC68">
        <v>3</v>
      </c>
      <c r="AD68">
        <v>4</v>
      </c>
      <c r="AE68">
        <v>3</v>
      </c>
      <c r="AF68">
        <v>4</v>
      </c>
      <c r="AG68">
        <v>4</v>
      </c>
      <c r="AH68">
        <v>3</v>
      </c>
      <c r="AI68">
        <v>3</v>
      </c>
      <c r="AJ68">
        <v>3</v>
      </c>
      <c r="AK68">
        <v>4</v>
      </c>
      <c r="AL68">
        <v>3</v>
      </c>
      <c r="AM68">
        <v>3</v>
      </c>
      <c r="AN68">
        <v>3</v>
      </c>
      <c r="AO68">
        <v>3</v>
      </c>
      <c r="AP68">
        <v>2</v>
      </c>
      <c r="AQ68">
        <v>3</v>
      </c>
      <c r="AR68" t="s">
        <v>75</v>
      </c>
      <c r="AT68">
        <v>0</v>
      </c>
      <c r="AU68" t="s">
        <v>69</v>
      </c>
      <c r="AW68">
        <v>0</v>
      </c>
      <c r="AX68" t="s">
        <v>69</v>
      </c>
      <c r="AY68" t="s">
        <v>83</v>
      </c>
      <c r="AZ68" t="s">
        <v>96</v>
      </c>
      <c r="BA68">
        <v>0</v>
      </c>
      <c r="BB68">
        <v>0</v>
      </c>
      <c r="BC68" t="s">
        <v>599</v>
      </c>
      <c r="BD68" t="s">
        <v>79</v>
      </c>
      <c r="BE68" t="s">
        <v>599</v>
      </c>
      <c r="BF68" t="s">
        <v>79</v>
      </c>
      <c r="BG68" t="s">
        <v>600</v>
      </c>
      <c r="BH68" t="s">
        <v>79</v>
      </c>
      <c r="BI68" t="s">
        <v>83</v>
      </c>
    </row>
    <row r="69" spans="1:61" x14ac:dyDescent="0.35">
      <c r="A69">
        <v>68</v>
      </c>
      <c r="B69">
        <v>45839.504895833335</v>
      </c>
      <c r="C69" t="s">
        <v>601</v>
      </c>
      <c r="D69" t="s">
        <v>602</v>
      </c>
      <c r="E69" t="s">
        <v>63</v>
      </c>
      <c r="F69" t="s">
        <v>86</v>
      </c>
      <c r="G69" t="s">
        <v>603</v>
      </c>
      <c r="H69" t="s">
        <v>578</v>
      </c>
      <c r="I69" t="s">
        <v>596</v>
      </c>
      <c r="J69" t="s">
        <v>67</v>
      </c>
      <c r="K69" t="s">
        <v>604</v>
      </c>
      <c r="L69" t="s">
        <v>69</v>
      </c>
      <c r="M69" t="s">
        <v>69</v>
      </c>
      <c r="N69" t="s">
        <v>69</v>
      </c>
      <c r="O69" t="s">
        <v>69</v>
      </c>
      <c r="P69" t="s">
        <v>70</v>
      </c>
      <c r="Q69" t="s">
        <v>71</v>
      </c>
      <c r="R69" s="3">
        <v>18</v>
      </c>
      <c r="S69">
        <v>18</v>
      </c>
      <c r="T69" t="s">
        <v>131</v>
      </c>
      <c r="U69" t="s">
        <v>73</v>
      </c>
      <c r="V69" t="s">
        <v>94</v>
      </c>
      <c r="W69" t="s">
        <v>95</v>
      </c>
      <c r="X69">
        <v>3</v>
      </c>
      <c r="Y69">
        <v>4</v>
      </c>
      <c r="Z69">
        <v>3</v>
      </c>
      <c r="AA69">
        <v>3</v>
      </c>
      <c r="AB69">
        <v>3</v>
      </c>
      <c r="AC69">
        <v>3</v>
      </c>
      <c r="AD69">
        <v>3</v>
      </c>
      <c r="AE69">
        <v>3</v>
      </c>
      <c r="AF69">
        <v>3</v>
      </c>
      <c r="AG69">
        <v>3</v>
      </c>
      <c r="AH69">
        <v>3</v>
      </c>
      <c r="AI69">
        <v>3</v>
      </c>
      <c r="AJ69">
        <v>3</v>
      </c>
      <c r="AK69">
        <v>3</v>
      </c>
      <c r="AL69">
        <v>3</v>
      </c>
      <c r="AM69">
        <v>3</v>
      </c>
      <c r="AN69">
        <v>3</v>
      </c>
      <c r="AO69">
        <v>3</v>
      </c>
      <c r="AQ69">
        <v>0</v>
      </c>
      <c r="AR69" t="s">
        <v>69</v>
      </c>
      <c r="AT69">
        <v>0</v>
      </c>
      <c r="AU69" t="s">
        <v>69</v>
      </c>
      <c r="AW69">
        <v>0</v>
      </c>
      <c r="AX69" t="s">
        <v>69</v>
      </c>
      <c r="AY69" t="s">
        <v>144</v>
      </c>
      <c r="AZ69" t="s">
        <v>144</v>
      </c>
      <c r="BA69">
        <v>2</v>
      </c>
      <c r="BB69">
        <v>3</v>
      </c>
      <c r="BC69" t="s">
        <v>605</v>
      </c>
      <c r="BD69" t="s">
        <v>235</v>
      </c>
      <c r="BE69" t="s">
        <v>606</v>
      </c>
      <c r="BF69" t="s">
        <v>112</v>
      </c>
      <c r="BG69" t="s">
        <v>607</v>
      </c>
      <c r="BH69" t="s">
        <v>79</v>
      </c>
      <c r="BI69" t="s">
        <v>608</v>
      </c>
    </row>
    <row r="70" spans="1:61" x14ac:dyDescent="0.35">
      <c r="A70">
        <v>69</v>
      </c>
      <c r="B70">
        <v>45839.578460648147</v>
      </c>
      <c r="C70" t="s">
        <v>609</v>
      </c>
      <c r="D70" t="s">
        <v>610</v>
      </c>
      <c r="E70" t="s">
        <v>63</v>
      </c>
      <c r="F70" t="s">
        <v>86</v>
      </c>
      <c r="G70" t="s">
        <v>611</v>
      </c>
      <c r="H70" t="s">
        <v>578</v>
      </c>
      <c r="I70" t="s">
        <v>596</v>
      </c>
      <c r="J70" t="s">
        <v>67</v>
      </c>
      <c r="K70" t="s">
        <v>612</v>
      </c>
      <c r="L70" t="s">
        <v>69</v>
      </c>
      <c r="M70" t="s">
        <v>69</v>
      </c>
      <c r="N70" t="s">
        <v>69</v>
      </c>
      <c r="O70" t="s">
        <v>69</v>
      </c>
      <c r="P70" t="s">
        <v>70</v>
      </c>
      <c r="Q70" t="s">
        <v>71</v>
      </c>
      <c r="R70" s="3">
        <v>18</v>
      </c>
      <c r="S70">
        <v>18</v>
      </c>
      <c r="T70" t="s">
        <v>131</v>
      </c>
      <c r="U70" t="s">
        <v>73</v>
      </c>
      <c r="V70" t="s">
        <v>94</v>
      </c>
      <c r="W70" t="s">
        <v>95</v>
      </c>
      <c r="X70">
        <v>3</v>
      </c>
      <c r="Y70">
        <v>3</v>
      </c>
      <c r="Z70">
        <v>3</v>
      </c>
      <c r="AA70">
        <v>3</v>
      </c>
      <c r="AB70">
        <v>3</v>
      </c>
      <c r="AC70">
        <v>3</v>
      </c>
      <c r="AD70">
        <v>3</v>
      </c>
      <c r="AE70">
        <v>3</v>
      </c>
      <c r="AF70">
        <v>3</v>
      </c>
      <c r="AG70">
        <v>3</v>
      </c>
      <c r="AH70">
        <v>3</v>
      </c>
      <c r="AI70">
        <v>3</v>
      </c>
      <c r="AJ70">
        <v>3</v>
      </c>
      <c r="AK70">
        <v>3</v>
      </c>
      <c r="AL70">
        <v>3</v>
      </c>
      <c r="AM70">
        <v>3</v>
      </c>
      <c r="AN70">
        <v>3</v>
      </c>
      <c r="AO70">
        <v>3</v>
      </c>
      <c r="AQ70">
        <v>0</v>
      </c>
      <c r="AR70" t="s">
        <v>69</v>
      </c>
      <c r="AT70">
        <v>0</v>
      </c>
      <c r="AU70" t="s">
        <v>69</v>
      </c>
      <c r="AW70">
        <v>0</v>
      </c>
      <c r="AX70" t="s">
        <v>69</v>
      </c>
      <c r="AY70" t="s">
        <v>144</v>
      </c>
      <c r="AZ70" t="s">
        <v>144</v>
      </c>
      <c r="BA70">
        <v>2</v>
      </c>
      <c r="BB70">
        <v>3</v>
      </c>
      <c r="BC70" t="s">
        <v>613</v>
      </c>
      <c r="BD70" t="s">
        <v>235</v>
      </c>
      <c r="BE70" t="s">
        <v>614</v>
      </c>
      <c r="BF70" t="s">
        <v>79</v>
      </c>
      <c r="BG70" t="s">
        <v>615</v>
      </c>
      <c r="BH70" t="s">
        <v>146</v>
      </c>
      <c r="BI70" t="s">
        <v>616</v>
      </c>
    </row>
    <row r="71" spans="1:61" x14ac:dyDescent="0.35">
      <c r="A71">
        <v>70</v>
      </c>
      <c r="B71">
        <v>45839.587361111109</v>
      </c>
      <c r="C71" t="s">
        <v>617</v>
      </c>
      <c r="D71" t="s">
        <v>618</v>
      </c>
      <c r="E71" t="s">
        <v>63</v>
      </c>
      <c r="F71" t="s">
        <v>619</v>
      </c>
      <c r="G71" t="s">
        <v>620</v>
      </c>
      <c r="H71" t="s">
        <v>578</v>
      </c>
      <c r="I71" t="s">
        <v>596</v>
      </c>
      <c r="J71" t="s">
        <v>67</v>
      </c>
      <c r="K71" t="s">
        <v>621</v>
      </c>
      <c r="L71" t="s">
        <v>69</v>
      </c>
      <c r="M71" t="s">
        <v>69</v>
      </c>
      <c r="N71" t="s">
        <v>69</v>
      </c>
      <c r="O71" t="s">
        <v>69</v>
      </c>
      <c r="P71" t="s">
        <v>70</v>
      </c>
      <c r="Q71" t="s">
        <v>71</v>
      </c>
      <c r="R71" s="3">
        <v>19</v>
      </c>
      <c r="S71">
        <v>19</v>
      </c>
      <c r="T71" t="s">
        <v>131</v>
      </c>
      <c r="U71" t="s">
        <v>73</v>
      </c>
      <c r="V71" t="s">
        <v>94</v>
      </c>
      <c r="W71" t="s">
        <v>95</v>
      </c>
      <c r="X71">
        <v>3</v>
      </c>
      <c r="Y71">
        <v>4</v>
      </c>
      <c r="Z71">
        <v>3</v>
      </c>
      <c r="AA71">
        <v>4</v>
      </c>
      <c r="AB71">
        <v>3</v>
      </c>
      <c r="AC71">
        <v>4</v>
      </c>
      <c r="AD71">
        <v>3</v>
      </c>
      <c r="AE71">
        <v>4</v>
      </c>
      <c r="AF71">
        <v>4</v>
      </c>
      <c r="AG71">
        <v>4</v>
      </c>
      <c r="AH71">
        <v>3</v>
      </c>
      <c r="AI71">
        <v>4</v>
      </c>
      <c r="AJ71">
        <v>3</v>
      </c>
      <c r="AK71">
        <v>4</v>
      </c>
      <c r="AL71">
        <v>3</v>
      </c>
      <c r="AM71">
        <v>4</v>
      </c>
      <c r="AN71">
        <v>3</v>
      </c>
      <c r="AO71">
        <v>3</v>
      </c>
      <c r="AQ71">
        <v>0</v>
      </c>
      <c r="AR71" t="s">
        <v>69</v>
      </c>
      <c r="AT71">
        <v>0</v>
      </c>
      <c r="AU71" t="s">
        <v>69</v>
      </c>
      <c r="AW71">
        <v>0</v>
      </c>
      <c r="AX71" t="s">
        <v>69</v>
      </c>
      <c r="AY71" t="s">
        <v>144</v>
      </c>
      <c r="AZ71" t="s">
        <v>144</v>
      </c>
      <c r="BA71">
        <v>1</v>
      </c>
      <c r="BB71">
        <v>4</v>
      </c>
      <c r="BC71" t="s">
        <v>623</v>
      </c>
      <c r="BD71" t="s">
        <v>486</v>
      </c>
      <c r="BE71" t="s">
        <v>624</v>
      </c>
      <c r="BF71" t="s">
        <v>79</v>
      </c>
      <c r="BG71" t="s">
        <v>442</v>
      </c>
      <c r="BH71" t="s">
        <v>79</v>
      </c>
      <c r="BI71" t="s">
        <v>625</v>
      </c>
    </row>
    <row r="72" spans="1:61" x14ac:dyDescent="0.35">
      <c r="A72">
        <v>71</v>
      </c>
      <c r="B72">
        <v>45839.611574074072</v>
      </c>
      <c r="C72" t="s">
        <v>626</v>
      </c>
      <c r="D72" t="s">
        <v>627</v>
      </c>
      <c r="E72" t="s">
        <v>63</v>
      </c>
      <c r="F72" t="s">
        <v>125</v>
      </c>
      <c r="G72" t="s">
        <v>628</v>
      </c>
      <c r="H72" t="s">
        <v>578</v>
      </c>
      <c r="I72" t="s">
        <v>588</v>
      </c>
      <c r="J72" t="s">
        <v>67</v>
      </c>
      <c r="K72" t="s">
        <v>629</v>
      </c>
      <c r="L72" t="s">
        <v>69</v>
      </c>
      <c r="M72" t="s">
        <v>69</v>
      </c>
      <c r="N72" t="s">
        <v>69</v>
      </c>
      <c r="O72" t="s">
        <v>69</v>
      </c>
      <c r="P72" t="s">
        <v>70</v>
      </c>
      <c r="Q72" t="s">
        <v>107</v>
      </c>
      <c r="R72" s="3">
        <v>38</v>
      </c>
      <c r="S72">
        <v>38</v>
      </c>
      <c r="T72" t="s">
        <v>153</v>
      </c>
      <c r="U72" t="s">
        <v>73</v>
      </c>
      <c r="V72" t="s">
        <v>110</v>
      </c>
      <c r="W72" t="s">
        <v>110</v>
      </c>
      <c r="X72">
        <v>4</v>
      </c>
      <c r="Y72">
        <v>4</v>
      </c>
      <c r="Z72">
        <v>4</v>
      </c>
      <c r="AA72">
        <v>4</v>
      </c>
      <c r="AB72">
        <v>4</v>
      </c>
      <c r="AC72">
        <v>4</v>
      </c>
      <c r="AD72">
        <v>0</v>
      </c>
      <c r="AE72">
        <v>0</v>
      </c>
      <c r="AF72">
        <v>4</v>
      </c>
      <c r="AG72">
        <v>4</v>
      </c>
      <c r="AH72">
        <v>4</v>
      </c>
      <c r="AI72">
        <v>4</v>
      </c>
      <c r="AJ72">
        <v>4</v>
      </c>
      <c r="AK72">
        <v>4</v>
      </c>
      <c r="AL72">
        <v>4</v>
      </c>
      <c r="AM72">
        <v>4</v>
      </c>
      <c r="AN72">
        <v>4</v>
      </c>
      <c r="AO72">
        <v>4</v>
      </c>
      <c r="AQ72">
        <v>0</v>
      </c>
      <c r="AR72" t="s">
        <v>69</v>
      </c>
      <c r="AT72">
        <v>0</v>
      </c>
      <c r="AU72" t="s">
        <v>69</v>
      </c>
      <c r="AW72">
        <v>0</v>
      </c>
      <c r="AX72" t="s">
        <v>69</v>
      </c>
      <c r="AY72" t="s">
        <v>631</v>
      </c>
      <c r="AZ72" t="s">
        <v>77</v>
      </c>
      <c r="BA72">
        <v>2</v>
      </c>
      <c r="BB72">
        <v>3</v>
      </c>
      <c r="BC72" t="s">
        <v>632</v>
      </c>
      <c r="BD72" t="s">
        <v>79</v>
      </c>
      <c r="BE72" t="s">
        <v>633</v>
      </c>
      <c r="BF72" t="s">
        <v>81</v>
      </c>
      <c r="BG72" t="s">
        <v>634</v>
      </c>
      <c r="BH72" t="s">
        <v>237</v>
      </c>
      <c r="BI72" t="s">
        <v>635</v>
      </c>
    </row>
    <row r="73" spans="1:61" x14ac:dyDescent="0.35">
      <c r="A73">
        <v>72</v>
      </c>
      <c r="B73">
        <v>45839.61619212963</v>
      </c>
      <c r="C73" t="s">
        <v>636</v>
      </c>
      <c r="D73" t="s">
        <v>637</v>
      </c>
      <c r="E73" t="s">
        <v>63</v>
      </c>
      <c r="F73" t="s">
        <v>125</v>
      </c>
      <c r="G73" t="s">
        <v>638</v>
      </c>
      <c r="H73" t="s">
        <v>578</v>
      </c>
      <c r="I73" t="s">
        <v>596</v>
      </c>
      <c r="J73" t="s">
        <v>639</v>
      </c>
      <c r="K73" t="s">
        <v>640</v>
      </c>
      <c r="L73" t="s">
        <v>69</v>
      </c>
      <c r="M73" t="s">
        <v>69</v>
      </c>
      <c r="N73" t="s">
        <v>69</v>
      </c>
      <c r="O73" t="s">
        <v>69</v>
      </c>
      <c r="P73" t="s">
        <v>106</v>
      </c>
      <c r="Q73" t="s">
        <v>107</v>
      </c>
      <c r="R73" s="3">
        <v>36</v>
      </c>
      <c r="S73">
        <v>36</v>
      </c>
      <c r="T73" t="s">
        <v>153</v>
      </c>
      <c r="U73" t="s">
        <v>73</v>
      </c>
      <c r="V73" t="s">
        <v>74</v>
      </c>
      <c r="W73" t="s">
        <v>74</v>
      </c>
      <c r="X73">
        <v>4</v>
      </c>
      <c r="Y73">
        <v>4</v>
      </c>
      <c r="Z73">
        <v>4</v>
      </c>
      <c r="AA73">
        <v>4</v>
      </c>
      <c r="AB73">
        <v>4</v>
      </c>
      <c r="AC73">
        <v>4</v>
      </c>
      <c r="AD73">
        <v>0</v>
      </c>
      <c r="AE73">
        <v>0</v>
      </c>
      <c r="AF73">
        <v>4</v>
      </c>
      <c r="AG73">
        <v>4</v>
      </c>
      <c r="AH73">
        <v>4</v>
      </c>
      <c r="AI73">
        <v>4</v>
      </c>
      <c r="AJ73">
        <v>4</v>
      </c>
      <c r="AK73">
        <v>4</v>
      </c>
      <c r="AL73">
        <v>4</v>
      </c>
      <c r="AM73">
        <v>4</v>
      </c>
      <c r="AN73">
        <v>4</v>
      </c>
      <c r="AO73">
        <v>4</v>
      </c>
      <c r="AQ73">
        <v>0</v>
      </c>
      <c r="AR73" t="s">
        <v>69</v>
      </c>
      <c r="AS73">
        <v>2</v>
      </c>
      <c r="AT73">
        <v>3</v>
      </c>
      <c r="AU73" t="s">
        <v>75</v>
      </c>
      <c r="AW73">
        <v>0</v>
      </c>
      <c r="AX73" t="s">
        <v>69</v>
      </c>
      <c r="AY73" t="s">
        <v>83</v>
      </c>
      <c r="AZ73" t="s">
        <v>96</v>
      </c>
      <c r="BA73">
        <v>0</v>
      </c>
      <c r="BB73">
        <v>0</v>
      </c>
      <c r="BC73" t="s">
        <v>642</v>
      </c>
      <c r="BD73" t="s">
        <v>112</v>
      </c>
      <c r="BE73" t="s">
        <v>643</v>
      </c>
      <c r="BF73" t="s">
        <v>81</v>
      </c>
      <c r="BG73" t="s">
        <v>644</v>
      </c>
      <c r="BH73" t="s">
        <v>79</v>
      </c>
      <c r="BI73" t="s">
        <v>645</v>
      </c>
    </row>
    <row r="74" spans="1:61" x14ac:dyDescent="0.35">
      <c r="A74">
        <v>73</v>
      </c>
      <c r="B74">
        <v>45839.673437500001</v>
      </c>
      <c r="C74" t="s">
        <v>646</v>
      </c>
      <c r="D74" t="s">
        <v>647</v>
      </c>
      <c r="E74" t="s">
        <v>63</v>
      </c>
      <c r="F74" t="s">
        <v>240</v>
      </c>
      <c r="G74" t="s">
        <v>648</v>
      </c>
      <c r="H74" t="s">
        <v>65</v>
      </c>
      <c r="I74" t="s">
        <v>66</v>
      </c>
      <c r="J74" t="s">
        <v>649</v>
      </c>
      <c r="K74" t="s">
        <v>650</v>
      </c>
      <c r="L74" t="s">
        <v>69</v>
      </c>
      <c r="M74" t="s">
        <v>69</v>
      </c>
      <c r="N74" t="s">
        <v>69</v>
      </c>
      <c r="O74" t="s">
        <v>69</v>
      </c>
      <c r="P74" t="s">
        <v>106</v>
      </c>
      <c r="Q74" t="s">
        <v>71</v>
      </c>
      <c r="R74" s="3">
        <v>33</v>
      </c>
      <c r="S74">
        <v>33</v>
      </c>
      <c r="T74" t="s">
        <v>109</v>
      </c>
      <c r="U74" t="s">
        <v>254</v>
      </c>
      <c r="V74" t="s">
        <v>74</v>
      </c>
      <c r="W74" t="s">
        <v>74</v>
      </c>
      <c r="X74">
        <v>3</v>
      </c>
      <c r="Y74">
        <v>4</v>
      </c>
      <c r="Z74">
        <v>3</v>
      </c>
      <c r="AA74">
        <v>3</v>
      </c>
      <c r="AB74">
        <v>3</v>
      </c>
      <c r="AC74">
        <v>3</v>
      </c>
      <c r="AD74">
        <v>3</v>
      </c>
      <c r="AE74">
        <v>3</v>
      </c>
      <c r="AF74">
        <v>3</v>
      </c>
      <c r="AG74">
        <v>3</v>
      </c>
      <c r="AH74">
        <v>3</v>
      </c>
      <c r="AI74">
        <v>3</v>
      </c>
      <c r="AJ74">
        <v>4</v>
      </c>
      <c r="AK74">
        <v>3</v>
      </c>
      <c r="AL74">
        <v>3</v>
      </c>
      <c r="AM74">
        <v>3</v>
      </c>
      <c r="AN74">
        <v>2</v>
      </c>
      <c r="AO74">
        <v>3</v>
      </c>
      <c r="AQ74">
        <v>0</v>
      </c>
      <c r="AR74" t="s">
        <v>69</v>
      </c>
      <c r="AT74">
        <v>0</v>
      </c>
      <c r="AU74" t="s">
        <v>69</v>
      </c>
      <c r="AV74">
        <v>1</v>
      </c>
      <c r="AW74">
        <v>4</v>
      </c>
      <c r="AX74" t="s">
        <v>75</v>
      </c>
      <c r="AY74" t="s">
        <v>83</v>
      </c>
      <c r="AZ74" t="s">
        <v>96</v>
      </c>
      <c r="BA74">
        <v>0</v>
      </c>
      <c r="BB74">
        <v>0</v>
      </c>
      <c r="BC74" t="s">
        <v>651</v>
      </c>
      <c r="BD74" t="s">
        <v>99</v>
      </c>
      <c r="BE74" t="s">
        <v>651</v>
      </c>
      <c r="BF74" t="s">
        <v>99</v>
      </c>
      <c r="BG74" t="s">
        <v>652</v>
      </c>
      <c r="BH74" t="s">
        <v>653</v>
      </c>
      <c r="BI74" t="s">
        <v>83</v>
      </c>
    </row>
    <row r="75" spans="1:61" x14ac:dyDescent="0.35">
      <c r="A75">
        <v>74</v>
      </c>
      <c r="B75">
        <v>45839.674768518518</v>
      </c>
      <c r="C75" t="s">
        <v>654</v>
      </c>
      <c r="D75" t="s">
        <v>655</v>
      </c>
      <c r="E75" t="s">
        <v>63</v>
      </c>
      <c r="F75" t="s">
        <v>416</v>
      </c>
      <c r="G75" t="s">
        <v>656</v>
      </c>
      <c r="H75" t="s">
        <v>657</v>
      </c>
      <c r="I75" t="s">
        <v>66</v>
      </c>
      <c r="J75" t="s">
        <v>639</v>
      </c>
      <c r="K75" t="s">
        <v>658</v>
      </c>
      <c r="L75" t="s">
        <v>69</v>
      </c>
      <c r="M75" t="s">
        <v>69</v>
      </c>
      <c r="N75" t="s">
        <v>69</v>
      </c>
      <c r="O75" t="s">
        <v>69</v>
      </c>
      <c r="P75" t="s">
        <v>106</v>
      </c>
      <c r="Q75" t="s">
        <v>271</v>
      </c>
      <c r="R75" s="3" t="s">
        <v>492</v>
      </c>
      <c r="S75">
        <v>24</v>
      </c>
      <c r="T75" t="s">
        <v>72</v>
      </c>
      <c r="U75" t="s">
        <v>73</v>
      </c>
      <c r="V75" t="s">
        <v>74</v>
      </c>
      <c r="W75" t="s">
        <v>74</v>
      </c>
      <c r="X75">
        <v>4</v>
      </c>
      <c r="Y75">
        <v>4</v>
      </c>
      <c r="Z75">
        <v>3</v>
      </c>
      <c r="AA75">
        <v>3</v>
      </c>
      <c r="AB75">
        <v>4</v>
      </c>
      <c r="AC75">
        <v>4</v>
      </c>
      <c r="AD75">
        <v>4</v>
      </c>
      <c r="AE75">
        <v>4</v>
      </c>
      <c r="AF75">
        <v>4</v>
      </c>
      <c r="AG75">
        <v>4</v>
      </c>
      <c r="AH75">
        <v>4</v>
      </c>
      <c r="AI75">
        <v>4</v>
      </c>
      <c r="AJ75">
        <v>3</v>
      </c>
      <c r="AK75">
        <v>3</v>
      </c>
      <c r="AL75">
        <v>4</v>
      </c>
      <c r="AM75">
        <v>4</v>
      </c>
      <c r="AN75">
        <v>3</v>
      </c>
      <c r="AO75">
        <v>3</v>
      </c>
      <c r="AP75">
        <v>1</v>
      </c>
      <c r="AQ75">
        <v>4</v>
      </c>
      <c r="AR75" t="s">
        <v>75</v>
      </c>
      <c r="AT75">
        <v>0</v>
      </c>
      <c r="AU75" t="s">
        <v>69</v>
      </c>
      <c r="AW75">
        <v>0</v>
      </c>
      <c r="AX75" t="s">
        <v>69</v>
      </c>
      <c r="AY75" t="s">
        <v>144</v>
      </c>
      <c r="AZ75" t="s">
        <v>144</v>
      </c>
      <c r="BA75">
        <v>1</v>
      </c>
      <c r="BB75">
        <v>4</v>
      </c>
      <c r="BC75" t="s">
        <v>442</v>
      </c>
      <c r="BD75" t="s">
        <v>79</v>
      </c>
      <c r="BE75" t="s">
        <v>248</v>
      </c>
      <c r="BF75" t="s">
        <v>79</v>
      </c>
      <c r="BG75" t="s">
        <v>659</v>
      </c>
      <c r="BH75" t="s">
        <v>146</v>
      </c>
      <c r="BI75" t="s">
        <v>83</v>
      </c>
    </row>
    <row r="76" spans="1:61" x14ac:dyDescent="0.35">
      <c r="A76">
        <v>75</v>
      </c>
      <c r="B76">
        <v>45839.678680555553</v>
      </c>
      <c r="C76" t="s">
        <v>660</v>
      </c>
      <c r="D76" t="s">
        <v>661</v>
      </c>
      <c r="E76" t="s">
        <v>63</v>
      </c>
      <c r="F76" t="s">
        <v>289</v>
      </c>
      <c r="G76" t="s">
        <v>662</v>
      </c>
      <c r="H76" t="s">
        <v>65</v>
      </c>
      <c r="I76" t="s">
        <v>66</v>
      </c>
      <c r="J76" t="s">
        <v>639</v>
      </c>
      <c r="K76" t="s">
        <v>663</v>
      </c>
      <c r="L76" t="s">
        <v>69</v>
      </c>
      <c r="M76" t="s">
        <v>69</v>
      </c>
      <c r="N76" t="s">
        <v>69</v>
      </c>
      <c r="O76" t="s">
        <v>69</v>
      </c>
      <c r="P76" t="s">
        <v>106</v>
      </c>
      <c r="Q76" t="s">
        <v>107</v>
      </c>
      <c r="R76" s="3" t="s">
        <v>538</v>
      </c>
      <c r="S76">
        <v>41</v>
      </c>
      <c r="T76" t="s">
        <v>197</v>
      </c>
      <c r="U76" t="s">
        <v>73</v>
      </c>
      <c r="V76" t="s">
        <v>74</v>
      </c>
      <c r="W76" t="s">
        <v>74</v>
      </c>
      <c r="X76">
        <v>4</v>
      </c>
      <c r="Y76">
        <v>4</v>
      </c>
      <c r="Z76">
        <v>4</v>
      </c>
      <c r="AA76">
        <v>4</v>
      </c>
      <c r="AB76">
        <v>4</v>
      </c>
      <c r="AC76">
        <v>4</v>
      </c>
      <c r="AD76">
        <v>0</v>
      </c>
      <c r="AE76">
        <v>0</v>
      </c>
      <c r="AF76">
        <v>4</v>
      </c>
      <c r="AG76">
        <v>4</v>
      </c>
      <c r="AH76">
        <v>4</v>
      </c>
      <c r="AI76">
        <v>4</v>
      </c>
      <c r="AJ76">
        <v>4</v>
      </c>
      <c r="AK76">
        <v>4</v>
      </c>
      <c r="AL76">
        <v>4</v>
      </c>
      <c r="AM76">
        <v>4</v>
      </c>
      <c r="AN76">
        <v>3</v>
      </c>
      <c r="AO76">
        <v>3</v>
      </c>
      <c r="AP76">
        <v>1</v>
      </c>
      <c r="AQ76">
        <v>4</v>
      </c>
      <c r="AR76" t="s">
        <v>75</v>
      </c>
      <c r="AT76">
        <v>0</v>
      </c>
      <c r="AU76" t="s">
        <v>69</v>
      </c>
      <c r="AW76">
        <v>0</v>
      </c>
      <c r="AX76" t="s">
        <v>69</v>
      </c>
      <c r="AY76" t="s">
        <v>83</v>
      </c>
      <c r="AZ76" t="s">
        <v>96</v>
      </c>
      <c r="BA76">
        <v>0</v>
      </c>
      <c r="BB76">
        <v>0</v>
      </c>
      <c r="BC76" t="s">
        <v>664</v>
      </c>
      <c r="BD76" t="s">
        <v>79</v>
      </c>
      <c r="BE76" t="s">
        <v>665</v>
      </c>
      <c r="BF76" t="s">
        <v>99</v>
      </c>
      <c r="BG76" t="s">
        <v>666</v>
      </c>
      <c r="BH76" t="s">
        <v>146</v>
      </c>
      <c r="BI76" t="s">
        <v>83</v>
      </c>
    </row>
    <row r="77" spans="1:61" x14ac:dyDescent="0.35">
      <c r="A77">
        <v>76</v>
      </c>
      <c r="B77">
        <v>45839.683831018519</v>
      </c>
      <c r="C77" t="s">
        <v>667</v>
      </c>
      <c r="D77" t="s">
        <v>668</v>
      </c>
      <c r="E77" t="s">
        <v>63</v>
      </c>
      <c r="F77" t="s">
        <v>86</v>
      </c>
      <c r="G77" t="s">
        <v>669</v>
      </c>
      <c r="H77" t="s">
        <v>65</v>
      </c>
      <c r="I77" t="s">
        <v>66</v>
      </c>
      <c r="J77" t="s">
        <v>639</v>
      </c>
      <c r="K77" t="s">
        <v>670</v>
      </c>
      <c r="L77" t="s">
        <v>69</v>
      </c>
      <c r="M77" t="s">
        <v>69</v>
      </c>
      <c r="N77" t="s">
        <v>69</v>
      </c>
      <c r="O77" t="s">
        <v>69</v>
      </c>
      <c r="P77" t="s">
        <v>106</v>
      </c>
      <c r="Q77" t="s">
        <v>107</v>
      </c>
      <c r="R77" s="3" t="s">
        <v>671</v>
      </c>
      <c r="S77">
        <v>49</v>
      </c>
      <c r="T77" t="s">
        <v>225</v>
      </c>
      <c r="U77" t="s">
        <v>73</v>
      </c>
      <c r="V77" t="s">
        <v>74</v>
      </c>
      <c r="W77" t="s">
        <v>74</v>
      </c>
      <c r="X77">
        <v>4</v>
      </c>
      <c r="Y77">
        <v>4</v>
      </c>
      <c r="Z77">
        <v>4</v>
      </c>
      <c r="AA77">
        <v>4</v>
      </c>
      <c r="AB77">
        <v>4</v>
      </c>
      <c r="AC77">
        <v>4</v>
      </c>
      <c r="AD77">
        <v>0</v>
      </c>
      <c r="AE77">
        <v>0</v>
      </c>
      <c r="AF77">
        <v>4</v>
      </c>
      <c r="AG77">
        <v>4</v>
      </c>
      <c r="AH77">
        <v>4</v>
      </c>
      <c r="AI77">
        <v>4</v>
      </c>
      <c r="AJ77">
        <v>4</v>
      </c>
      <c r="AK77">
        <v>4</v>
      </c>
      <c r="AL77">
        <v>4</v>
      </c>
      <c r="AM77">
        <v>4</v>
      </c>
      <c r="AN77">
        <v>4</v>
      </c>
      <c r="AO77">
        <v>4</v>
      </c>
      <c r="AQ77">
        <v>0</v>
      </c>
      <c r="AR77" t="s">
        <v>69</v>
      </c>
      <c r="AT77">
        <v>0</v>
      </c>
      <c r="AU77" t="s">
        <v>69</v>
      </c>
      <c r="AW77">
        <v>0</v>
      </c>
      <c r="AX77" t="s">
        <v>69</v>
      </c>
      <c r="AY77" t="s">
        <v>672</v>
      </c>
      <c r="AZ77" t="s">
        <v>186</v>
      </c>
      <c r="BA77">
        <v>1</v>
      </c>
      <c r="BB77">
        <v>4</v>
      </c>
      <c r="BC77" t="s">
        <v>673</v>
      </c>
      <c r="BD77" t="s">
        <v>112</v>
      </c>
      <c r="BE77" t="s">
        <v>674</v>
      </c>
      <c r="BF77" t="s">
        <v>81</v>
      </c>
      <c r="BG77" t="s">
        <v>675</v>
      </c>
      <c r="BH77" t="s">
        <v>79</v>
      </c>
      <c r="BI77" t="s">
        <v>83</v>
      </c>
    </row>
    <row r="78" spans="1:61" x14ac:dyDescent="0.35">
      <c r="A78">
        <v>77</v>
      </c>
      <c r="B78">
        <v>45839.68476851852</v>
      </c>
      <c r="C78" t="s">
        <v>676</v>
      </c>
      <c r="D78" t="s">
        <v>677</v>
      </c>
      <c r="E78" t="s">
        <v>63</v>
      </c>
      <c r="F78" t="s">
        <v>416</v>
      </c>
      <c r="G78" t="s">
        <v>678</v>
      </c>
      <c r="H78" t="s">
        <v>65</v>
      </c>
      <c r="I78" t="s">
        <v>66</v>
      </c>
      <c r="J78" t="s">
        <v>649</v>
      </c>
      <c r="K78" t="s">
        <v>679</v>
      </c>
      <c r="L78" t="s">
        <v>69</v>
      </c>
      <c r="M78" t="s">
        <v>69</v>
      </c>
      <c r="N78" t="s">
        <v>69</v>
      </c>
      <c r="O78" t="s">
        <v>69</v>
      </c>
      <c r="P78" t="s">
        <v>70</v>
      </c>
      <c r="Q78" t="s">
        <v>71</v>
      </c>
      <c r="R78" s="3" t="s">
        <v>680</v>
      </c>
      <c r="S78">
        <v>39</v>
      </c>
      <c r="T78" t="s">
        <v>153</v>
      </c>
      <c r="U78" t="s">
        <v>254</v>
      </c>
      <c r="V78" t="s">
        <v>681</v>
      </c>
      <c r="W78" t="s">
        <v>413</v>
      </c>
      <c r="X78">
        <v>3</v>
      </c>
      <c r="Y78">
        <v>3</v>
      </c>
      <c r="Z78">
        <v>4</v>
      </c>
      <c r="AA78">
        <v>4</v>
      </c>
      <c r="AB78">
        <v>3</v>
      </c>
      <c r="AC78">
        <v>3</v>
      </c>
      <c r="AD78">
        <v>2</v>
      </c>
      <c r="AE78">
        <v>3</v>
      </c>
      <c r="AF78">
        <v>3</v>
      </c>
      <c r="AG78">
        <v>3</v>
      </c>
      <c r="AH78">
        <v>4</v>
      </c>
      <c r="AI78">
        <v>4</v>
      </c>
      <c r="AJ78">
        <v>3</v>
      </c>
      <c r="AK78">
        <v>3</v>
      </c>
      <c r="AL78">
        <v>3</v>
      </c>
      <c r="AM78">
        <v>3</v>
      </c>
      <c r="AN78">
        <v>3</v>
      </c>
      <c r="AO78">
        <v>3</v>
      </c>
      <c r="AP78">
        <v>1</v>
      </c>
      <c r="AQ78">
        <v>4</v>
      </c>
      <c r="AR78" t="s">
        <v>75</v>
      </c>
      <c r="AS78">
        <v>2</v>
      </c>
      <c r="AT78">
        <v>3</v>
      </c>
      <c r="AU78" t="s">
        <v>75</v>
      </c>
      <c r="AW78">
        <v>0</v>
      </c>
      <c r="AX78" t="s">
        <v>69</v>
      </c>
      <c r="AY78" t="s">
        <v>83</v>
      </c>
      <c r="AZ78" t="s">
        <v>96</v>
      </c>
      <c r="BA78">
        <v>0</v>
      </c>
      <c r="BB78">
        <v>0</v>
      </c>
      <c r="BC78" t="s">
        <v>682</v>
      </c>
      <c r="BD78" t="s">
        <v>79</v>
      </c>
      <c r="BE78" t="s">
        <v>683</v>
      </c>
      <c r="BF78" t="s">
        <v>81</v>
      </c>
      <c r="BG78" t="s">
        <v>684</v>
      </c>
      <c r="BH78" t="s">
        <v>685</v>
      </c>
      <c r="BI78" t="s">
        <v>83</v>
      </c>
    </row>
    <row r="79" spans="1:61" x14ac:dyDescent="0.35">
      <c r="A79">
        <v>78</v>
      </c>
      <c r="B79">
        <v>45839.694803240738</v>
      </c>
      <c r="C79" t="s">
        <v>686</v>
      </c>
      <c r="D79" t="s">
        <v>687</v>
      </c>
      <c r="E79" t="s">
        <v>63</v>
      </c>
      <c r="F79" t="s">
        <v>86</v>
      </c>
      <c r="G79" t="s">
        <v>688</v>
      </c>
      <c r="H79" t="s">
        <v>65</v>
      </c>
      <c r="I79" t="s">
        <v>66</v>
      </c>
      <c r="J79" t="s">
        <v>639</v>
      </c>
      <c r="K79" t="s">
        <v>689</v>
      </c>
      <c r="L79" t="s">
        <v>69</v>
      </c>
      <c r="M79" t="s">
        <v>69</v>
      </c>
      <c r="N79" t="s">
        <v>69</v>
      </c>
      <c r="O79" t="s">
        <v>69</v>
      </c>
      <c r="P79" t="s">
        <v>106</v>
      </c>
      <c r="Q79" t="s">
        <v>71</v>
      </c>
      <c r="R79" s="3" t="s">
        <v>499</v>
      </c>
      <c r="S79">
        <v>22</v>
      </c>
      <c r="T79" t="s">
        <v>72</v>
      </c>
      <c r="U79" t="s">
        <v>73</v>
      </c>
      <c r="V79" t="s">
        <v>74</v>
      </c>
      <c r="W79" t="s">
        <v>74</v>
      </c>
      <c r="X79">
        <v>3</v>
      </c>
      <c r="Y79">
        <v>3</v>
      </c>
      <c r="Z79">
        <v>3</v>
      </c>
      <c r="AA79">
        <v>3</v>
      </c>
      <c r="AB79">
        <v>3</v>
      </c>
      <c r="AC79">
        <v>3</v>
      </c>
      <c r="AD79">
        <v>3</v>
      </c>
      <c r="AE79">
        <v>3</v>
      </c>
      <c r="AF79">
        <v>3</v>
      </c>
      <c r="AG79">
        <v>3</v>
      </c>
      <c r="AH79">
        <v>3</v>
      </c>
      <c r="AI79">
        <v>3</v>
      </c>
      <c r="AJ79">
        <v>3</v>
      </c>
      <c r="AK79">
        <v>3</v>
      </c>
      <c r="AL79">
        <v>3</v>
      </c>
      <c r="AM79">
        <v>3</v>
      </c>
      <c r="AN79">
        <v>3</v>
      </c>
      <c r="AO79">
        <v>3</v>
      </c>
      <c r="AP79">
        <v>2</v>
      </c>
      <c r="AQ79">
        <v>3</v>
      </c>
      <c r="AR79" t="s">
        <v>75</v>
      </c>
      <c r="AT79">
        <v>0</v>
      </c>
      <c r="AU79" t="s">
        <v>69</v>
      </c>
      <c r="AW79">
        <v>0</v>
      </c>
      <c r="AX79" t="s">
        <v>69</v>
      </c>
      <c r="AY79" t="s">
        <v>83</v>
      </c>
      <c r="AZ79" t="s">
        <v>96</v>
      </c>
      <c r="BA79">
        <v>0</v>
      </c>
      <c r="BB79">
        <v>0</v>
      </c>
      <c r="BC79" t="s">
        <v>528</v>
      </c>
      <c r="BD79" t="s">
        <v>79</v>
      </c>
      <c r="BE79" t="s">
        <v>690</v>
      </c>
      <c r="BF79" t="s">
        <v>157</v>
      </c>
      <c r="BG79" t="s">
        <v>691</v>
      </c>
      <c r="BH79" t="s">
        <v>79</v>
      </c>
      <c r="BI79" t="s">
        <v>83</v>
      </c>
    </row>
    <row r="80" spans="1:61" x14ac:dyDescent="0.35">
      <c r="A80">
        <v>79</v>
      </c>
      <c r="B80">
        <v>45839.695532407408</v>
      </c>
      <c r="C80" t="s">
        <v>692</v>
      </c>
      <c r="D80" t="s">
        <v>693</v>
      </c>
      <c r="E80" t="s">
        <v>63</v>
      </c>
      <c r="F80" t="s">
        <v>125</v>
      </c>
      <c r="G80" t="s">
        <v>694</v>
      </c>
      <c r="H80" t="s">
        <v>65</v>
      </c>
      <c r="I80" t="s">
        <v>66</v>
      </c>
      <c r="J80" t="s">
        <v>649</v>
      </c>
      <c r="K80" t="s">
        <v>695</v>
      </c>
      <c r="L80" t="s">
        <v>69</v>
      </c>
      <c r="M80" t="s">
        <v>69</v>
      </c>
      <c r="N80" t="s">
        <v>69</v>
      </c>
      <c r="O80" t="s">
        <v>69</v>
      </c>
      <c r="P80" t="s">
        <v>106</v>
      </c>
      <c r="Q80" t="s">
        <v>71</v>
      </c>
      <c r="R80" s="3" t="s">
        <v>431</v>
      </c>
      <c r="S80">
        <v>19</v>
      </c>
      <c r="T80" t="s">
        <v>131</v>
      </c>
      <c r="U80" t="s">
        <v>73</v>
      </c>
      <c r="V80" t="s">
        <v>696</v>
      </c>
      <c r="W80" t="s">
        <v>133</v>
      </c>
      <c r="X80">
        <v>4</v>
      </c>
      <c r="Y80">
        <v>4</v>
      </c>
      <c r="Z80">
        <v>3</v>
      </c>
      <c r="AA80">
        <v>3</v>
      </c>
      <c r="AB80">
        <v>3</v>
      </c>
      <c r="AC80">
        <v>3</v>
      </c>
      <c r="AD80">
        <v>4</v>
      </c>
      <c r="AE80">
        <v>4</v>
      </c>
      <c r="AF80">
        <v>4</v>
      </c>
      <c r="AG80">
        <v>4</v>
      </c>
      <c r="AH80">
        <v>4</v>
      </c>
      <c r="AI80">
        <v>4</v>
      </c>
      <c r="AJ80">
        <v>3</v>
      </c>
      <c r="AK80">
        <v>4</v>
      </c>
      <c r="AL80">
        <v>4</v>
      </c>
      <c r="AM80">
        <v>4</v>
      </c>
      <c r="AN80">
        <v>4</v>
      </c>
      <c r="AO80">
        <v>4</v>
      </c>
      <c r="AQ80">
        <v>0</v>
      </c>
      <c r="AR80" t="s">
        <v>75</v>
      </c>
      <c r="AT80">
        <v>0</v>
      </c>
      <c r="AU80" t="s">
        <v>75</v>
      </c>
      <c r="AW80">
        <v>0</v>
      </c>
      <c r="AX80" t="s">
        <v>69</v>
      </c>
      <c r="AY80" t="s">
        <v>144</v>
      </c>
      <c r="AZ80" t="s">
        <v>144</v>
      </c>
      <c r="BA80">
        <v>1</v>
      </c>
      <c r="BB80">
        <v>4</v>
      </c>
      <c r="BC80" t="s">
        <v>697</v>
      </c>
      <c r="BD80" t="s">
        <v>540</v>
      </c>
      <c r="BE80" t="s">
        <v>698</v>
      </c>
      <c r="BF80" t="s">
        <v>79</v>
      </c>
      <c r="BG80" t="s">
        <v>699</v>
      </c>
      <c r="BH80" t="s">
        <v>146</v>
      </c>
      <c r="BI80" t="s">
        <v>83</v>
      </c>
    </row>
    <row r="81" spans="1:61" x14ac:dyDescent="0.35">
      <c r="A81">
        <v>80</v>
      </c>
      <c r="B81">
        <v>45839.835381944446</v>
      </c>
      <c r="C81" t="s">
        <v>700</v>
      </c>
      <c r="D81" t="s">
        <v>701</v>
      </c>
      <c r="E81" t="s">
        <v>63</v>
      </c>
      <c r="F81" t="s">
        <v>63</v>
      </c>
      <c r="G81" t="s">
        <v>702</v>
      </c>
      <c r="H81" t="s">
        <v>138</v>
      </c>
      <c r="I81" t="s">
        <v>139</v>
      </c>
      <c r="J81" t="s">
        <v>703</v>
      </c>
      <c r="K81" t="s">
        <v>704</v>
      </c>
      <c r="L81" t="s">
        <v>69</v>
      </c>
      <c r="M81" t="s">
        <v>69</v>
      </c>
      <c r="N81" t="s">
        <v>69</v>
      </c>
      <c r="O81" t="s">
        <v>69</v>
      </c>
      <c r="P81" t="s">
        <v>106</v>
      </c>
      <c r="Q81" t="s">
        <v>107</v>
      </c>
      <c r="R81" s="3">
        <v>19</v>
      </c>
      <c r="S81">
        <v>19</v>
      </c>
      <c r="T81" t="s">
        <v>131</v>
      </c>
      <c r="U81" t="s">
        <v>73</v>
      </c>
      <c r="V81" t="s">
        <v>74</v>
      </c>
      <c r="W81" t="s">
        <v>74</v>
      </c>
      <c r="X81">
        <v>3</v>
      </c>
      <c r="Y81">
        <v>3</v>
      </c>
      <c r="Z81">
        <v>3</v>
      </c>
      <c r="AA81">
        <v>3</v>
      </c>
      <c r="AB81">
        <v>3</v>
      </c>
      <c r="AC81">
        <v>3</v>
      </c>
      <c r="AD81">
        <v>3</v>
      </c>
      <c r="AE81">
        <v>3</v>
      </c>
      <c r="AF81">
        <v>3</v>
      </c>
      <c r="AG81">
        <v>3</v>
      </c>
      <c r="AH81">
        <v>3</v>
      </c>
      <c r="AI81">
        <v>3</v>
      </c>
      <c r="AJ81">
        <v>3</v>
      </c>
      <c r="AK81">
        <v>3</v>
      </c>
      <c r="AL81">
        <v>3</v>
      </c>
      <c r="AM81">
        <v>3</v>
      </c>
      <c r="AN81">
        <v>3</v>
      </c>
      <c r="AO81">
        <v>3</v>
      </c>
      <c r="AQ81">
        <v>0</v>
      </c>
      <c r="AR81" t="s">
        <v>69</v>
      </c>
      <c r="AT81">
        <v>0</v>
      </c>
      <c r="AU81" t="s">
        <v>69</v>
      </c>
      <c r="AW81">
        <v>0</v>
      </c>
      <c r="AX81" t="s">
        <v>69</v>
      </c>
      <c r="AY81" t="s">
        <v>144</v>
      </c>
      <c r="AZ81" t="s">
        <v>144</v>
      </c>
      <c r="BA81">
        <v>2</v>
      </c>
      <c r="BB81">
        <v>3</v>
      </c>
      <c r="BC81" t="s">
        <v>98</v>
      </c>
      <c r="BD81" t="s">
        <v>99</v>
      </c>
      <c r="BE81" t="s">
        <v>98</v>
      </c>
      <c r="BF81" t="s">
        <v>99</v>
      </c>
      <c r="BG81" t="s">
        <v>98</v>
      </c>
      <c r="BH81" t="s">
        <v>99</v>
      </c>
      <c r="BI81" t="s">
        <v>98</v>
      </c>
    </row>
    <row r="82" spans="1:61" x14ac:dyDescent="0.35">
      <c r="A82">
        <v>81</v>
      </c>
      <c r="B82">
        <v>45839.839837962965</v>
      </c>
      <c r="C82" t="s">
        <v>705</v>
      </c>
      <c r="D82" t="s">
        <v>480</v>
      </c>
      <c r="E82" t="s">
        <v>63</v>
      </c>
      <c r="F82" t="s">
        <v>480</v>
      </c>
      <c r="G82" t="s">
        <v>706</v>
      </c>
      <c r="H82" t="s">
        <v>138</v>
      </c>
      <c r="I82" t="s">
        <v>139</v>
      </c>
      <c r="J82" t="s">
        <v>703</v>
      </c>
      <c r="K82" t="s">
        <v>707</v>
      </c>
      <c r="L82" t="s">
        <v>69</v>
      </c>
      <c r="M82" t="s">
        <v>69</v>
      </c>
      <c r="N82" t="s">
        <v>69</v>
      </c>
      <c r="O82" t="s">
        <v>69</v>
      </c>
      <c r="P82" t="s">
        <v>106</v>
      </c>
      <c r="Q82" t="s">
        <v>292</v>
      </c>
      <c r="R82" s="3">
        <v>21</v>
      </c>
      <c r="S82">
        <v>21</v>
      </c>
      <c r="T82" t="s">
        <v>72</v>
      </c>
      <c r="U82" t="s">
        <v>73</v>
      </c>
      <c r="V82" t="s">
        <v>74</v>
      </c>
      <c r="W82" t="s">
        <v>74</v>
      </c>
      <c r="X82">
        <v>3</v>
      </c>
      <c r="Y82">
        <v>4</v>
      </c>
      <c r="Z82">
        <v>3</v>
      </c>
      <c r="AA82">
        <v>3</v>
      </c>
      <c r="AB82">
        <v>3</v>
      </c>
      <c r="AC82">
        <v>4</v>
      </c>
      <c r="AD82">
        <v>4</v>
      </c>
      <c r="AE82">
        <v>4</v>
      </c>
      <c r="AF82">
        <v>3</v>
      </c>
      <c r="AG82">
        <v>4</v>
      </c>
      <c r="AH82">
        <v>4</v>
      </c>
      <c r="AI82">
        <v>3</v>
      </c>
      <c r="AJ82">
        <v>4</v>
      </c>
      <c r="AK82">
        <v>4</v>
      </c>
      <c r="AL82">
        <v>3</v>
      </c>
      <c r="AM82">
        <v>4</v>
      </c>
      <c r="AN82">
        <v>4</v>
      </c>
      <c r="AO82">
        <v>4</v>
      </c>
      <c r="AP82">
        <v>2</v>
      </c>
      <c r="AQ82">
        <v>3</v>
      </c>
      <c r="AR82" t="s">
        <v>75</v>
      </c>
      <c r="AT82">
        <v>0</v>
      </c>
      <c r="AU82" t="s">
        <v>69</v>
      </c>
      <c r="AW82">
        <v>0</v>
      </c>
      <c r="AX82" t="s">
        <v>69</v>
      </c>
      <c r="AY82" t="s">
        <v>83</v>
      </c>
      <c r="AZ82" t="s">
        <v>96</v>
      </c>
      <c r="BA82">
        <v>0</v>
      </c>
      <c r="BB82">
        <v>0</v>
      </c>
      <c r="BC82" t="s">
        <v>98</v>
      </c>
      <c r="BD82" t="s">
        <v>99</v>
      </c>
      <c r="BE82" t="s">
        <v>708</v>
      </c>
      <c r="BF82" t="s">
        <v>157</v>
      </c>
      <c r="BG82" t="s">
        <v>98</v>
      </c>
      <c r="BH82" t="s">
        <v>99</v>
      </c>
      <c r="BI82" t="s">
        <v>98</v>
      </c>
    </row>
    <row r="83" spans="1:61" x14ac:dyDescent="0.35">
      <c r="A83">
        <v>82</v>
      </c>
      <c r="B83">
        <v>45839.850694444445</v>
      </c>
      <c r="C83" t="s">
        <v>709</v>
      </c>
      <c r="D83" t="s">
        <v>710</v>
      </c>
      <c r="E83" t="s">
        <v>63</v>
      </c>
      <c r="F83" t="s">
        <v>86</v>
      </c>
      <c r="G83" t="s">
        <v>711</v>
      </c>
      <c r="H83" t="s">
        <v>210</v>
      </c>
      <c r="I83" t="s">
        <v>211</v>
      </c>
      <c r="J83" t="s">
        <v>703</v>
      </c>
      <c r="K83" t="s">
        <v>712</v>
      </c>
      <c r="L83" t="s">
        <v>69</v>
      </c>
      <c r="M83" t="s">
        <v>69</v>
      </c>
      <c r="N83" t="s">
        <v>69</v>
      </c>
      <c r="O83" t="s">
        <v>69</v>
      </c>
      <c r="P83" t="s">
        <v>70</v>
      </c>
      <c r="Q83" t="s">
        <v>292</v>
      </c>
      <c r="R83" s="3">
        <v>18</v>
      </c>
      <c r="S83">
        <v>18</v>
      </c>
      <c r="T83" t="s">
        <v>131</v>
      </c>
      <c r="U83" t="s">
        <v>73</v>
      </c>
      <c r="V83" t="s">
        <v>94</v>
      </c>
      <c r="W83" t="s">
        <v>95</v>
      </c>
      <c r="X83">
        <v>3</v>
      </c>
      <c r="Y83">
        <v>3</v>
      </c>
      <c r="Z83">
        <v>2</v>
      </c>
      <c r="AA83">
        <v>3</v>
      </c>
      <c r="AB83">
        <v>2</v>
      </c>
      <c r="AC83">
        <v>3</v>
      </c>
      <c r="AD83">
        <v>3</v>
      </c>
      <c r="AE83">
        <v>3</v>
      </c>
      <c r="AF83">
        <v>3</v>
      </c>
      <c r="AG83">
        <v>3</v>
      </c>
      <c r="AH83">
        <v>3</v>
      </c>
      <c r="AI83">
        <v>3</v>
      </c>
      <c r="AJ83">
        <v>2</v>
      </c>
      <c r="AK83">
        <v>3</v>
      </c>
      <c r="AL83">
        <v>3</v>
      </c>
      <c r="AM83">
        <v>3</v>
      </c>
      <c r="AN83">
        <v>4</v>
      </c>
      <c r="AO83">
        <v>3</v>
      </c>
      <c r="AQ83">
        <v>0</v>
      </c>
      <c r="AR83" t="s">
        <v>69</v>
      </c>
      <c r="AT83">
        <v>0</v>
      </c>
      <c r="AU83" t="s">
        <v>69</v>
      </c>
      <c r="AV83">
        <v>2</v>
      </c>
      <c r="AW83">
        <v>3</v>
      </c>
      <c r="AX83" t="s">
        <v>75</v>
      </c>
      <c r="AY83" t="s">
        <v>83</v>
      </c>
      <c r="AZ83" t="s">
        <v>96</v>
      </c>
      <c r="BA83">
        <v>0</v>
      </c>
      <c r="BB83">
        <v>0</v>
      </c>
      <c r="BC83" t="s">
        <v>713</v>
      </c>
      <c r="BD83" t="s">
        <v>235</v>
      </c>
      <c r="BE83" t="s">
        <v>714</v>
      </c>
      <c r="BF83" t="s">
        <v>502</v>
      </c>
      <c r="BG83" t="s">
        <v>98</v>
      </c>
      <c r="BH83" t="s">
        <v>99</v>
      </c>
      <c r="BI83" t="s">
        <v>98</v>
      </c>
    </row>
    <row r="84" spans="1:61" x14ac:dyDescent="0.35">
      <c r="A84">
        <v>83</v>
      </c>
      <c r="B84">
        <v>45839.854386574072</v>
      </c>
      <c r="C84" t="s">
        <v>715</v>
      </c>
      <c r="D84" t="s">
        <v>716</v>
      </c>
      <c r="E84" t="s">
        <v>63</v>
      </c>
      <c r="F84" t="s">
        <v>338</v>
      </c>
      <c r="G84" t="s">
        <v>717</v>
      </c>
      <c r="H84" t="s">
        <v>138</v>
      </c>
      <c r="I84" t="s">
        <v>139</v>
      </c>
      <c r="J84" t="s">
        <v>703</v>
      </c>
      <c r="K84" t="s">
        <v>718</v>
      </c>
      <c r="L84" t="s">
        <v>69</v>
      </c>
      <c r="M84" t="s">
        <v>69</v>
      </c>
      <c r="N84" t="s">
        <v>69</v>
      </c>
      <c r="O84" t="s">
        <v>69</v>
      </c>
      <c r="P84" t="s">
        <v>106</v>
      </c>
      <c r="Q84" t="s">
        <v>71</v>
      </c>
      <c r="R84" s="3">
        <v>18</v>
      </c>
      <c r="S84">
        <v>18</v>
      </c>
      <c r="T84" t="s">
        <v>131</v>
      </c>
      <c r="U84" t="s">
        <v>73</v>
      </c>
      <c r="V84" t="s">
        <v>719</v>
      </c>
      <c r="W84" t="s">
        <v>95</v>
      </c>
      <c r="X84">
        <v>4</v>
      </c>
      <c r="Y84">
        <v>4</v>
      </c>
      <c r="Z84">
        <v>4</v>
      </c>
      <c r="AA84">
        <v>4</v>
      </c>
      <c r="AB84">
        <v>4</v>
      </c>
      <c r="AC84">
        <v>4</v>
      </c>
      <c r="AD84">
        <v>4</v>
      </c>
      <c r="AE84">
        <v>4</v>
      </c>
      <c r="AF84">
        <v>4</v>
      </c>
      <c r="AG84">
        <v>4</v>
      </c>
      <c r="AH84">
        <v>4</v>
      </c>
      <c r="AI84">
        <v>4</v>
      </c>
      <c r="AJ84">
        <v>4</v>
      </c>
      <c r="AK84">
        <v>4</v>
      </c>
      <c r="AL84">
        <v>4</v>
      </c>
      <c r="AM84">
        <v>4</v>
      </c>
      <c r="AN84">
        <v>4</v>
      </c>
      <c r="AO84">
        <v>4</v>
      </c>
      <c r="AP84">
        <v>2</v>
      </c>
      <c r="AQ84">
        <v>3</v>
      </c>
      <c r="AR84" t="s">
        <v>75</v>
      </c>
      <c r="AT84">
        <v>0</v>
      </c>
      <c r="AU84" t="s">
        <v>69</v>
      </c>
      <c r="AW84">
        <v>0</v>
      </c>
      <c r="AX84" t="s">
        <v>69</v>
      </c>
      <c r="AY84" t="s">
        <v>83</v>
      </c>
      <c r="AZ84" t="s">
        <v>96</v>
      </c>
      <c r="BA84">
        <v>0</v>
      </c>
      <c r="BB84">
        <v>0</v>
      </c>
      <c r="BC84" t="s">
        <v>720</v>
      </c>
      <c r="BD84" t="s">
        <v>79</v>
      </c>
      <c r="BE84" t="s">
        <v>98</v>
      </c>
      <c r="BF84" t="s">
        <v>99</v>
      </c>
      <c r="BG84" t="s">
        <v>98</v>
      </c>
      <c r="BH84" t="s">
        <v>99</v>
      </c>
      <c r="BI84" t="s">
        <v>98</v>
      </c>
    </row>
    <row r="85" spans="1:61" x14ac:dyDescent="0.35">
      <c r="A85">
        <v>84</v>
      </c>
      <c r="B85">
        <v>45839.859513888892</v>
      </c>
      <c r="C85" t="s">
        <v>721</v>
      </c>
      <c r="D85" t="s">
        <v>722</v>
      </c>
      <c r="E85" t="s">
        <v>63</v>
      </c>
      <c r="F85" t="s">
        <v>312</v>
      </c>
      <c r="G85" t="s">
        <v>723</v>
      </c>
      <c r="H85" t="s">
        <v>210</v>
      </c>
      <c r="I85" t="s">
        <v>211</v>
      </c>
      <c r="J85" t="s">
        <v>703</v>
      </c>
      <c r="K85" t="s">
        <v>724</v>
      </c>
      <c r="L85" t="s">
        <v>69</v>
      </c>
      <c r="M85" t="s">
        <v>69</v>
      </c>
      <c r="N85" t="s">
        <v>69</v>
      </c>
      <c r="O85" t="s">
        <v>69</v>
      </c>
      <c r="P85" t="s">
        <v>106</v>
      </c>
      <c r="Q85" t="s">
        <v>71</v>
      </c>
      <c r="R85" s="3">
        <v>22</v>
      </c>
      <c r="S85">
        <v>22</v>
      </c>
      <c r="T85" t="s">
        <v>72</v>
      </c>
      <c r="U85" t="s">
        <v>254</v>
      </c>
      <c r="V85" t="s">
        <v>94</v>
      </c>
      <c r="W85" t="s">
        <v>95</v>
      </c>
      <c r="X85">
        <v>3</v>
      </c>
      <c r="Y85">
        <v>4</v>
      </c>
      <c r="Z85">
        <v>4</v>
      </c>
      <c r="AA85">
        <v>4</v>
      </c>
      <c r="AB85">
        <v>4</v>
      </c>
      <c r="AC85">
        <v>4</v>
      </c>
      <c r="AD85">
        <v>4</v>
      </c>
      <c r="AE85">
        <v>4</v>
      </c>
      <c r="AF85">
        <v>4</v>
      </c>
      <c r="AG85">
        <v>4</v>
      </c>
      <c r="AH85">
        <v>4</v>
      </c>
      <c r="AI85">
        <v>4</v>
      </c>
      <c r="AJ85">
        <v>4</v>
      </c>
      <c r="AK85">
        <v>4</v>
      </c>
      <c r="AL85">
        <v>4</v>
      </c>
      <c r="AM85">
        <v>4</v>
      </c>
      <c r="AN85">
        <v>3</v>
      </c>
      <c r="AO85">
        <v>3</v>
      </c>
      <c r="AQ85">
        <v>0</v>
      </c>
      <c r="AR85" t="s">
        <v>69</v>
      </c>
      <c r="AS85">
        <v>2</v>
      </c>
      <c r="AT85">
        <v>3</v>
      </c>
      <c r="AU85" t="s">
        <v>75</v>
      </c>
      <c r="AW85">
        <v>0</v>
      </c>
      <c r="AX85" t="s">
        <v>69</v>
      </c>
      <c r="AY85" t="s">
        <v>83</v>
      </c>
      <c r="AZ85" t="s">
        <v>96</v>
      </c>
      <c r="BA85">
        <v>0</v>
      </c>
      <c r="BB85">
        <v>0</v>
      </c>
      <c r="BC85" t="s">
        <v>98</v>
      </c>
      <c r="BD85" t="s">
        <v>99</v>
      </c>
      <c r="BE85" t="s">
        <v>98</v>
      </c>
      <c r="BF85" t="s">
        <v>99</v>
      </c>
      <c r="BG85" t="s">
        <v>725</v>
      </c>
      <c r="BH85" t="s">
        <v>146</v>
      </c>
      <c r="BI85" t="s">
        <v>98</v>
      </c>
    </row>
    <row r="86" spans="1:61" x14ac:dyDescent="0.35">
      <c r="A86">
        <v>85</v>
      </c>
      <c r="B86">
        <v>45839.864247685182</v>
      </c>
      <c r="C86" t="s">
        <v>726</v>
      </c>
      <c r="D86" t="s">
        <v>727</v>
      </c>
      <c r="E86" t="s">
        <v>63</v>
      </c>
      <c r="F86" t="s">
        <v>416</v>
      </c>
      <c r="G86" t="s">
        <v>728</v>
      </c>
      <c r="H86" t="s">
        <v>210</v>
      </c>
      <c r="I86" t="s">
        <v>211</v>
      </c>
      <c r="J86" t="s">
        <v>703</v>
      </c>
      <c r="K86" t="s">
        <v>262</v>
      </c>
      <c r="L86" t="s">
        <v>69</v>
      </c>
      <c r="M86" t="s">
        <v>69</v>
      </c>
      <c r="N86" t="s">
        <v>69</v>
      </c>
      <c r="O86" t="s">
        <v>69</v>
      </c>
      <c r="P86" t="s">
        <v>106</v>
      </c>
      <c r="Q86" t="s">
        <v>71</v>
      </c>
      <c r="R86" s="3">
        <v>18</v>
      </c>
      <c r="S86">
        <v>18</v>
      </c>
      <c r="T86" t="s">
        <v>131</v>
      </c>
      <c r="U86" t="s">
        <v>73</v>
      </c>
      <c r="V86" t="s">
        <v>729</v>
      </c>
      <c r="W86" t="s">
        <v>133</v>
      </c>
      <c r="X86">
        <v>4</v>
      </c>
      <c r="Y86">
        <v>4</v>
      </c>
      <c r="Z86">
        <v>4</v>
      </c>
      <c r="AA86">
        <v>4</v>
      </c>
      <c r="AB86">
        <v>4</v>
      </c>
      <c r="AC86">
        <v>4</v>
      </c>
      <c r="AD86">
        <v>4</v>
      </c>
      <c r="AE86">
        <v>4</v>
      </c>
      <c r="AF86">
        <v>4</v>
      </c>
      <c r="AG86">
        <v>4</v>
      </c>
      <c r="AH86">
        <v>4</v>
      </c>
      <c r="AI86">
        <v>4</v>
      </c>
      <c r="AJ86">
        <v>4</v>
      </c>
      <c r="AK86">
        <v>4</v>
      </c>
      <c r="AL86">
        <v>4</v>
      </c>
      <c r="AM86">
        <v>4</v>
      </c>
      <c r="AN86">
        <v>4</v>
      </c>
      <c r="AO86">
        <v>4</v>
      </c>
      <c r="AQ86">
        <v>0</v>
      </c>
      <c r="AR86" t="s">
        <v>69</v>
      </c>
      <c r="AS86">
        <v>1</v>
      </c>
      <c r="AT86">
        <v>4</v>
      </c>
      <c r="AU86" t="s">
        <v>75</v>
      </c>
      <c r="AW86">
        <v>0</v>
      </c>
      <c r="AX86" t="s">
        <v>69</v>
      </c>
      <c r="AY86" t="s">
        <v>83</v>
      </c>
      <c r="AZ86" t="s">
        <v>96</v>
      </c>
      <c r="BA86">
        <v>0</v>
      </c>
      <c r="BB86">
        <v>0</v>
      </c>
      <c r="BC86" t="s">
        <v>98</v>
      </c>
      <c r="BD86" t="s">
        <v>99</v>
      </c>
      <c r="BE86" t="s">
        <v>98</v>
      </c>
      <c r="BF86" t="s">
        <v>99</v>
      </c>
      <c r="BG86" t="s">
        <v>98</v>
      </c>
      <c r="BH86" t="s">
        <v>99</v>
      </c>
      <c r="BI86" t="s">
        <v>98</v>
      </c>
    </row>
    <row r="87" spans="1:61" x14ac:dyDescent="0.35">
      <c r="A87">
        <v>86</v>
      </c>
      <c r="B87">
        <v>45839.871574074074</v>
      </c>
      <c r="C87" t="s">
        <v>730</v>
      </c>
      <c r="D87" t="s">
        <v>731</v>
      </c>
      <c r="E87" t="s">
        <v>63</v>
      </c>
      <c r="F87" t="s">
        <v>63</v>
      </c>
      <c r="G87" t="s">
        <v>732</v>
      </c>
      <c r="H87" t="s">
        <v>210</v>
      </c>
      <c r="I87" t="s">
        <v>211</v>
      </c>
      <c r="J87" t="s">
        <v>703</v>
      </c>
      <c r="K87" t="s">
        <v>733</v>
      </c>
      <c r="L87" t="s">
        <v>69</v>
      </c>
      <c r="M87" t="s">
        <v>69</v>
      </c>
      <c r="N87" t="s">
        <v>83</v>
      </c>
      <c r="O87" t="s">
        <v>69</v>
      </c>
      <c r="P87" t="s">
        <v>70</v>
      </c>
      <c r="Q87" t="s">
        <v>71</v>
      </c>
      <c r="R87" s="3">
        <v>40</v>
      </c>
      <c r="S87">
        <v>40</v>
      </c>
      <c r="T87" t="s">
        <v>153</v>
      </c>
      <c r="U87" t="s">
        <v>73</v>
      </c>
      <c r="V87" t="s">
        <v>110</v>
      </c>
      <c r="W87" t="s">
        <v>110</v>
      </c>
      <c r="X87">
        <v>3</v>
      </c>
      <c r="Y87">
        <v>4</v>
      </c>
      <c r="Z87">
        <v>3</v>
      </c>
      <c r="AA87">
        <v>4</v>
      </c>
      <c r="AB87">
        <v>4</v>
      </c>
      <c r="AC87">
        <v>4</v>
      </c>
      <c r="AD87">
        <v>3</v>
      </c>
      <c r="AE87">
        <v>4</v>
      </c>
      <c r="AF87">
        <v>4</v>
      </c>
      <c r="AG87">
        <v>4</v>
      </c>
      <c r="AH87">
        <v>4</v>
      </c>
      <c r="AI87">
        <v>4</v>
      </c>
      <c r="AJ87">
        <v>4</v>
      </c>
      <c r="AK87">
        <v>4</v>
      </c>
      <c r="AL87">
        <v>4</v>
      </c>
      <c r="AM87">
        <v>4</v>
      </c>
      <c r="AN87">
        <v>4</v>
      </c>
      <c r="AO87">
        <v>4</v>
      </c>
      <c r="AQ87">
        <v>0</v>
      </c>
      <c r="AR87" t="s">
        <v>69</v>
      </c>
      <c r="AT87">
        <v>0</v>
      </c>
      <c r="AU87" t="s">
        <v>69</v>
      </c>
      <c r="AW87">
        <v>0</v>
      </c>
      <c r="AX87" t="s">
        <v>69</v>
      </c>
      <c r="AY87" t="s">
        <v>734</v>
      </c>
      <c r="AZ87" t="s">
        <v>77</v>
      </c>
      <c r="BA87">
        <v>2</v>
      </c>
      <c r="BB87">
        <v>3</v>
      </c>
      <c r="BC87" t="s">
        <v>98</v>
      </c>
      <c r="BD87" t="s">
        <v>99</v>
      </c>
      <c r="BE87" t="s">
        <v>98</v>
      </c>
      <c r="BF87" t="s">
        <v>99</v>
      </c>
      <c r="BG87" t="s">
        <v>98</v>
      </c>
      <c r="BH87" t="s">
        <v>99</v>
      </c>
      <c r="BI87" t="s">
        <v>98</v>
      </c>
    </row>
    <row r="88" spans="1:61" x14ac:dyDescent="0.35">
      <c r="A88">
        <v>87</v>
      </c>
      <c r="B88">
        <v>45839.87939814815</v>
      </c>
      <c r="C88" t="s">
        <v>735</v>
      </c>
      <c r="D88" t="s">
        <v>736</v>
      </c>
      <c r="E88" t="s">
        <v>63</v>
      </c>
      <c r="F88" t="s">
        <v>63</v>
      </c>
      <c r="G88" t="s">
        <v>737</v>
      </c>
      <c r="H88" t="s">
        <v>138</v>
      </c>
      <c r="I88" t="s">
        <v>139</v>
      </c>
      <c r="J88" t="s">
        <v>703</v>
      </c>
      <c r="K88" t="s">
        <v>738</v>
      </c>
      <c r="L88" t="s">
        <v>69</v>
      </c>
      <c r="M88" t="s">
        <v>69</v>
      </c>
      <c r="N88" t="s">
        <v>69</v>
      </c>
      <c r="O88" t="s">
        <v>69</v>
      </c>
      <c r="P88" t="s">
        <v>70</v>
      </c>
      <c r="Q88" t="s">
        <v>71</v>
      </c>
      <c r="R88" s="3">
        <v>19</v>
      </c>
      <c r="S88">
        <v>19</v>
      </c>
      <c r="T88" t="s">
        <v>131</v>
      </c>
      <c r="U88" t="s">
        <v>73</v>
      </c>
      <c r="V88" t="s">
        <v>74</v>
      </c>
      <c r="W88" t="s">
        <v>74</v>
      </c>
      <c r="X88">
        <v>3</v>
      </c>
      <c r="Y88">
        <v>4</v>
      </c>
      <c r="Z88">
        <v>3</v>
      </c>
      <c r="AA88">
        <v>3</v>
      </c>
      <c r="AB88">
        <v>4</v>
      </c>
      <c r="AC88">
        <v>4</v>
      </c>
      <c r="AD88">
        <v>3</v>
      </c>
      <c r="AE88">
        <v>3</v>
      </c>
      <c r="AF88">
        <v>4</v>
      </c>
      <c r="AG88">
        <v>3</v>
      </c>
      <c r="AH88">
        <v>4</v>
      </c>
      <c r="AI88">
        <v>4</v>
      </c>
      <c r="AJ88">
        <v>3</v>
      </c>
      <c r="AK88">
        <v>3</v>
      </c>
      <c r="AL88">
        <v>3</v>
      </c>
      <c r="AM88">
        <v>3</v>
      </c>
      <c r="AN88">
        <v>3</v>
      </c>
      <c r="AO88">
        <v>3</v>
      </c>
      <c r="AQ88">
        <v>0</v>
      </c>
      <c r="AR88" t="s">
        <v>69</v>
      </c>
      <c r="AT88">
        <v>0</v>
      </c>
      <c r="AU88" t="s">
        <v>69</v>
      </c>
      <c r="AW88">
        <v>0</v>
      </c>
      <c r="AX88" t="s">
        <v>69</v>
      </c>
      <c r="AY88" t="s">
        <v>144</v>
      </c>
      <c r="AZ88" t="s">
        <v>144</v>
      </c>
      <c r="BA88">
        <v>2</v>
      </c>
      <c r="BB88">
        <v>3</v>
      </c>
      <c r="BC88" t="s">
        <v>98</v>
      </c>
      <c r="BD88" t="s">
        <v>99</v>
      </c>
      <c r="BE88" t="s">
        <v>98</v>
      </c>
      <c r="BF88" t="s">
        <v>99</v>
      </c>
      <c r="BG88" t="s">
        <v>739</v>
      </c>
      <c r="BH88" t="s">
        <v>190</v>
      </c>
      <c r="BI88" t="s">
        <v>98</v>
      </c>
    </row>
    <row r="89" spans="1:61" x14ac:dyDescent="0.35">
      <c r="A89">
        <v>88</v>
      </c>
      <c r="B89">
        <v>45839.884884259256</v>
      </c>
      <c r="C89" t="s">
        <v>740</v>
      </c>
      <c r="D89" t="s">
        <v>741</v>
      </c>
      <c r="E89" t="s">
        <v>63</v>
      </c>
      <c r="F89" t="s">
        <v>742</v>
      </c>
      <c r="G89" t="s">
        <v>743</v>
      </c>
      <c r="H89" t="s">
        <v>138</v>
      </c>
      <c r="I89" t="s">
        <v>139</v>
      </c>
      <c r="J89" t="s">
        <v>703</v>
      </c>
      <c r="K89" t="s">
        <v>744</v>
      </c>
      <c r="L89" t="s">
        <v>69</v>
      </c>
      <c r="M89" t="s">
        <v>69</v>
      </c>
      <c r="N89" t="s">
        <v>69</v>
      </c>
      <c r="O89" t="s">
        <v>69</v>
      </c>
      <c r="P89" t="s">
        <v>70</v>
      </c>
      <c r="Q89" t="s">
        <v>71</v>
      </c>
      <c r="R89" s="3">
        <v>20</v>
      </c>
      <c r="S89">
        <v>20</v>
      </c>
      <c r="T89" t="s">
        <v>131</v>
      </c>
      <c r="U89" t="s">
        <v>73</v>
      </c>
      <c r="V89" t="s">
        <v>719</v>
      </c>
      <c r="W89" t="s">
        <v>95</v>
      </c>
      <c r="X89">
        <v>4</v>
      </c>
      <c r="Y89">
        <v>4</v>
      </c>
      <c r="Z89">
        <v>4</v>
      </c>
      <c r="AA89">
        <v>4</v>
      </c>
      <c r="AB89">
        <v>3</v>
      </c>
      <c r="AC89">
        <v>4</v>
      </c>
      <c r="AD89">
        <v>4</v>
      </c>
      <c r="AE89">
        <v>4</v>
      </c>
      <c r="AF89">
        <v>4</v>
      </c>
      <c r="AG89">
        <v>4</v>
      </c>
      <c r="AH89">
        <v>4</v>
      </c>
      <c r="AI89">
        <v>4</v>
      </c>
      <c r="AJ89">
        <v>4</v>
      </c>
      <c r="AK89">
        <v>4</v>
      </c>
      <c r="AL89">
        <v>4</v>
      </c>
      <c r="AM89">
        <v>4</v>
      </c>
      <c r="AN89">
        <v>4</v>
      </c>
      <c r="AO89">
        <v>4</v>
      </c>
      <c r="AP89">
        <v>1</v>
      </c>
      <c r="AQ89">
        <v>4</v>
      </c>
      <c r="AR89" t="s">
        <v>75</v>
      </c>
      <c r="AT89">
        <v>0</v>
      </c>
      <c r="AU89" t="s">
        <v>69</v>
      </c>
      <c r="AW89">
        <v>0</v>
      </c>
      <c r="AX89" t="s">
        <v>69</v>
      </c>
      <c r="AY89" t="s">
        <v>83</v>
      </c>
      <c r="AZ89" t="s">
        <v>96</v>
      </c>
      <c r="BA89">
        <v>0</v>
      </c>
      <c r="BB89">
        <v>0</v>
      </c>
      <c r="BC89" t="s">
        <v>98</v>
      </c>
      <c r="BD89" t="s">
        <v>99</v>
      </c>
      <c r="BE89" t="s">
        <v>745</v>
      </c>
      <c r="BF89" t="s">
        <v>112</v>
      </c>
      <c r="BG89" t="s">
        <v>98</v>
      </c>
      <c r="BH89" t="s">
        <v>99</v>
      </c>
      <c r="BI89" t="s">
        <v>98</v>
      </c>
    </row>
    <row r="90" spans="1:61" x14ac:dyDescent="0.35">
      <c r="A90">
        <v>89</v>
      </c>
      <c r="B90">
        <v>45839.888067129628</v>
      </c>
      <c r="C90" t="s">
        <v>746</v>
      </c>
      <c r="D90" t="s">
        <v>747</v>
      </c>
      <c r="E90" t="s">
        <v>63</v>
      </c>
      <c r="F90" t="s">
        <v>63</v>
      </c>
      <c r="G90" t="s">
        <v>748</v>
      </c>
      <c r="H90" t="s">
        <v>138</v>
      </c>
      <c r="I90" t="s">
        <v>139</v>
      </c>
      <c r="J90" t="s">
        <v>703</v>
      </c>
      <c r="K90" t="s">
        <v>749</v>
      </c>
      <c r="L90" t="s">
        <v>69</v>
      </c>
      <c r="M90" t="s">
        <v>69</v>
      </c>
      <c r="N90" t="s">
        <v>69</v>
      </c>
      <c r="O90" t="s">
        <v>69</v>
      </c>
      <c r="P90" t="s">
        <v>70</v>
      </c>
      <c r="Q90" t="s">
        <v>71</v>
      </c>
      <c r="R90" s="3">
        <v>27</v>
      </c>
      <c r="S90">
        <v>27</v>
      </c>
      <c r="T90" t="s">
        <v>92</v>
      </c>
      <c r="U90" t="s">
        <v>73</v>
      </c>
      <c r="V90" t="s">
        <v>74</v>
      </c>
      <c r="W90" t="s">
        <v>74</v>
      </c>
      <c r="X90">
        <v>4</v>
      </c>
      <c r="Y90">
        <v>4</v>
      </c>
      <c r="Z90">
        <v>4</v>
      </c>
      <c r="AA90">
        <v>4</v>
      </c>
      <c r="AB90">
        <v>4</v>
      </c>
      <c r="AC90">
        <v>4</v>
      </c>
      <c r="AD90">
        <v>4</v>
      </c>
      <c r="AE90">
        <v>4</v>
      </c>
      <c r="AF90">
        <v>4</v>
      </c>
      <c r="AG90">
        <v>4</v>
      </c>
      <c r="AH90">
        <v>4</v>
      </c>
      <c r="AI90">
        <v>4</v>
      </c>
      <c r="AJ90">
        <v>4</v>
      </c>
      <c r="AK90">
        <v>4</v>
      </c>
      <c r="AL90">
        <v>4</v>
      </c>
      <c r="AM90">
        <v>4</v>
      </c>
      <c r="AN90">
        <v>3</v>
      </c>
      <c r="AO90">
        <v>3</v>
      </c>
      <c r="AQ90">
        <v>0</v>
      </c>
      <c r="AR90" t="s">
        <v>69</v>
      </c>
      <c r="AT90">
        <v>0</v>
      </c>
      <c r="AU90" t="s">
        <v>69</v>
      </c>
      <c r="AW90">
        <v>0</v>
      </c>
      <c r="AX90" t="s">
        <v>69</v>
      </c>
      <c r="AY90" t="s">
        <v>379</v>
      </c>
      <c r="AZ90" t="s">
        <v>77</v>
      </c>
      <c r="BA90">
        <v>2</v>
      </c>
      <c r="BB90">
        <v>3</v>
      </c>
      <c r="BC90" t="s">
        <v>98</v>
      </c>
      <c r="BD90" t="s">
        <v>99</v>
      </c>
      <c r="BE90" t="s">
        <v>98</v>
      </c>
      <c r="BF90" t="s">
        <v>99</v>
      </c>
      <c r="BG90" t="s">
        <v>98</v>
      </c>
      <c r="BH90" t="s">
        <v>99</v>
      </c>
      <c r="BI90" t="s">
        <v>98</v>
      </c>
    </row>
    <row r="91" spans="1:61" x14ac:dyDescent="0.35">
      <c r="A91">
        <v>90</v>
      </c>
      <c r="B91">
        <v>45839.895104166666</v>
      </c>
      <c r="C91" t="s">
        <v>750</v>
      </c>
      <c r="D91" t="s">
        <v>751</v>
      </c>
      <c r="E91" t="s">
        <v>63</v>
      </c>
      <c r="F91" t="s">
        <v>312</v>
      </c>
      <c r="G91" t="s">
        <v>752</v>
      </c>
      <c r="H91" t="s">
        <v>210</v>
      </c>
      <c r="I91" t="s">
        <v>211</v>
      </c>
      <c r="J91" t="s">
        <v>703</v>
      </c>
      <c r="K91" t="s">
        <v>753</v>
      </c>
      <c r="L91" t="s">
        <v>69</v>
      </c>
      <c r="M91" t="s">
        <v>69</v>
      </c>
      <c r="N91" t="s">
        <v>69</v>
      </c>
      <c r="O91" t="s">
        <v>69</v>
      </c>
      <c r="P91" t="s">
        <v>70</v>
      </c>
      <c r="Q91" t="s">
        <v>71</v>
      </c>
      <c r="R91" s="3">
        <v>33</v>
      </c>
      <c r="S91">
        <v>33</v>
      </c>
      <c r="T91" t="s">
        <v>109</v>
      </c>
      <c r="U91" t="s">
        <v>73</v>
      </c>
      <c r="V91" t="s">
        <v>232</v>
      </c>
      <c r="W91" t="s">
        <v>232</v>
      </c>
      <c r="X91">
        <v>3</v>
      </c>
      <c r="Y91">
        <v>3</v>
      </c>
      <c r="Z91">
        <v>3</v>
      </c>
      <c r="AA91">
        <v>3</v>
      </c>
      <c r="AB91">
        <v>3</v>
      </c>
      <c r="AC91">
        <v>3</v>
      </c>
      <c r="AD91">
        <v>3</v>
      </c>
      <c r="AE91">
        <v>3</v>
      </c>
      <c r="AF91">
        <v>3</v>
      </c>
      <c r="AG91">
        <v>3</v>
      </c>
      <c r="AH91">
        <v>3</v>
      </c>
      <c r="AI91">
        <v>3</v>
      </c>
      <c r="AJ91">
        <v>4</v>
      </c>
      <c r="AK91">
        <v>4</v>
      </c>
      <c r="AL91">
        <v>3</v>
      </c>
      <c r="AM91">
        <v>3</v>
      </c>
      <c r="AN91">
        <v>3</v>
      </c>
      <c r="AO91">
        <v>3</v>
      </c>
      <c r="AQ91">
        <v>0</v>
      </c>
      <c r="AR91" t="s">
        <v>69</v>
      </c>
      <c r="AT91">
        <v>0</v>
      </c>
      <c r="AU91" t="s">
        <v>69</v>
      </c>
      <c r="AV91">
        <v>2</v>
      </c>
      <c r="AW91">
        <v>3</v>
      </c>
      <c r="AX91" t="s">
        <v>75</v>
      </c>
      <c r="AY91" t="s">
        <v>83</v>
      </c>
      <c r="AZ91" t="s">
        <v>96</v>
      </c>
      <c r="BA91">
        <v>0</v>
      </c>
      <c r="BB91">
        <v>0</v>
      </c>
      <c r="BC91" t="s">
        <v>278</v>
      </c>
      <c r="BD91" t="s">
        <v>79</v>
      </c>
      <c r="BE91" t="s">
        <v>278</v>
      </c>
      <c r="BF91" t="s">
        <v>79</v>
      </c>
      <c r="BG91" t="s">
        <v>754</v>
      </c>
      <c r="BH91" t="s">
        <v>146</v>
      </c>
      <c r="BI91" t="s">
        <v>98</v>
      </c>
    </row>
    <row r="92" spans="1:61" x14ac:dyDescent="0.35">
      <c r="A92">
        <v>91</v>
      </c>
      <c r="B92">
        <v>45840.111516203702</v>
      </c>
      <c r="C92" t="s">
        <v>755</v>
      </c>
      <c r="D92" t="s">
        <v>756</v>
      </c>
      <c r="E92" t="s">
        <v>63</v>
      </c>
      <c r="F92" t="s">
        <v>757</v>
      </c>
      <c r="G92" t="s">
        <v>758</v>
      </c>
      <c r="H92" t="s">
        <v>517</v>
      </c>
      <c r="I92" t="s">
        <v>518</v>
      </c>
      <c r="J92" t="s">
        <v>703</v>
      </c>
      <c r="K92" t="s">
        <v>759</v>
      </c>
      <c r="L92" t="s">
        <v>69</v>
      </c>
      <c r="M92" t="s">
        <v>69</v>
      </c>
      <c r="N92" t="s">
        <v>69</v>
      </c>
      <c r="O92" t="s">
        <v>69</v>
      </c>
      <c r="P92" t="s">
        <v>106</v>
      </c>
      <c r="Q92" t="s">
        <v>292</v>
      </c>
      <c r="R92" s="3" t="s">
        <v>130</v>
      </c>
      <c r="S92">
        <v>18</v>
      </c>
      <c r="T92" t="s">
        <v>131</v>
      </c>
      <c r="U92" t="s">
        <v>73</v>
      </c>
      <c r="V92" t="s">
        <v>94</v>
      </c>
      <c r="W92" t="s">
        <v>95</v>
      </c>
      <c r="X92">
        <v>3</v>
      </c>
      <c r="Y92">
        <v>3</v>
      </c>
      <c r="Z92">
        <v>3</v>
      </c>
      <c r="AA92">
        <v>3</v>
      </c>
      <c r="AB92">
        <v>3</v>
      </c>
      <c r="AC92">
        <v>3</v>
      </c>
      <c r="AD92">
        <v>3</v>
      </c>
      <c r="AE92">
        <v>3</v>
      </c>
      <c r="AF92">
        <v>3</v>
      </c>
      <c r="AG92">
        <v>3</v>
      </c>
      <c r="AH92">
        <v>3</v>
      </c>
      <c r="AI92">
        <v>4</v>
      </c>
      <c r="AJ92">
        <v>3</v>
      </c>
      <c r="AK92">
        <v>3</v>
      </c>
      <c r="AL92">
        <v>3</v>
      </c>
      <c r="AM92">
        <v>3</v>
      </c>
      <c r="AN92">
        <v>4</v>
      </c>
      <c r="AO92">
        <v>3</v>
      </c>
      <c r="AP92">
        <v>2</v>
      </c>
      <c r="AQ92">
        <v>3</v>
      </c>
      <c r="AR92" t="s">
        <v>75</v>
      </c>
      <c r="AS92">
        <v>2</v>
      </c>
      <c r="AT92">
        <v>3</v>
      </c>
      <c r="AU92" t="s">
        <v>75</v>
      </c>
      <c r="AV92">
        <v>2</v>
      </c>
      <c r="AW92">
        <v>3</v>
      </c>
      <c r="AX92" t="s">
        <v>75</v>
      </c>
      <c r="AY92" t="s">
        <v>83</v>
      </c>
      <c r="AZ92" t="s">
        <v>96</v>
      </c>
      <c r="BA92">
        <v>2</v>
      </c>
      <c r="BB92">
        <v>3</v>
      </c>
      <c r="BC92" t="s">
        <v>503</v>
      </c>
      <c r="BD92" t="s">
        <v>79</v>
      </c>
      <c r="BE92" t="s">
        <v>528</v>
      </c>
      <c r="BF92" t="s">
        <v>79</v>
      </c>
      <c r="BG92" t="s">
        <v>528</v>
      </c>
      <c r="BH92" t="s">
        <v>79</v>
      </c>
      <c r="BI92" t="s">
        <v>83</v>
      </c>
    </row>
    <row r="93" spans="1:61" x14ac:dyDescent="0.35">
      <c r="A93">
        <v>92</v>
      </c>
      <c r="B93">
        <v>45840.116805555554</v>
      </c>
      <c r="C93" t="s">
        <v>760</v>
      </c>
      <c r="D93" t="s">
        <v>761</v>
      </c>
      <c r="E93" t="s">
        <v>63</v>
      </c>
      <c r="F93" t="s">
        <v>125</v>
      </c>
      <c r="G93" t="s">
        <v>762</v>
      </c>
      <c r="H93" t="s">
        <v>517</v>
      </c>
      <c r="I93" t="s">
        <v>518</v>
      </c>
      <c r="J93" t="s">
        <v>703</v>
      </c>
      <c r="K93" t="s">
        <v>355</v>
      </c>
      <c r="L93" t="s">
        <v>69</v>
      </c>
      <c r="M93" t="s">
        <v>69</v>
      </c>
      <c r="N93" t="s">
        <v>69</v>
      </c>
      <c r="O93" t="s">
        <v>69</v>
      </c>
      <c r="P93" t="s">
        <v>70</v>
      </c>
      <c r="Q93" t="s">
        <v>292</v>
      </c>
      <c r="R93" s="3" t="s">
        <v>130</v>
      </c>
      <c r="S93">
        <v>18</v>
      </c>
      <c r="T93" t="s">
        <v>131</v>
      </c>
      <c r="U93" t="s">
        <v>73</v>
      </c>
      <c r="V93" t="s">
        <v>133</v>
      </c>
      <c r="W93" t="s">
        <v>133</v>
      </c>
      <c r="X93">
        <v>4</v>
      </c>
      <c r="Y93">
        <v>4</v>
      </c>
      <c r="Z93">
        <v>3</v>
      </c>
      <c r="AA93">
        <v>3</v>
      </c>
      <c r="AB93">
        <v>4</v>
      </c>
      <c r="AC93">
        <v>4</v>
      </c>
      <c r="AD93">
        <v>3</v>
      </c>
      <c r="AE93">
        <v>3</v>
      </c>
      <c r="AF93">
        <v>3</v>
      </c>
      <c r="AG93">
        <v>4</v>
      </c>
      <c r="AH93">
        <v>4</v>
      </c>
      <c r="AI93">
        <v>4</v>
      </c>
      <c r="AJ93">
        <v>3</v>
      </c>
      <c r="AK93">
        <v>4</v>
      </c>
      <c r="AL93">
        <v>4</v>
      </c>
      <c r="AM93">
        <v>4</v>
      </c>
      <c r="AN93">
        <v>3</v>
      </c>
      <c r="AO93">
        <v>4</v>
      </c>
      <c r="AP93">
        <v>2</v>
      </c>
      <c r="AQ93">
        <v>3</v>
      </c>
      <c r="AR93" t="s">
        <v>75</v>
      </c>
      <c r="AS93">
        <v>2</v>
      </c>
      <c r="AT93">
        <v>3</v>
      </c>
      <c r="AU93" t="s">
        <v>75</v>
      </c>
      <c r="AV93">
        <v>2</v>
      </c>
      <c r="AW93">
        <v>3</v>
      </c>
      <c r="AX93" t="s">
        <v>75</v>
      </c>
      <c r="AY93" t="s">
        <v>532</v>
      </c>
      <c r="AZ93" t="s">
        <v>77</v>
      </c>
      <c r="BA93">
        <v>2</v>
      </c>
      <c r="BB93">
        <v>3</v>
      </c>
      <c r="BC93" t="s">
        <v>503</v>
      </c>
      <c r="BD93" t="s">
        <v>79</v>
      </c>
      <c r="BE93" t="s">
        <v>763</v>
      </c>
      <c r="BF93" t="s">
        <v>157</v>
      </c>
      <c r="BG93" t="s">
        <v>248</v>
      </c>
      <c r="BH93" t="s">
        <v>79</v>
      </c>
      <c r="BI93" t="s">
        <v>83</v>
      </c>
    </row>
    <row r="94" spans="1:61" x14ac:dyDescent="0.35">
      <c r="A94">
        <v>93</v>
      </c>
      <c r="B94">
        <v>45840.121886574074</v>
      </c>
      <c r="C94" t="s">
        <v>115</v>
      </c>
      <c r="D94" t="s">
        <v>764</v>
      </c>
      <c r="E94" t="s">
        <v>765</v>
      </c>
      <c r="F94" t="s">
        <v>63</v>
      </c>
      <c r="G94" t="s">
        <v>766</v>
      </c>
      <c r="H94" t="s">
        <v>517</v>
      </c>
      <c r="I94" t="s">
        <v>518</v>
      </c>
      <c r="J94" t="s">
        <v>703</v>
      </c>
      <c r="K94" t="s">
        <v>767</v>
      </c>
      <c r="L94" t="s">
        <v>69</v>
      </c>
      <c r="M94" t="s">
        <v>69</v>
      </c>
      <c r="N94" t="s">
        <v>69</v>
      </c>
      <c r="O94" t="s">
        <v>69</v>
      </c>
      <c r="P94" t="s">
        <v>106</v>
      </c>
      <c r="Q94" t="s">
        <v>292</v>
      </c>
      <c r="R94" s="3" t="s">
        <v>431</v>
      </c>
      <c r="S94">
        <v>19</v>
      </c>
      <c r="T94" t="s">
        <v>131</v>
      </c>
      <c r="U94" t="s">
        <v>73</v>
      </c>
      <c r="V94" t="s">
        <v>94</v>
      </c>
      <c r="W94" t="s">
        <v>95</v>
      </c>
      <c r="X94">
        <v>3</v>
      </c>
      <c r="Y94">
        <v>3</v>
      </c>
      <c r="Z94">
        <v>3</v>
      </c>
      <c r="AA94">
        <v>4</v>
      </c>
      <c r="AB94">
        <v>2</v>
      </c>
      <c r="AC94">
        <v>3</v>
      </c>
      <c r="AD94">
        <v>3</v>
      </c>
      <c r="AE94">
        <v>3</v>
      </c>
      <c r="AF94">
        <v>3</v>
      </c>
      <c r="AG94">
        <v>3</v>
      </c>
      <c r="AH94">
        <v>3</v>
      </c>
      <c r="AI94">
        <v>3</v>
      </c>
      <c r="AJ94">
        <v>3</v>
      </c>
      <c r="AK94">
        <v>3</v>
      </c>
      <c r="AL94">
        <v>3</v>
      </c>
      <c r="AM94">
        <v>3</v>
      </c>
      <c r="AN94">
        <v>3</v>
      </c>
      <c r="AO94">
        <v>3</v>
      </c>
      <c r="AP94">
        <v>2</v>
      </c>
      <c r="AQ94">
        <v>3</v>
      </c>
      <c r="AR94" t="s">
        <v>75</v>
      </c>
      <c r="AS94">
        <v>2</v>
      </c>
      <c r="AT94">
        <v>3</v>
      </c>
      <c r="AU94" t="s">
        <v>75</v>
      </c>
      <c r="AV94">
        <v>2</v>
      </c>
      <c r="AW94">
        <v>3</v>
      </c>
      <c r="AX94" t="s">
        <v>75</v>
      </c>
      <c r="AY94" t="s">
        <v>77</v>
      </c>
      <c r="AZ94" t="s">
        <v>77</v>
      </c>
      <c r="BA94">
        <v>2</v>
      </c>
      <c r="BB94">
        <v>3</v>
      </c>
      <c r="BC94" t="s">
        <v>768</v>
      </c>
      <c r="BD94" t="s">
        <v>433</v>
      </c>
      <c r="BE94" t="s">
        <v>769</v>
      </c>
      <c r="BF94" t="s">
        <v>157</v>
      </c>
      <c r="BG94" t="s">
        <v>503</v>
      </c>
      <c r="BH94" t="s">
        <v>79</v>
      </c>
      <c r="BI94" t="s">
        <v>83</v>
      </c>
    </row>
    <row r="95" spans="1:61" x14ac:dyDescent="0.35">
      <c r="A95">
        <v>94</v>
      </c>
      <c r="B95">
        <v>45840.125798611109</v>
      </c>
      <c r="C95" t="s">
        <v>770</v>
      </c>
      <c r="D95" t="s">
        <v>771</v>
      </c>
      <c r="E95" t="s">
        <v>772</v>
      </c>
      <c r="F95" t="s">
        <v>773</v>
      </c>
      <c r="G95" t="s">
        <v>774</v>
      </c>
      <c r="H95" t="s">
        <v>517</v>
      </c>
      <c r="I95" t="s">
        <v>518</v>
      </c>
      <c r="J95" t="s">
        <v>703</v>
      </c>
      <c r="K95" t="s">
        <v>775</v>
      </c>
      <c r="L95" t="s">
        <v>69</v>
      </c>
      <c r="M95" t="s">
        <v>69</v>
      </c>
      <c r="N95" t="s">
        <v>69</v>
      </c>
      <c r="O95" t="s">
        <v>69</v>
      </c>
      <c r="P95" t="s">
        <v>70</v>
      </c>
      <c r="Q95" t="s">
        <v>292</v>
      </c>
      <c r="R95" s="3" t="s">
        <v>431</v>
      </c>
      <c r="S95">
        <v>19</v>
      </c>
      <c r="T95" t="s">
        <v>131</v>
      </c>
      <c r="U95" t="s">
        <v>73</v>
      </c>
      <c r="V95" t="s">
        <v>94</v>
      </c>
      <c r="W95" t="s">
        <v>95</v>
      </c>
      <c r="X95">
        <v>4</v>
      </c>
      <c r="Y95">
        <v>3</v>
      </c>
      <c r="Z95">
        <v>3</v>
      </c>
      <c r="AA95">
        <v>3</v>
      </c>
      <c r="AB95">
        <v>4</v>
      </c>
      <c r="AC95">
        <v>4</v>
      </c>
      <c r="AD95">
        <v>3</v>
      </c>
      <c r="AE95">
        <v>3</v>
      </c>
      <c r="AF95">
        <v>3</v>
      </c>
      <c r="AG95">
        <v>4</v>
      </c>
      <c r="AH95">
        <v>4</v>
      </c>
      <c r="AI95">
        <v>4</v>
      </c>
      <c r="AJ95">
        <v>4</v>
      </c>
      <c r="AK95">
        <v>3</v>
      </c>
      <c r="AL95">
        <v>3</v>
      </c>
      <c r="AM95">
        <v>3</v>
      </c>
      <c r="AN95">
        <v>3</v>
      </c>
      <c r="AO95">
        <v>4</v>
      </c>
      <c r="AP95">
        <v>2</v>
      </c>
      <c r="AQ95">
        <v>3</v>
      </c>
      <c r="AR95" t="s">
        <v>75</v>
      </c>
      <c r="AS95">
        <v>2</v>
      </c>
      <c r="AT95">
        <v>3</v>
      </c>
      <c r="AU95" t="s">
        <v>75</v>
      </c>
      <c r="AV95">
        <v>2</v>
      </c>
      <c r="AW95">
        <v>3</v>
      </c>
      <c r="AX95" t="s">
        <v>75</v>
      </c>
      <c r="AY95" t="s">
        <v>631</v>
      </c>
      <c r="AZ95" t="s">
        <v>77</v>
      </c>
      <c r="BA95">
        <v>2</v>
      </c>
      <c r="BB95">
        <v>3</v>
      </c>
      <c r="BC95" t="s">
        <v>503</v>
      </c>
      <c r="BD95" t="s">
        <v>79</v>
      </c>
      <c r="BE95" t="s">
        <v>503</v>
      </c>
      <c r="BF95" t="s">
        <v>79</v>
      </c>
      <c r="BG95" t="s">
        <v>776</v>
      </c>
      <c r="BH95" t="s">
        <v>146</v>
      </c>
      <c r="BI95" t="s">
        <v>83</v>
      </c>
    </row>
    <row r="96" spans="1:61" x14ac:dyDescent="0.35">
      <c r="A96">
        <v>95</v>
      </c>
      <c r="B96">
        <v>45840.129745370374</v>
      </c>
      <c r="C96" t="s">
        <v>777</v>
      </c>
      <c r="D96" t="s">
        <v>778</v>
      </c>
      <c r="E96" t="s">
        <v>63</v>
      </c>
      <c r="F96" t="s">
        <v>63</v>
      </c>
      <c r="G96" t="s">
        <v>779</v>
      </c>
      <c r="H96" t="s">
        <v>517</v>
      </c>
      <c r="I96" t="s">
        <v>518</v>
      </c>
      <c r="J96" t="s">
        <v>703</v>
      </c>
      <c r="K96" t="s">
        <v>780</v>
      </c>
      <c r="L96" t="s">
        <v>69</v>
      </c>
      <c r="M96" t="s">
        <v>69</v>
      </c>
      <c r="N96" t="s">
        <v>69</v>
      </c>
      <c r="O96" t="s">
        <v>69</v>
      </c>
      <c r="P96" t="s">
        <v>106</v>
      </c>
      <c r="Q96" t="s">
        <v>271</v>
      </c>
      <c r="R96" s="3" t="s">
        <v>492</v>
      </c>
      <c r="S96">
        <v>24</v>
      </c>
      <c r="T96" t="s">
        <v>72</v>
      </c>
      <c r="U96" t="s">
        <v>254</v>
      </c>
      <c r="V96" t="s">
        <v>74</v>
      </c>
      <c r="W96" t="s">
        <v>74</v>
      </c>
      <c r="X96">
        <v>3</v>
      </c>
      <c r="Y96">
        <v>4</v>
      </c>
      <c r="Z96">
        <v>3</v>
      </c>
      <c r="AA96">
        <v>3</v>
      </c>
      <c r="AB96">
        <v>3</v>
      </c>
      <c r="AC96">
        <v>3</v>
      </c>
      <c r="AD96">
        <v>3</v>
      </c>
      <c r="AE96">
        <v>3</v>
      </c>
      <c r="AF96">
        <v>3</v>
      </c>
      <c r="AG96">
        <v>3</v>
      </c>
      <c r="AH96">
        <v>4</v>
      </c>
      <c r="AI96">
        <v>4</v>
      </c>
      <c r="AJ96">
        <v>3</v>
      </c>
      <c r="AK96">
        <v>4</v>
      </c>
      <c r="AL96">
        <v>3</v>
      </c>
      <c r="AM96">
        <v>4</v>
      </c>
      <c r="AN96">
        <v>4</v>
      </c>
      <c r="AO96">
        <v>4</v>
      </c>
      <c r="AP96">
        <v>2</v>
      </c>
      <c r="AQ96">
        <v>3</v>
      </c>
      <c r="AR96" t="s">
        <v>75</v>
      </c>
      <c r="AS96">
        <v>2</v>
      </c>
      <c r="AT96">
        <v>3</v>
      </c>
      <c r="AU96" t="s">
        <v>75</v>
      </c>
      <c r="AV96">
        <v>2</v>
      </c>
      <c r="AW96">
        <v>3</v>
      </c>
      <c r="AX96" t="s">
        <v>75</v>
      </c>
      <c r="AY96" t="s">
        <v>77</v>
      </c>
      <c r="AZ96" t="s">
        <v>77</v>
      </c>
      <c r="BA96">
        <v>2</v>
      </c>
      <c r="BB96">
        <v>3</v>
      </c>
      <c r="BC96" t="s">
        <v>781</v>
      </c>
      <c r="BD96" t="s">
        <v>227</v>
      </c>
      <c r="BE96" t="s">
        <v>503</v>
      </c>
      <c r="BF96" t="s">
        <v>79</v>
      </c>
      <c r="BG96" t="s">
        <v>528</v>
      </c>
      <c r="BH96" t="s">
        <v>79</v>
      </c>
      <c r="BI96" t="s">
        <v>83</v>
      </c>
    </row>
    <row r="97" spans="1:61" x14ac:dyDescent="0.35">
      <c r="A97">
        <v>96</v>
      </c>
      <c r="B97">
        <v>45840.134351851855</v>
      </c>
      <c r="C97" t="s">
        <v>782</v>
      </c>
      <c r="D97" t="s">
        <v>783</v>
      </c>
      <c r="E97" t="s">
        <v>63</v>
      </c>
      <c r="F97" t="s">
        <v>558</v>
      </c>
      <c r="G97" t="s">
        <v>784</v>
      </c>
      <c r="H97" t="s">
        <v>517</v>
      </c>
      <c r="I97" t="s">
        <v>518</v>
      </c>
      <c r="J97" t="s">
        <v>703</v>
      </c>
      <c r="K97" t="s">
        <v>785</v>
      </c>
      <c r="L97" t="s">
        <v>69</v>
      </c>
      <c r="M97" t="s">
        <v>69</v>
      </c>
      <c r="N97" t="s">
        <v>69</v>
      </c>
      <c r="O97" t="s">
        <v>69</v>
      </c>
      <c r="P97" t="s">
        <v>70</v>
      </c>
      <c r="Q97" t="s">
        <v>271</v>
      </c>
      <c r="R97" s="3" t="s">
        <v>561</v>
      </c>
      <c r="S97">
        <v>45</v>
      </c>
      <c r="T97" t="s">
        <v>197</v>
      </c>
      <c r="U97" t="s">
        <v>273</v>
      </c>
      <c r="V97" t="s">
        <v>110</v>
      </c>
      <c r="W97" t="s">
        <v>110</v>
      </c>
      <c r="X97">
        <v>4</v>
      </c>
      <c r="Y97">
        <v>4</v>
      </c>
      <c r="Z97">
        <v>3</v>
      </c>
      <c r="AA97">
        <v>3</v>
      </c>
      <c r="AB97">
        <v>3</v>
      </c>
      <c r="AC97">
        <v>3</v>
      </c>
      <c r="AD97">
        <v>4</v>
      </c>
      <c r="AE97">
        <v>4</v>
      </c>
      <c r="AF97">
        <v>4</v>
      </c>
      <c r="AG97">
        <v>4</v>
      </c>
      <c r="AH97">
        <v>3</v>
      </c>
      <c r="AI97">
        <v>4</v>
      </c>
      <c r="AJ97">
        <v>4</v>
      </c>
      <c r="AK97">
        <v>4</v>
      </c>
      <c r="AL97">
        <v>3</v>
      </c>
      <c r="AM97">
        <v>4</v>
      </c>
      <c r="AN97">
        <v>4</v>
      </c>
      <c r="AO97">
        <v>4</v>
      </c>
      <c r="AP97">
        <v>2</v>
      </c>
      <c r="AQ97">
        <v>3</v>
      </c>
      <c r="AR97" t="s">
        <v>75</v>
      </c>
      <c r="AS97">
        <v>2</v>
      </c>
      <c r="AT97">
        <v>3</v>
      </c>
      <c r="AU97" t="s">
        <v>75</v>
      </c>
      <c r="AV97">
        <v>2</v>
      </c>
      <c r="AW97">
        <v>3</v>
      </c>
      <c r="AX97" t="s">
        <v>75</v>
      </c>
      <c r="AY97" t="s">
        <v>276</v>
      </c>
      <c r="AZ97" t="s">
        <v>276</v>
      </c>
      <c r="BA97">
        <v>2</v>
      </c>
      <c r="BB97">
        <v>3</v>
      </c>
      <c r="BC97" t="s">
        <v>786</v>
      </c>
      <c r="BD97" t="s">
        <v>452</v>
      </c>
      <c r="BE97" t="s">
        <v>503</v>
      </c>
      <c r="BF97" t="s">
        <v>79</v>
      </c>
      <c r="BG97" t="s">
        <v>503</v>
      </c>
      <c r="BH97" t="s">
        <v>79</v>
      </c>
      <c r="BI97" t="s">
        <v>83</v>
      </c>
    </row>
    <row r="98" spans="1:61" x14ac:dyDescent="0.35">
      <c r="A98">
        <v>97</v>
      </c>
      <c r="B98">
        <v>45840.138460648152</v>
      </c>
      <c r="C98" t="s">
        <v>787</v>
      </c>
      <c r="D98" t="s">
        <v>788</v>
      </c>
      <c r="E98" t="s">
        <v>63</v>
      </c>
      <c r="F98" t="s">
        <v>240</v>
      </c>
      <c r="G98" t="s">
        <v>789</v>
      </c>
      <c r="H98" t="s">
        <v>517</v>
      </c>
      <c r="I98" t="s">
        <v>518</v>
      </c>
      <c r="J98" t="s">
        <v>703</v>
      </c>
      <c r="K98" t="s">
        <v>790</v>
      </c>
      <c r="L98" t="s">
        <v>69</v>
      </c>
      <c r="M98" t="s">
        <v>69</v>
      </c>
      <c r="N98" t="s">
        <v>69</v>
      </c>
      <c r="O98" t="s">
        <v>69</v>
      </c>
      <c r="P98" t="s">
        <v>106</v>
      </c>
      <c r="Q98" t="s">
        <v>292</v>
      </c>
      <c r="R98" s="3" t="s">
        <v>431</v>
      </c>
      <c r="S98">
        <v>19</v>
      </c>
      <c r="T98" t="s">
        <v>131</v>
      </c>
      <c r="U98" t="s">
        <v>73</v>
      </c>
      <c r="V98" t="s">
        <v>94</v>
      </c>
      <c r="W98" t="s">
        <v>95</v>
      </c>
      <c r="X98">
        <v>3</v>
      </c>
      <c r="Y98">
        <v>3</v>
      </c>
      <c r="Z98">
        <v>4</v>
      </c>
      <c r="AA98">
        <v>3</v>
      </c>
      <c r="AB98">
        <v>3</v>
      </c>
      <c r="AC98">
        <v>3</v>
      </c>
      <c r="AD98">
        <v>4</v>
      </c>
      <c r="AE98">
        <v>4</v>
      </c>
      <c r="AF98">
        <v>4</v>
      </c>
      <c r="AG98">
        <v>4</v>
      </c>
      <c r="AH98">
        <v>4</v>
      </c>
      <c r="AI98">
        <v>3</v>
      </c>
      <c r="AJ98">
        <v>4</v>
      </c>
      <c r="AK98">
        <v>4</v>
      </c>
      <c r="AL98">
        <v>4</v>
      </c>
      <c r="AM98">
        <v>4</v>
      </c>
      <c r="AN98">
        <v>4</v>
      </c>
      <c r="AO98">
        <v>3</v>
      </c>
      <c r="AP98">
        <v>2</v>
      </c>
      <c r="AQ98">
        <v>3</v>
      </c>
      <c r="AR98" t="s">
        <v>75</v>
      </c>
      <c r="AS98">
        <v>2</v>
      </c>
      <c r="AT98">
        <v>3</v>
      </c>
      <c r="AU98" t="s">
        <v>75</v>
      </c>
      <c r="AV98">
        <v>2</v>
      </c>
      <c r="AW98">
        <v>3</v>
      </c>
      <c r="AX98" t="s">
        <v>75</v>
      </c>
      <c r="AY98" t="s">
        <v>77</v>
      </c>
      <c r="AZ98" t="s">
        <v>77</v>
      </c>
      <c r="BA98">
        <v>1</v>
      </c>
      <c r="BB98">
        <v>4</v>
      </c>
      <c r="BC98" t="s">
        <v>503</v>
      </c>
      <c r="BD98" t="s">
        <v>79</v>
      </c>
      <c r="BE98" t="s">
        <v>503</v>
      </c>
      <c r="BF98" t="s">
        <v>79</v>
      </c>
      <c r="BG98" t="s">
        <v>503</v>
      </c>
      <c r="BH98" t="s">
        <v>79</v>
      </c>
      <c r="BI98" t="s">
        <v>83</v>
      </c>
    </row>
    <row r="99" spans="1:61" x14ac:dyDescent="0.35">
      <c r="A99">
        <v>98</v>
      </c>
      <c r="B99">
        <v>45840.141921296294</v>
      </c>
      <c r="C99" t="s">
        <v>791</v>
      </c>
      <c r="D99" t="s">
        <v>792</v>
      </c>
      <c r="E99" t="s">
        <v>63</v>
      </c>
      <c r="F99" t="s">
        <v>63</v>
      </c>
      <c r="G99" t="s">
        <v>793</v>
      </c>
      <c r="H99" t="s">
        <v>517</v>
      </c>
      <c r="I99" t="s">
        <v>518</v>
      </c>
      <c r="J99" t="s">
        <v>703</v>
      </c>
      <c r="K99" t="s">
        <v>794</v>
      </c>
      <c r="L99" t="s">
        <v>69</v>
      </c>
      <c r="M99" t="s">
        <v>69</v>
      </c>
      <c r="N99" t="s">
        <v>69</v>
      </c>
      <c r="O99" t="s">
        <v>69</v>
      </c>
      <c r="P99" t="s">
        <v>106</v>
      </c>
      <c r="Q99" t="s">
        <v>271</v>
      </c>
      <c r="R99" s="3" t="s">
        <v>130</v>
      </c>
      <c r="S99">
        <v>18</v>
      </c>
      <c r="T99" t="s">
        <v>131</v>
      </c>
      <c r="U99" t="s">
        <v>73</v>
      </c>
      <c r="V99" t="s">
        <v>94</v>
      </c>
      <c r="W99" t="s">
        <v>95</v>
      </c>
      <c r="X99">
        <v>4</v>
      </c>
      <c r="Y99">
        <v>4</v>
      </c>
      <c r="Z99">
        <v>4</v>
      </c>
      <c r="AA99">
        <v>4</v>
      </c>
      <c r="AB99">
        <v>3</v>
      </c>
      <c r="AC99">
        <v>4</v>
      </c>
      <c r="AD99">
        <v>4</v>
      </c>
      <c r="AE99">
        <v>4</v>
      </c>
      <c r="AF99">
        <v>4</v>
      </c>
      <c r="AG99">
        <v>4</v>
      </c>
      <c r="AH99">
        <v>3</v>
      </c>
      <c r="AI99">
        <v>4</v>
      </c>
      <c r="AJ99">
        <v>4</v>
      </c>
      <c r="AK99">
        <v>4</v>
      </c>
      <c r="AL99">
        <v>4</v>
      </c>
      <c r="AM99">
        <v>4</v>
      </c>
      <c r="AN99">
        <v>3</v>
      </c>
      <c r="AO99">
        <v>4</v>
      </c>
      <c r="AP99">
        <v>2</v>
      </c>
      <c r="AQ99">
        <v>3</v>
      </c>
      <c r="AR99" t="s">
        <v>75</v>
      </c>
      <c r="AS99">
        <v>2</v>
      </c>
      <c r="AT99">
        <v>3</v>
      </c>
      <c r="AU99" t="s">
        <v>75</v>
      </c>
      <c r="AV99">
        <v>2</v>
      </c>
      <c r="AW99">
        <v>3</v>
      </c>
      <c r="AX99" t="s">
        <v>75</v>
      </c>
      <c r="AY99" t="s">
        <v>795</v>
      </c>
      <c r="AZ99" t="s">
        <v>77</v>
      </c>
      <c r="BA99">
        <v>1</v>
      </c>
      <c r="BB99">
        <v>4</v>
      </c>
      <c r="BC99" t="s">
        <v>503</v>
      </c>
      <c r="BD99" t="s">
        <v>79</v>
      </c>
      <c r="BE99" t="s">
        <v>503</v>
      </c>
      <c r="BF99" t="s">
        <v>79</v>
      </c>
      <c r="BG99" t="s">
        <v>796</v>
      </c>
      <c r="BH99" t="s">
        <v>146</v>
      </c>
      <c r="BI99" t="s">
        <v>83</v>
      </c>
    </row>
    <row r="100" spans="1:61" x14ac:dyDescent="0.35">
      <c r="A100">
        <v>99</v>
      </c>
      <c r="B100">
        <v>45840.22184027778</v>
      </c>
      <c r="C100" t="s">
        <v>797</v>
      </c>
      <c r="D100" t="s">
        <v>798</v>
      </c>
      <c r="E100" t="s">
        <v>63</v>
      </c>
      <c r="F100" t="s">
        <v>179</v>
      </c>
      <c r="G100" t="s">
        <v>799</v>
      </c>
      <c r="H100" t="s">
        <v>242</v>
      </c>
      <c r="I100" t="s">
        <v>243</v>
      </c>
      <c r="J100" t="s">
        <v>639</v>
      </c>
      <c r="K100" t="s">
        <v>800</v>
      </c>
      <c r="L100" t="s">
        <v>69</v>
      </c>
      <c r="M100" t="s">
        <v>69</v>
      </c>
      <c r="N100" t="s">
        <v>69</v>
      </c>
      <c r="O100" t="s">
        <v>69</v>
      </c>
      <c r="P100" t="s">
        <v>106</v>
      </c>
      <c r="Q100" t="s">
        <v>107</v>
      </c>
      <c r="R100" s="3" t="s">
        <v>272</v>
      </c>
      <c r="S100">
        <v>43</v>
      </c>
      <c r="T100" t="s">
        <v>197</v>
      </c>
      <c r="U100" t="s">
        <v>254</v>
      </c>
      <c r="V100" t="s">
        <v>110</v>
      </c>
      <c r="W100" t="s">
        <v>110</v>
      </c>
      <c r="X100">
        <v>3</v>
      </c>
      <c r="Y100">
        <v>4</v>
      </c>
      <c r="Z100">
        <v>4</v>
      </c>
      <c r="AA100">
        <v>4</v>
      </c>
      <c r="AB100">
        <v>3</v>
      </c>
      <c r="AC100">
        <v>3</v>
      </c>
      <c r="AD100">
        <v>4</v>
      </c>
      <c r="AE100">
        <v>4</v>
      </c>
      <c r="AF100">
        <v>4</v>
      </c>
      <c r="AG100">
        <v>4</v>
      </c>
      <c r="AH100">
        <v>4</v>
      </c>
      <c r="AI100">
        <v>4</v>
      </c>
      <c r="AJ100">
        <v>4</v>
      </c>
      <c r="AK100">
        <v>4</v>
      </c>
      <c r="AL100">
        <v>4</v>
      </c>
      <c r="AM100">
        <v>4</v>
      </c>
      <c r="AN100">
        <v>3</v>
      </c>
      <c r="AO100">
        <v>4</v>
      </c>
      <c r="AQ100">
        <v>0</v>
      </c>
      <c r="AR100" t="s">
        <v>69</v>
      </c>
      <c r="AT100">
        <v>0</v>
      </c>
      <c r="AU100" t="s">
        <v>69</v>
      </c>
      <c r="AV100">
        <v>2</v>
      </c>
      <c r="AW100">
        <v>3</v>
      </c>
      <c r="AX100" t="s">
        <v>69</v>
      </c>
      <c r="AY100" t="s">
        <v>83</v>
      </c>
      <c r="AZ100" t="s">
        <v>96</v>
      </c>
      <c r="BA100">
        <v>0</v>
      </c>
      <c r="BB100">
        <v>0</v>
      </c>
      <c r="BC100" t="s">
        <v>801</v>
      </c>
      <c r="BD100" t="s">
        <v>79</v>
      </c>
      <c r="BE100" t="s">
        <v>248</v>
      </c>
      <c r="BF100" t="s">
        <v>79</v>
      </c>
      <c r="BG100" t="s">
        <v>802</v>
      </c>
      <c r="BH100" t="s">
        <v>79</v>
      </c>
      <c r="BI100" t="s">
        <v>278</v>
      </c>
    </row>
    <row r="101" spans="1:61" x14ac:dyDescent="0.35">
      <c r="A101">
        <v>100</v>
      </c>
      <c r="B101">
        <v>45840.22761574074</v>
      </c>
      <c r="C101" t="s">
        <v>803</v>
      </c>
      <c r="D101" t="s">
        <v>804</v>
      </c>
      <c r="E101" t="s">
        <v>63</v>
      </c>
      <c r="F101" t="s">
        <v>63</v>
      </c>
      <c r="G101" t="s">
        <v>805</v>
      </c>
      <c r="H101" t="s">
        <v>88</v>
      </c>
      <c r="I101" t="s">
        <v>89</v>
      </c>
      <c r="J101" t="s">
        <v>649</v>
      </c>
      <c r="K101" t="s">
        <v>806</v>
      </c>
      <c r="L101" t="s">
        <v>69</v>
      </c>
      <c r="M101" t="s">
        <v>69</v>
      </c>
      <c r="N101" t="s">
        <v>69</v>
      </c>
      <c r="O101" t="s">
        <v>69</v>
      </c>
      <c r="P101" t="s">
        <v>70</v>
      </c>
      <c r="Q101" t="s">
        <v>107</v>
      </c>
      <c r="R101" s="3" t="s">
        <v>807</v>
      </c>
      <c r="S101">
        <v>36</v>
      </c>
      <c r="T101" t="s">
        <v>153</v>
      </c>
      <c r="U101" t="s">
        <v>93</v>
      </c>
      <c r="V101" t="s">
        <v>74</v>
      </c>
      <c r="W101" t="s">
        <v>74</v>
      </c>
      <c r="X101">
        <v>3</v>
      </c>
      <c r="Y101">
        <v>3</v>
      </c>
      <c r="Z101">
        <v>3</v>
      </c>
      <c r="AA101">
        <v>3</v>
      </c>
      <c r="AB101">
        <v>3</v>
      </c>
      <c r="AC101">
        <v>3</v>
      </c>
      <c r="AD101">
        <v>0</v>
      </c>
      <c r="AE101">
        <v>0</v>
      </c>
      <c r="AF101">
        <v>3</v>
      </c>
      <c r="AG101">
        <v>3</v>
      </c>
      <c r="AH101">
        <v>2</v>
      </c>
      <c r="AI101">
        <v>4</v>
      </c>
      <c r="AJ101">
        <v>3</v>
      </c>
      <c r="AK101">
        <v>3</v>
      </c>
      <c r="AL101">
        <v>1</v>
      </c>
      <c r="AM101">
        <v>3</v>
      </c>
      <c r="AN101">
        <v>2</v>
      </c>
      <c r="AO101">
        <v>3</v>
      </c>
      <c r="AQ101">
        <v>0</v>
      </c>
      <c r="AR101" t="s">
        <v>69</v>
      </c>
      <c r="AT101">
        <v>0</v>
      </c>
      <c r="AU101" t="s">
        <v>69</v>
      </c>
      <c r="AV101">
        <v>3</v>
      </c>
      <c r="AW101">
        <v>2</v>
      </c>
      <c r="AX101" t="s">
        <v>75</v>
      </c>
      <c r="AY101" t="s">
        <v>808</v>
      </c>
      <c r="AZ101" t="s">
        <v>186</v>
      </c>
      <c r="BA101">
        <v>0</v>
      </c>
      <c r="BB101">
        <v>0</v>
      </c>
      <c r="BC101" t="s">
        <v>809</v>
      </c>
      <c r="BD101" t="s">
        <v>452</v>
      </c>
      <c r="BE101" t="s">
        <v>810</v>
      </c>
      <c r="BF101" t="s">
        <v>811</v>
      </c>
      <c r="BG101" t="s">
        <v>812</v>
      </c>
      <c r="BH101" t="s">
        <v>813</v>
      </c>
      <c r="BI101" t="s">
        <v>814</v>
      </c>
    </row>
    <row r="102" spans="1:61" x14ac:dyDescent="0.35">
      <c r="A102">
        <v>101</v>
      </c>
      <c r="B102">
        <v>45840.23232638889</v>
      </c>
      <c r="C102" t="s">
        <v>815</v>
      </c>
      <c r="D102" t="s">
        <v>816</v>
      </c>
      <c r="E102" t="s">
        <v>63</v>
      </c>
      <c r="F102" t="s">
        <v>416</v>
      </c>
      <c r="G102" t="s">
        <v>817</v>
      </c>
      <c r="H102" t="s">
        <v>88</v>
      </c>
      <c r="I102" t="s">
        <v>89</v>
      </c>
      <c r="J102" t="s">
        <v>649</v>
      </c>
      <c r="K102" t="s">
        <v>818</v>
      </c>
      <c r="L102" t="s">
        <v>69</v>
      </c>
      <c r="M102" t="s">
        <v>69</v>
      </c>
      <c r="N102" t="s">
        <v>69</v>
      </c>
      <c r="O102" t="s">
        <v>69</v>
      </c>
      <c r="P102" t="s">
        <v>70</v>
      </c>
      <c r="Q102" t="s">
        <v>271</v>
      </c>
      <c r="R102" s="3" t="s">
        <v>499</v>
      </c>
      <c r="S102">
        <v>22</v>
      </c>
      <c r="T102" t="s">
        <v>72</v>
      </c>
      <c r="U102" t="s">
        <v>93</v>
      </c>
      <c r="V102" t="s">
        <v>819</v>
      </c>
      <c r="W102" t="s">
        <v>133</v>
      </c>
      <c r="X102">
        <v>3</v>
      </c>
      <c r="Y102">
        <v>4</v>
      </c>
      <c r="Z102">
        <v>3</v>
      </c>
      <c r="AA102">
        <v>4</v>
      </c>
      <c r="AB102">
        <v>4</v>
      </c>
      <c r="AC102">
        <v>4</v>
      </c>
      <c r="AD102">
        <v>4</v>
      </c>
      <c r="AE102">
        <v>0</v>
      </c>
      <c r="AF102">
        <v>3</v>
      </c>
      <c r="AG102">
        <v>4</v>
      </c>
      <c r="AH102">
        <v>4</v>
      </c>
      <c r="AI102">
        <v>4</v>
      </c>
      <c r="AJ102">
        <v>4</v>
      </c>
      <c r="AK102">
        <v>4</v>
      </c>
      <c r="AL102">
        <v>3</v>
      </c>
      <c r="AM102">
        <v>4</v>
      </c>
      <c r="AN102">
        <v>3</v>
      </c>
      <c r="AO102">
        <v>3</v>
      </c>
      <c r="AP102">
        <v>1</v>
      </c>
      <c r="AQ102">
        <v>4</v>
      </c>
      <c r="AR102" t="s">
        <v>69</v>
      </c>
      <c r="AT102">
        <v>0</v>
      </c>
      <c r="AU102" t="s">
        <v>69</v>
      </c>
      <c r="AW102">
        <v>0</v>
      </c>
      <c r="AX102" t="s">
        <v>69</v>
      </c>
      <c r="AY102" t="s">
        <v>83</v>
      </c>
      <c r="AZ102" t="s">
        <v>96</v>
      </c>
      <c r="BA102">
        <v>0</v>
      </c>
      <c r="BB102">
        <v>0</v>
      </c>
      <c r="BC102" t="s">
        <v>820</v>
      </c>
      <c r="BD102" t="s">
        <v>227</v>
      </c>
      <c r="BE102" t="s">
        <v>98</v>
      </c>
      <c r="BF102" t="s">
        <v>99</v>
      </c>
      <c r="BG102" t="s">
        <v>821</v>
      </c>
      <c r="BH102" t="s">
        <v>146</v>
      </c>
      <c r="BI102" t="s">
        <v>98</v>
      </c>
    </row>
    <row r="103" spans="1:61" x14ac:dyDescent="0.35">
      <c r="A103">
        <v>102</v>
      </c>
      <c r="B103">
        <v>45840.235069444447</v>
      </c>
      <c r="C103" t="s">
        <v>822</v>
      </c>
      <c r="D103" t="s">
        <v>823</v>
      </c>
      <c r="E103" t="s">
        <v>63</v>
      </c>
      <c r="F103" t="s">
        <v>179</v>
      </c>
      <c r="G103" t="s">
        <v>824</v>
      </c>
      <c r="H103" t="s">
        <v>88</v>
      </c>
      <c r="I103" t="s">
        <v>89</v>
      </c>
      <c r="J103" t="s">
        <v>649</v>
      </c>
      <c r="K103" t="s">
        <v>825</v>
      </c>
      <c r="L103" t="s">
        <v>69</v>
      </c>
      <c r="M103" t="s">
        <v>69</v>
      </c>
      <c r="N103" t="s">
        <v>69</v>
      </c>
      <c r="O103" t="s">
        <v>69</v>
      </c>
      <c r="P103" t="s">
        <v>106</v>
      </c>
      <c r="Q103" t="s">
        <v>271</v>
      </c>
      <c r="R103" s="3" t="s">
        <v>826</v>
      </c>
      <c r="S103">
        <v>44</v>
      </c>
      <c r="T103" t="s">
        <v>197</v>
      </c>
      <c r="U103" t="s">
        <v>273</v>
      </c>
      <c r="V103" t="s">
        <v>74</v>
      </c>
      <c r="W103" t="s">
        <v>74</v>
      </c>
      <c r="X103">
        <v>3</v>
      </c>
      <c r="Y103">
        <v>3</v>
      </c>
      <c r="Z103">
        <v>3</v>
      </c>
      <c r="AA103">
        <v>3</v>
      </c>
      <c r="AB103">
        <v>3</v>
      </c>
      <c r="AC103">
        <v>3</v>
      </c>
      <c r="AD103">
        <v>3</v>
      </c>
      <c r="AE103">
        <v>3</v>
      </c>
      <c r="AF103">
        <v>3</v>
      </c>
      <c r="AG103">
        <v>3</v>
      </c>
      <c r="AH103">
        <v>3</v>
      </c>
      <c r="AI103">
        <v>3</v>
      </c>
      <c r="AJ103">
        <v>3</v>
      </c>
      <c r="AK103">
        <v>3</v>
      </c>
      <c r="AL103">
        <v>3</v>
      </c>
      <c r="AM103">
        <v>3</v>
      </c>
      <c r="AN103">
        <v>3</v>
      </c>
      <c r="AO103">
        <v>3</v>
      </c>
      <c r="AQ103">
        <v>0</v>
      </c>
      <c r="AR103" t="s">
        <v>69</v>
      </c>
      <c r="AT103">
        <v>0</v>
      </c>
      <c r="AU103" t="s">
        <v>69</v>
      </c>
      <c r="AV103">
        <v>2</v>
      </c>
      <c r="AW103">
        <v>3</v>
      </c>
      <c r="AX103" t="s">
        <v>69</v>
      </c>
      <c r="AY103" t="s">
        <v>83</v>
      </c>
      <c r="AZ103" t="s">
        <v>96</v>
      </c>
      <c r="BA103">
        <v>0</v>
      </c>
      <c r="BB103">
        <v>0</v>
      </c>
      <c r="BC103" t="s">
        <v>827</v>
      </c>
      <c r="BD103" t="s">
        <v>235</v>
      </c>
      <c r="BE103" t="s">
        <v>98</v>
      </c>
      <c r="BF103" t="s">
        <v>99</v>
      </c>
      <c r="BG103" t="s">
        <v>98</v>
      </c>
      <c r="BH103" t="s">
        <v>99</v>
      </c>
      <c r="BI103" t="s">
        <v>98</v>
      </c>
    </row>
    <row r="104" spans="1:61" x14ac:dyDescent="0.35">
      <c r="A104">
        <v>103</v>
      </c>
      <c r="B104">
        <v>45840.237719907411</v>
      </c>
      <c r="C104" t="s">
        <v>828</v>
      </c>
      <c r="D104" t="s">
        <v>829</v>
      </c>
      <c r="E104" t="s">
        <v>63</v>
      </c>
      <c r="F104" t="s">
        <v>179</v>
      </c>
      <c r="G104" t="s">
        <v>830</v>
      </c>
      <c r="H104" t="s">
        <v>242</v>
      </c>
      <c r="I104" t="s">
        <v>243</v>
      </c>
      <c r="J104" t="s">
        <v>639</v>
      </c>
      <c r="K104" t="s">
        <v>252</v>
      </c>
      <c r="L104" t="s">
        <v>69</v>
      </c>
      <c r="M104" t="s">
        <v>69</v>
      </c>
      <c r="N104" t="s">
        <v>69</v>
      </c>
      <c r="O104" t="s">
        <v>69</v>
      </c>
      <c r="P104" t="s">
        <v>106</v>
      </c>
      <c r="Q104" t="s">
        <v>107</v>
      </c>
      <c r="R104" s="3" t="s">
        <v>831</v>
      </c>
      <c r="S104">
        <v>59</v>
      </c>
      <c r="T104" t="s">
        <v>182</v>
      </c>
      <c r="U104" t="s">
        <v>254</v>
      </c>
      <c r="V104" t="s">
        <v>110</v>
      </c>
      <c r="W104" t="s">
        <v>110</v>
      </c>
      <c r="X104">
        <v>3</v>
      </c>
      <c r="Y104">
        <v>3</v>
      </c>
      <c r="Z104">
        <v>3</v>
      </c>
      <c r="AA104">
        <v>3</v>
      </c>
      <c r="AB104">
        <v>3</v>
      </c>
      <c r="AC104">
        <v>3</v>
      </c>
      <c r="AD104">
        <v>0</v>
      </c>
      <c r="AE104">
        <v>0</v>
      </c>
      <c r="AF104">
        <v>3</v>
      </c>
      <c r="AG104">
        <v>4</v>
      </c>
      <c r="AH104">
        <v>3</v>
      </c>
      <c r="AI104">
        <v>4</v>
      </c>
      <c r="AJ104">
        <v>3</v>
      </c>
      <c r="AK104">
        <v>4</v>
      </c>
      <c r="AL104">
        <v>3</v>
      </c>
      <c r="AM104">
        <v>4</v>
      </c>
      <c r="AN104">
        <v>3</v>
      </c>
      <c r="AO104">
        <v>4</v>
      </c>
      <c r="AQ104">
        <v>0</v>
      </c>
      <c r="AR104" t="s">
        <v>75</v>
      </c>
      <c r="AT104">
        <v>0</v>
      </c>
      <c r="AU104" t="s">
        <v>69</v>
      </c>
      <c r="AW104">
        <v>0</v>
      </c>
      <c r="AX104" t="s">
        <v>69</v>
      </c>
      <c r="AY104" t="s">
        <v>832</v>
      </c>
      <c r="AZ104" t="s">
        <v>144</v>
      </c>
      <c r="BA104">
        <v>2</v>
      </c>
      <c r="BB104">
        <v>3</v>
      </c>
      <c r="BC104" t="s">
        <v>833</v>
      </c>
      <c r="BD104" t="s">
        <v>235</v>
      </c>
      <c r="BE104" t="s">
        <v>278</v>
      </c>
      <c r="BF104" t="s">
        <v>79</v>
      </c>
      <c r="BG104" t="s">
        <v>802</v>
      </c>
      <c r="BH104" t="s">
        <v>79</v>
      </c>
      <c r="BI104" t="s">
        <v>834</v>
      </c>
    </row>
    <row r="105" spans="1:61" x14ac:dyDescent="0.35">
      <c r="A105">
        <v>104</v>
      </c>
      <c r="B105">
        <v>45840.238819444443</v>
      </c>
      <c r="C105" t="s">
        <v>835</v>
      </c>
      <c r="D105" t="s">
        <v>836</v>
      </c>
      <c r="E105" t="s">
        <v>63</v>
      </c>
      <c r="F105" t="s">
        <v>179</v>
      </c>
      <c r="G105" t="s">
        <v>837</v>
      </c>
      <c r="H105" t="s">
        <v>88</v>
      </c>
      <c r="I105" t="s">
        <v>89</v>
      </c>
      <c r="J105" t="s">
        <v>649</v>
      </c>
      <c r="K105" t="s">
        <v>838</v>
      </c>
      <c r="L105" t="s">
        <v>69</v>
      </c>
      <c r="M105" t="s">
        <v>69</v>
      </c>
      <c r="N105" t="s">
        <v>69</v>
      </c>
      <c r="O105" t="s">
        <v>69</v>
      </c>
      <c r="P105" t="s">
        <v>106</v>
      </c>
      <c r="Q105" t="s">
        <v>271</v>
      </c>
      <c r="R105" s="3" t="s">
        <v>431</v>
      </c>
      <c r="S105">
        <v>19</v>
      </c>
      <c r="T105" t="s">
        <v>131</v>
      </c>
      <c r="U105" t="s">
        <v>73</v>
      </c>
      <c r="V105" t="s">
        <v>839</v>
      </c>
      <c r="W105" t="s">
        <v>133</v>
      </c>
      <c r="X105">
        <v>4</v>
      </c>
      <c r="Y105">
        <v>4</v>
      </c>
      <c r="Z105">
        <v>4</v>
      </c>
      <c r="AA105">
        <v>4</v>
      </c>
      <c r="AB105">
        <v>3</v>
      </c>
      <c r="AC105">
        <v>4</v>
      </c>
      <c r="AD105">
        <v>4</v>
      </c>
      <c r="AE105">
        <v>4</v>
      </c>
      <c r="AF105">
        <v>4</v>
      </c>
      <c r="AG105">
        <v>4</v>
      </c>
      <c r="AH105">
        <v>3</v>
      </c>
      <c r="AI105">
        <v>4</v>
      </c>
      <c r="AJ105">
        <v>4</v>
      </c>
      <c r="AK105">
        <v>4</v>
      </c>
      <c r="AL105">
        <v>4</v>
      </c>
      <c r="AM105">
        <v>4</v>
      </c>
      <c r="AN105">
        <v>4</v>
      </c>
      <c r="AO105">
        <v>4</v>
      </c>
      <c r="AQ105">
        <v>0</v>
      </c>
      <c r="AR105" t="s">
        <v>69</v>
      </c>
      <c r="AT105">
        <v>0</v>
      </c>
      <c r="AU105" t="s">
        <v>69</v>
      </c>
      <c r="AW105">
        <v>0</v>
      </c>
      <c r="AX105" t="s">
        <v>75</v>
      </c>
      <c r="AY105" t="s">
        <v>840</v>
      </c>
      <c r="AZ105" t="s">
        <v>77</v>
      </c>
      <c r="BA105">
        <v>1</v>
      </c>
      <c r="BB105">
        <v>4</v>
      </c>
      <c r="BC105" t="s">
        <v>841</v>
      </c>
      <c r="BD105" t="s">
        <v>112</v>
      </c>
      <c r="BE105" t="s">
        <v>98</v>
      </c>
      <c r="BF105" t="s">
        <v>99</v>
      </c>
      <c r="BG105" t="s">
        <v>98</v>
      </c>
      <c r="BH105" t="s">
        <v>99</v>
      </c>
      <c r="BI105" t="s">
        <v>98</v>
      </c>
    </row>
    <row r="106" spans="1:61" x14ac:dyDescent="0.35">
      <c r="A106">
        <v>105</v>
      </c>
      <c r="B106">
        <v>45840.241064814814</v>
      </c>
      <c r="C106" t="s">
        <v>842</v>
      </c>
      <c r="D106" t="s">
        <v>843</v>
      </c>
      <c r="E106" t="s">
        <v>63</v>
      </c>
      <c r="F106" t="s">
        <v>240</v>
      </c>
      <c r="G106" t="s">
        <v>844</v>
      </c>
      <c r="H106" t="s">
        <v>459</v>
      </c>
      <c r="I106" t="s">
        <v>439</v>
      </c>
      <c r="J106" t="s">
        <v>67</v>
      </c>
      <c r="K106" t="s">
        <v>845</v>
      </c>
      <c r="L106" t="s">
        <v>69</v>
      </c>
      <c r="M106" t="s">
        <v>69</v>
      </c>
      <c r="N106" t="s">
        <v>69</v>
      </c>
      <c r="O106" t="s">
        <v>69</v>
      </c>
      <c r="P106" t="s">
        <v>70</v>
      </c>
      <c r="Q106" t="s">
        <v>107</v>
      </c>
      <c r="R106" s="3" t="s">
        <v>91</v>
      </c>
      <c r="S106">
        <v>27</v>
      </c>
      <c r="T106" t="s">
        <v>92</v>
      </c>
      <c r="U106" t="s">
        <v>73</v>
      </c>
      <c r="V106" t="s">
        <v>110</v>
      </c>
      <c r="W106" t="s">
        <v>110</v>
      </c>
      <c r="X106">
        <v>3</v>
      </c>
      <c r="Y106">
        <v>4</v>
      </c>
      <c r="Z106">
        <v>3</v>
      </c>
      <c r="AA106">
        <v>4</v>
      </c>
      <c r="AB106">
        <v>4</v>
      </c>
      <c r="AC106">
        <v>4</v>
      </c>
      <c r="AD106">
        <v>0</v>
      </c>
      <c r="AE106">
        <v>0</v>
      </c>
      <c r="AF106">
        <v>4</v>
      </c>
      <c r="AG106">
        <v>4</v>
      </c>
      <c r="AH106">
        <v>4</v>
      </c>
      <c r="AI106">
        <v>4</v>
      </c>
      <c r="AJ106">
        <v>3</v>
      </c>
      <c r="AK106">
        <v>4</v>
      </c>
      <c r="AL106">
        <v>2</v>
      </c>
      <c r="AM106">
        <v>2</v>
      </c>
      <c r="AN106">
        <v>3</v>
      </c>
      <c r="AO106">
        <v>3</v>
      </c>
      <c r="AQ106">
        <v>0</v>
      </c>
      <c r="AR106" t="s">
        <v>75</v>
      </c>
      <c r="AT106">
        <v>0</v>
      </c>
      <c r="AU106" t="s">
        <v>69</v>
      </c>
      <c r="AW106">
        <v>0</v>
      </c>
      <c r="AX106" t="s">
        <v>69</v>
      </c>
      <c r="AY106" t="s">
        <v>846</v>
      </c>
      <c r="AZ106" t="s">
        <v>186</v>
      </c>
      <c r="BA106">
        <v>2</v>
      </c>
      <c r="BB106">
        <v>3</v>
      </c>
      <c r="BC106" t="s">
        <v>847</v>
      </c>
      <c r="BD106" t="s">
        <v>433</v>
      </c>
      <c r="BE106" t="s">
        <v>503</v>
      </c>
      <c r="BF106" t="s">
        <v>79</v>
      </c>
      <c r="BG106" t="s">
        <v>503</v>
      </c>
      <c r="BH106" t="s">
        <v>79</v>
      </c>
      <c r="BI106" t="s">
        <v>83</v>
      </c>
    </row>
    <row r="107" spans="1:61" x14ac:dyDescent="0.35">
      <c r="A107">
        <v>106</v>
      </c>
      <c r="B107">
        <v>45840.242129629631</v>
      </c>
      <c r="C107" t="s">
        <v>848</v>
      </c>
      <c r="D107" t="s">
        <v>849</v>
      </c>
      <c r="E107" t="s">
        <v>63</v>
      </c>
      <c r="F107" t="s">
        <v>338</v>
      </c>
      <c r="G107" t="s">
        <v>850</v>
      </c>
      <c r="H107" t="s">
        <v>88</v>
      </c>
      <c r="I107" t="s">
        <v>89</v>
      </c>
      <c r="J107" t="s">
        <v>649</v>
      </c>
      <c r="K107" t="s">
        <v>775</v>
      </c>
      <c r="L107" t="s">
        <v>69</v>
      </c>
      <c r="M107" t="s">
        <v>69</v>
      </c>
      <c r="N107" t="s">
        <v>69</v>
      </c>
      <c r="O107" t="s">
        <v>69</v>
      </c>
      <c r="P107" t="s">
        <v>106</v>
      </c>
      <c r="Q107" t="s">
        <v>292</v>
      </c>
      <c r="R107" s="3" t="s">
        <v>130</v>
      </c>
      <c r="S107">
        <v>18</v>
      </c>
      <c r="T107" t="s">
        <v>131</v>
      </c>
      <c r="U107" t="s">
        <v>73</v>
      </c>
      <c r="V107" t="s">
        <v>851</v>
      </c>
      <c r="W107" t="s">
        <v>133</v>
      </c>
      <c r="X107">
        <v>4</v>
      </c>
      <c r="Y107">
        <v>4</v>
      </c>
      <c r="Z107">
        <v>4</v>
      </c>
      <c r="AA107">
        <v>3</v>
      </c>
      <c r="AB107">
        <v>3</v>
      </c>
      <c r="AC107">
        <v>3</v>
      </c>
      <c r="AD107">
        <v>3</v>
      </c>
      <c r="AE107">
        <v>3</v>
      </c>
      <c r="AF107">
        <v>3</v>
      </c>
      <c r="AG107">
        <v>4</v>
      </c>
      <c r="AH107">
        <v>4</v>
      </c>
      <c r="AI107">
        <v>3</v>
      </c>
      <c r="AJ107">
        <v>4</v>
      </c>
      <c r="AK107">
        <v>4</v>
      </c>
      <c r="AL107">
        <v>3</v>
      </c>
      <c r="AM107">
        <v>3</v>
      </c>
      <c r="AN107">
        <v>3</v>
      </c>
      <c r="AO107">
        <v>3</v>
      </c>
      <c r="AQ107">
        <v>0</v>
      </c>
      <c r="AR107" t="s">
        <v>69</v>
      </c>
      <c r="AT107">
        <v>0</v>
      </c>
      <c r="AU107" t="s">
        <v>69</v>
      </c>
      <c r="AV107">
        <v>1</v>
      </c>
      <c r="AW107">
        <v>4</v>
      </c>
      <c r="AX107" t="s">
        <v>69</v>
      </c>
      <c r="AY107" t="s">
        <v>83</v>
      </c>
      <c r="AZ107" t="s">
        <v>96</v>
      </c>
      <c r="BA107">
        <v>0</v>
      </c>
      <c r="BB107">
        <v>0</v>
      </c>
      <c r="BC107" t="s">
        <v>98</v>
      </c>
      <c r="BD107" t="s">
        <v>99</v>
      </c>
      <c r="BE107" t="s">
        <v>98</v>
      </c>
      <c r="BF107" t="s">
        <v>99</v>
      </c>
      <c r="BG107" t="s">
        <v>98</v>
      </c>
      <c r="BH107" t="s">
        <v>99</v>
      </c>
      <c r="BI107" t="s">
        <v>98</v>
      </c>
    </row>
    <row r="108" spans="1:61" x14ac:dyDescent="0.35">
      <c r="A108">
        <v>107</v>
      </c>
      <c r="B108">
        <v>45840.244479166664</v>
      </c>
      <c r="C108" t="s">
        <v>852</v>
      </c>
      <c r="D108" t="s">
        <v>853</v>
      </c>
      <c r="E108" t="s">
        <v>63</v>
      </c>
      <c r="F108" t="s">
        <v>125</v>
      </c>
      <c r="G108" t="s">
        <v>854</v>
      </c>
      <c r="H108" t="s">
        <v>459</v>
      </c>
      <c r="I108" t="s">
        <v>439</v>
      </c>
      <c r="J108" t="s">
        <v>67</v>
      </c>
      <c r="K108" t="s">
        <v>855</v>
      </c>
      <c r="L108" t="s">
        <v>69</v>
      </c>
      <c r="M108" t="s">
        <v>69</v>
      </c>
      <c r="N108" t="s">
        <v>69</v>
      </c>
      <c r="O108" t="s">
        <v>69</v>
      </c>
      <c r="P108" t="s">
        <v>106</v>
      </c>
      <c r="Q108" t="s">
        <v>107</v>
      </c>
      <c r="R108" s="3" t="s">
        <v>492</v>
      </c>
      <c r="S108">
        <v>24</v>
      </c>
      <c r="T108" t="s">
        <v>72</v>
      </c>
      <c r="U108" t="s">
        <v>73</v>
      </c>
      <c r="V108" t="s">
        <v>74</v>
      </c>
      <c r="W108" t="s">
        <v>74</v>
      </c>
      <c r="X108">
        <v>4</v>
      </c>
      <c r="Y108">
        <v>3</v>
      </c>
      <c r="Z108">
        <v>3</v>
      </c>
      <c r="AA108">
        <v>3</v>
      </c>
      <c r="AB108">
        <v>4</v>
      </c>
      <c r="AC108">
        <v>4</v>
      </c>
      <c r="AD108">
        <v>0</v>
      </c>
      <c r="AE108">
        <v>0</v>
      </c>
      <c r="AF108">
        <v>4</v>
      </c>
      <c r="AG108">
        <v>4</v>
      </c>
      <c r="AH108">
        <v>4</v>
      </c>
      <c r="AI108">
        <v>4</v>
      </c>
      <c r="AJ108">
        <v>4</v>
      </c>
      <c r="AK108">
        <v>4</v>
      </c>
      <c r="AL108">
        <v>4</v>
      </c>
      <c r="AM108">
        <v>4</v>
      </c>
      <c r="AN108">
        <v>4</v>
      </c>
      <c r="AO108">
        <v>4</v>
      </c>
      <c r="AQ108">
        <v>0</v>
      </c>
      <c r="AR108" t="s">
        <v>69</v>
      </c>
      <c r="AS108">
        <v>2</v>
      </c>
      <c r="AT108">
        <v>3</v>
      </c>
      <c r="AU108" t="s">
        <v>69</v>
      </c>
      <c r="AW108">
        <v>0</v>
      </c>
      <c r="AX108" t="s">
        <v>69</v>
      </c>
      <c r="AY108" t="s">
        <v>83</v>
      </c>
      <c r="AZ108" t="s">
        <v>96</v>
      </c>
      <c r="BA108">
        <v>0</v>
      </c>
      <c r="BB108">
        <v>0</v>
      </c>
      <c r="BC108" t="s">
        <v>503</v>
      </c>
      <c r="BD108" t="s">
        <v>79</v>
      </c>
      <c r="BE108" t="s">
        <v>856</v>
      </c>
      <c r="BF108" t="s">
        <v>112</v>
      </c>
      <c r="BG108" t="s">
        <v>857</v>
      </c>
      <c r="BH108" t="s">
        <v>79</v>
      </c>
      <c r="BI108" t="s">
        <v>83</v>
      </c>
    </row>
    <row r="109" spans="1:61" x14ac:dyDescent="0.35">
      <c r="A109">
        <v>108</v>
      </c>
      <c r="B109">
        <v>45840.244780092595</v>
      </c>
      <c r="C109" t="s">
        <v>858</v>
      </c>
      <c r="D109" t="s">
        <v>859</v>
      </c>
      <c r="E109" t="s">
        <v>63</v>
      </c>
      <c r="F109" t="s">
        <v>63</v>
      </c>
      <c r="G109" t="s">
        <v>860</v>
      </c>
      <c r="H109" t="s">
        <v>861</v>
      </c>
      <c r="I109" t="s">
        <v>89</v>
      </c>
      <c r="J109" t="s">
        <v>862</v>
      </c>
      <c r="K109" t="s">
        <v>612</v>
      </c>
      <c r="L109" t="s">
        <v>69</v>
      </c>
      <c r="M109" t="s">
        <v>69</v>
      </c>
      <c r="N109" t="s">
        <v>69</v>
      </c>
      <c r="O109" t="s">
        <v>69</v>
      </c>
      <c r="P109" t="s">
        <v>106</v>
      </c>
      <c r="Q109" t="s">
        <v>292</v>
      </c>
      <c r="R109" s="3" t="s">
        <v>431</v>
      </c>
      <c r="S109">
        <v>19</v>
      </c>
      <c r="T109" t="s">
        <v>131</v>
      </c>
      <c r="U109" t="s">
        <v>73</v>
      </c>
      <c r="V109" t="s">
        <v>94</v>
      </c>
      <c r="W109" t="s">
        <v>95</v>
      </c>
      <c r="X109">
        <v>3</v>
      </c>
      <c r="Y109">
        <v>3</v>
      </c>
      <c r="Z109">
        <v>3</v>
      </c>
      <c r="AA109">
        <v>3</v>
      </c>
      <c r="AB109">
        <v>3</v>
      </c>
      <c r="AC109">
        <v>3</v>
      </c>
      <c r="AD109">
        <v>3</v>
      </c>
      <c r="AE109">
        <v>3</v>
      </c>
      <c r="AF109">
        <v>3</v>
      </c>
      <c r="AG109">
        <v>3</v>
      </c>
      <c r="AH109">
        <v>3</v>
      </c>
      <c r="AI109">
        <v>3</v>
      </c>
      <c r="AJ109">
        <v>3</v>
      </c>
      <c r="AK109">
        <v>3</v>
      </c>
      <c r="AL109">
        <v>3</v>
      </c>
      <c r="AM109">
        <v>3</v>
      </c>
      <c r="AN109">
        <v>3</v>
      </c>
      <c r="AO109">
        <v>3</v>
      </c>
      <c r="AQ109">
        <v>0</v>
      </c>
      <c r="AR109" t="s">
        <v>69</v>
      </c>
      <c r="AT109">
        <v>0</v>
      </c>
      <c r="AU109" t="s">
        <v>69</v>
      </c>
      <c r="AW109">
        <v>0</v>
      </c>
      <c r="AX109" t="s">
        <v>69</v>
      </c>
      <c r="AY109" t="s">
        <v>144</v>
      </c>
      <c r="AZ109" t="s">
        <v>144</v>
      </c>
      <c r="BA109">
        <v>2</v>
      </c>
      <c r="BB109">
        <v>3</v>
      </c>
      <c r="BC109" t="s">
        <v>98</v>
      </c>
      <c r="BD109" t="s">
        <v>99</v>
      </c>
      <c r="BE109" t="s">
        <v>98</v>
      </c>
      <c r="BF109" t="s">
        <v>99</v>
      </c>
      <c r="BG109" t="s">
        <v>863</v>
      </c>
      <c r="BH109" t="s">
        <v>146</v>
      </c>
      <c r="BI109" t="s">
        <v>98</v>
      </c>
    </row>
    <row r="110" spans="1:61" x14ac:dyDescent="0.35">
      <c r="A110">
        <v>109</v>
      </c>
      <c r="B110">
        <v>45840.248206018521</v>
      </c>
      <c r="C110" t="s">
        <v>864</v>
      </c>
      <c r="D110" t="s">
        <v>865</v>
      </c>
      <c r="E110" t="s">
        <v>63</v>
      </c>
      <c r="F110" t="s">
        <v>125</v>
      </c>
      <c r="G110" t="s">
        <v>866</v>
      </c>
      <c r="H110" t="s">
        <v>459</v>
      </c>
      <c r="I110" t="s">
        <v>439</v>
      </c>
      <c r="J110" t="s">
        <v>649</v>
      </c>
      <c r="K110" t="s">
        <v>867</v>
      </c>
      <c r="L110" t="s">
        <v>69</v>
      </c>
      <c r="M110" t="s">
        <v>69</v>
      </c>
      <c r="N110" t="s">
        <v>69</v>
      </c>
      <c r="O110" t="s">
        <v>69</v>
      </c>
      <c r="P110" t="s">
        <v>106</v>
      </c>
      <c r="Q110" t="s">
        <v>107</v>
      </c>
      <c r="R110" s="3" t="s">
        <v>868</v>
      </c>
      <c r="S110">
        <v>33</v>
      </c>
      <c r="T110" t="s">
        <v>109</v>
      </c>
      <c r="U110" t="s">
        <v>73</v>
      </c>
      <c r="V110" t="s">
        <v>74</v>
      </c>
      <c r="W110" t="s">
        <v>74</v>
      </c>
      <c r="X110">
        <v>3</v>
      </c>
      <c r="Y110">
        <v>4</v>
      </c>
      <c r="Z110">
        <v>4</v>
      </c>
      <c r="AA110">
        <v>4</v>
      </c>
      <c r="AB110">
        <v>4</v>
      </c>
      <c r="AC110">
        <v>4</v>
      </c>
      <c r="AD110">
        <v>0</v>
      </c>
      <c r="AE110">
        <v>0</v>
      </c>
      <c r="AF110">
        <v>4</v>
      </c>
      <c r="AG110">
        <v>4</v>
      </c>
      <c r="AH110">
        <v>4</v>
      </c>
      <c r="AI110">
        <v>4</v>
      </c>
      <c r="AJ110">
        <v>4</v>
      </c>
      <c r="AK110">
        <v>4</v>
      </c>
      <c r="AL110">
        <v>3</v>
      </c>
      <c r="AM110">
        <v>3</v>
      </c>
      <c r="AN110">
        <v>3</v>
      </c>
      <c r="AO110">
        <v>3</v>
      </c>
      <c r="AP110">
        <v>1</v>
      </c>
      <c r="AQ110">
        <v>4</v>
      </c>
      <c r="AR110" t="s">
        <v>69</v>
      </c>
      <c r="AT110">
        <v>0</v>
      </c>
      <c r="AU110" t="s">
        <v>69</v>
      </c>
      <c r="AW110">
        <v>0</v>
      </c>
      <c r="AX110" t="s">
        <v>75</v>
      </c>
      <c r="AY110" t="s">
        <v>83</v>
      </c>
      <c r="AZ110" t="s">
        <v>96</v>
      </c>
      <c r="BA110">
        <v>0</v>
      </c>
      <c r="BB110">
        <v>0</v>
      </c>
      <c r="BC110" t="s">
        <v>248</v>
      </c>
      <c r="BD110" t="s">
        <v>79</v>
      </c>
      <c r="BE110" t="s">
        <v>248</v>
      </c>
      <c r="BF110" t="s">
        <v>79</v>
      </c>
      <c r="BG110" t="s">
        <v>442</v>
      </c>
      <c r="BH110" t="s">
        <v>79</v>
      </c>
      <c r="BI110" t="s">
        <v>83</v>
      </c>
    </row>
    <row r="111" spans="1:61" x14ac:dyDescent="0.35">
      <c r="A111">
        <v>110</v>
      </c>
      <c r="B111">
        <v>45840.248854166668</v>
      </c>
      <c r="C111" t="s">
        <v>869</v>
      </c>
      <c r="D111" t="s">
        <v>870</v>
      </c>
      <c r="E111" t="s">
        <v>63</v>
      </c>
      <c r="F111" t="s">
        <v>86</v>
      </c>
      <c r="G111" t="s">
        <v>871</v>
      </c>
      <c r="H111" t="s">
        <v>88</v>
      </c>
      <c r="I111" t="s">
        <v>89</v>
      </c>
      <c r="J111" t="s">
        <v>649</v>
      </c>
      <c r="K111" t="s">
        <v>872</v>
      </c>
      <c r="L111" t="s">
        <v>69</v>
      </c>
      <c r="M111" t="s">
        <v>69</v>
      </c>
      <c r="N111" t="s">
        <v>69</v>
      </c>
      <c r="O111" t="s">
        <v>69</v>
      </c>
      <c r="P111" t="s">
        <v>106</v>
      </c>
      <c r="Q111" t="s">
        <v>292</v>
      </c>
      <c r="R111" s="3" t="s">
        <v>873</v>
      </c>
      <c r="S111">
        <v>37</v>
      </c>
      <c r="T111" t="s">
        <v>153</v>
      </c>
      <c r="U111" t="s">
        <v>93</v>
      </c>
      <c r="V111" t="s">
        <v>74</v>
      </c>
      <c r="W111" t="s">
        <v>74</v>
      </c>
      <c r="X111">
        <v>3</v>
      </c>
      <c r="Y111">
        <v>3</v>
      </c>
      <c r="Z111">
        <v>3</v>
      </c>
      <c r="AA111">
        <v>3</v>
      </c>
      <c r="AB111">
        <v>3</v>
      </c>
      <c r="AC111">
        <v>3</v>
      </c>
      <c r="AD111">
        <v>3</v>
      </c>
      <c r="AE111">
        <v>3</v>
      </c>
      <c r="AF111">
        <v>3</v>
      </c>
      <c r="AG111">
        <v>3</v>
      </c>
      <c r="AH111">
        <v>3</v>
      </c>
      <c r="AI111">
        <v>3</v>
      </c>
      <c r="AJ111">
        <v>3</v>
      </c>
      <c r="AK111">
        <v>3</v>
      </c>
      <c r="AL111">
        <v>3</v>
      </c>
      <c r="AM111">
        <v>3</v>
      </c>
      <c r="AN111">
        <v>4</v>
      </c>
      <c r="AO111">
        <v>4</v>
      </c>
      <c r="AP111">
        <v>2</v>
      </c>
      <c r="AQ111">
        <v>3</v>
      </c>
      <c r="AR111" t="s">
        <v>75</v>
      </c>
      <c r="AT111">
        <v>0</v>
      </c>
      <c r="AU111" t="s">
        <v>69</v>
      </c>
      <c r="AW111">
        <v>0</v>
      </c>
      <c r="AX111" t="s">
        <v>69</v>
      </c>
      <c r="AY111" t="s">
        <v>83</v>
      </c>
      <c r="AZ111" t="s">
        <v>96</v>
      </c>
      <c r="BA111">
        <v>0</v>
      </c>
      <c r="BB111">
        <v>0</v>
      </c>
      <c r="BC111" t="s">
        <v>874</v>
      </c>
      <c r="BD111" t="s">
        <v>112</v>
      </c>
      <c r="BE111" t="s">
        <v>98</v>
      </c>
      <c r="BF111" t="s">
        <v>99</v>
      </c>
      <c r="BG111" t="s">
        <v>98</v>
      </c>
      <c r="BH111" t="s">
        <v>99</v>
      </c>
      <c r="BI111" t="s">
        <v>875</v>
      </c>
    </row>
    <row r="112" spans="1:61" x14ac:dyDescent="0.35">
      <c r="A112">
        <v>111</v>
      </c>
      <c r="B112">
        <v>45840.251712962963</v>
      </c>
      <c r="C112" t="s">
        <v>876</v>
      </c>
      <c r="D112" t="s">
        <v>877</v>
      </c>
      <c r="E112" t="s">
        <v>63</v>
      </c>
      <c r="F112" t="s">
        <v>149</v>
      </c>
      <c r="G112" t="s">
        <v>878</v>
      </c>
      <c r="H112" t="s">
        <v>88</v>
      </c>
      <c r="I112" t="s">
        <v>89</v>
      </c>
      <c r="J112" t="s">
        <v>649</v>
      </c>
      <c r="K112" t="s">
        <v>879</v>
      </c>
      <c r="L112" t="s">
        <v>69</v>
      </c>
      <c r="M112" t="s">
        <v>69</v>
      </c>
      <c r="N112" t="s">
        <v>69</v>
      </c>
      <c r="O112" t="s">
        <v>69</v>
      </c>
      <c r="P112" t="s">
        <v>70</v>
      </c>
      <c r="Q112" t="s">
        <v>271</v>
      </c>
      <c r="R112" s="3" t="s">
        <v>538</v>
      </c>
      <c r="S112">
        <v>41</v>
      </c>
      <c r="T112" t="s">
        <v>197</v>
      </c>
      <c r="U112" t="s">
        <v>73</v>
      </c>
      <c r="V112" t="s">
        <v>880</v>
      </c>
      <c r="W112" t="s">
        <v>232</v>
      </c>
      <c r="X112">
        <v>3</v>
      </c>
      <c r="Y112">
        <v>3</v>
      </c>
      <c r="Z112">
        <v>4</v>
      </c>
      <c r="AA112">
        <v>3</v>
      </c>
      <c r="AB112">
        <v>3</v>
      </c>
      <c r="AC112">
        <v>3</v>
      </c>
      <c r="AD112">
        <v>3</v>
      </c>
      <c r="AE112">
        <v>3</v>
      </c>
      <c r="AF112">
        <v>3</v>
      </c>
      <c r="AG112">
        <v>3</v>
      </c>
      <c r="AH112">
        <v>3</v>
      </c>
      <c r="AI112">
        <v>3</v>
      </c>
      <c r="AJ112">
        <v>3</v>
      </c>
      <c r="AK112">
        <v>3</v>
      </c>
      <c r="AL112">
        <v>3</v>
      </c>
      <c r="AM112">
        <v>3</v>
      </c>
      <c r="AN112">
        <v>3</v>
      </c>
      <c r="AO112">
        <v>3</v>
      </c>
      <c r="AQ112">
        <v>0</v>
      </c>
      <c r="AR112" t="s">
        <v>69</v>
      </c>
      <c r="AT112">
        <v>0</v>
      </c>
      <c r="AU112" t="s">
        <v>69</v>
      </c>
      <c r="AW112">
        <v>0</v>
      </c>
      <c r="AX112" t="s">
        <v>69</v>
      </c>
      <c r="AY112" t="s">
        <v>144</v>
      </c>
      <c r="AZ112" t="s">
        <v>144</v>
      </c>
      <c r="BA112">
        <v>1</v>
      </c>
      <c r="BB112">
        <v>4</v>
      </c>
      <c r="BC112" t="s">
        <v>98</v>
      </c>
      <c r="BD112" t="s">
        <v>99</v>
      </c>
      <c r="BE112" t="s">
        <v>98</v>
      </c>
      <c r="BF112" t="s">
        <v>99</v>
      </c>
      <c r="BG112" t="s">
        <v>98</v>
      </c>
      <c r="BH112" t="s">
        <v>99</v>
      </c>
      <c r="BI112" t="s">
        <v>98</v>
      </c>
    </row>
    <row r="113" spans="1:61" x14ac:dyDescent="0.35">
      <c r="A113">
        <v>112</v>
      </c>
      <c r="B113">
        <v>45840.25209490741</v>
      </c>
      <c r="C113" t="s">
        <v>881</v>
      </c>
      <c r="D113" t="s">
        <v>125</v>
      </c>
      <c r="E113" t="s">
        <v>63</v>
      </c>
      <c r="F113" t="s">
        <v>125</v>
      </c>
      <c r="G113" t="s">
        <v>882</v>
      </c>
      <c r="H113" t="s">
        <v>459</v>
      </c>
      <c r="I113" t="s">
        <v>439</v>
      </c>
      <c r="J113" t="s">
        <v>649</v>
      </c>
      <c r="K113" t="s">
        <v>883</v>
      </c>
      <c r="L113" t="s">
        <v>69</v>
      </c>
      <c r="M113" t="s">
        <v>69</v>
      </c>
      <c r="N113" t="s">
        <v>69</v>
      </c>
      <c r="O113" t="s">
        <v>69</v>
      </c>
      <c r="P113" t="s">
        <v>70</v>
      </c>
      <c r="Q113" t="s">
        <v>107</v>
      </c>
      <c r="R113" s="3" t="s">
        <v>884</v>
      </c>
      <c r="S113">
        <v>38</v>
      </c>
      <c r="T113" t="s">
        <v>153</v>
      </c>
      <c r="U113" t="s">
        <v>93</v>
      </c>
      <c r="V113" t="s">
        <v>74</v>
      </c>
      <c r="W113" t="s">
        <v>74</v>
      </c>
      <c r="X113">
        <v>4</v>
      </c>
      <c r="Y113">
        <v>4</v>
      </c>
      <c r="Z113">
        <v>4</v>
      </c>
      <c r="AA113">
        <v>4</v>
      </c>
      <c r="AB113">
        <v>3</v>
      </c>
      <c r="AC113">
        <v>3</v>
      </c>
      <c r="AD113">
        <v>0</v>
      </c>
      <c r="AE113">
        <v>0</v>
      </c>
      <c r="AF113">
        <v>4</v>
      </c>
      <c r="AG113">
        <v>4</v>
      </c>
      <c r="AH113">
        <v>3</v>
      </c>
      <c r="AI113">
        <v>3</v>
      </c>
      <c r="AJ113">
        <v>4</v>
      </c>
      <c r="AK113">
        <v>4</v>
      </c>
      <c r="AL113">
        <v>4</v>
      </c>
      <c r="AM113">
        <v>4</v>
      </c>
      <c r="AN113">
        <v>3</v>
      </c>
      <c r="AO113">
        <v>3</v>
      </c>
      <c r="AQ113">
        <v>0</v>
      </c>
      <c r="AR113" t="s">
        <v>69</v>
      </c>
      <c r="AT113">
        <v>0</v>
      </c>
      <c r="AU113" t="s">
        <v>69</v>
      </c>
      <c r="AW113">
        <v>0</v>
      </c>
      <c r="AX113" t="s">
        <v>69</v>
      </c>
      <c r="AY113" t="s">
        <v>144</v>
      </c>
      <c r="AZ113" t="s">
        <v>144</v>
      </c>
      <c r="BA113">
        <v>2</v>
      </c>
      <c r="BB113">
        <v>3</v>
      </c>
      <c r="BC113" t="s">
        <v>442</v>
      </c>
      <c r="BD113" t="s">
        <v>79</v>
      </c>
      <c r="BE113" t="s">
        <v>442</v>
      </c>
      <c r="BF113" t="s">
        <v>79</v>
      </c>
      <c r="BG113" t="s">
        <v>885</v>
      </c>
      <c r="BH113" t="s">
        <v>146</v>
      </c>
      <c r="BI113" t="s">
        <v>83</v>
      </c>
    </row>
    <row r="114" spans="1:61" x14ac:dyDescent="0.35">
      <c r="A114">
        <v>113</v>
      </c>
      <c r="B114">
        <v>45840.255428240744</v>
      </c>
      <c r="C114" t="s">
        <v>886</v>
      </c>
      <c r="D114" t="s">
        <v>887</v>
      </c>
      <c r="E114" t="s">
        <v>63</v>
      </c>
      <c r="F114" t="s">
        <v>125</v>
      </c>
      <c r="G114" t="s">
        <v>888</v>
      </c>
      <c r="H114" t="s">
        <v>459</v>
      </c>
      <c r="I114" t="s">
        <v>439</v>
      </c>
      <c r="J114" t="s">
        <v>649</v>
      </c>
      <c r="K114" t="s">
        <v>889</v>
      </c>
      <c r="L114" t="s">
        <v>69</v>
      </c>
      <c r="M114" t="s">
        <v>69</v>
      </c>
      <c r="N114" t="s">
        <v>69</v>
      </c>
      <c r="O114" t="s">
        <v>69</v>
      </c>
      <c r="P114" t="s">
        <v>106</v>
      </c>
      <c r="Q114" t="s">
        <v>107</v>
      </c>
      <c r="R114" s="3" t="s">
        <v>868</v>
      </c>
      <c r="S114">
        <v>33</v>
      </c>
      <c r="T114" t="s">
        <v>109</v>
      </c>
      <c r="U114" t="s">
        <v>73</v>
      </c>
      <c r="V114" t="s">
        <v>890</v>
      </c>
      <c r="W114" t="s">
        <v>74</v>
      </c>
      <c r="X114">
        <v>4</v>
      </c>
      <c r="Y114">
        <v>4</v>
      </c>
      <c r="Z114">
        <v>3</v>
      </c>
      <c r="AA114">
        <v>3</v>
      </c>
      <c r="AB114">
        <v>3</v>
      </c>
      <c r="AC114">
        <v>3</v>
      </c>
      <c r="AD114">
        <v>0</v>
      </c>
      <c r="AE114">
        <v>0</v>
      </c>
      <c r="AF114">
        <v>3</v>
      </c>
      <c r="AG114">
        <v>3</v>
      </c>
      <c r="AH114">
        <v>3</v>
      </c>
      <c r="AI114">
        <v>3</v>
      </c>
      <c r="AJ114">
        <v>4</v>
      </c>
      <c r="AK114">
        <v>4</v>
      </c>
      <c r="AL114">
        <v>4</v>
      </c>
      <c r="AM114">
        <v>4</v>
      </c>
      <c r="AN114">
        <v>3</v>
      </c>
      <c r="AO114">
        <v>3</v>
      </c>
      <c r="AQ114">
        <v>0</v>
      </c>
      <c r="AR114" t="s">
        <v>69</v>
      </c>
      <c r="AT114">
        <v>0</v>
      </c>
      <c r="AU114" t="s">
        <v>69</v>
      </c>
      <c r="AW114">
        <v>0</v>
      </c>
      <c r="AX114" t="s">
        <v>69</v>
      </c>
      <c r="AY114" t="s">
        <v>144</v>
      </c>
      <c r="AZ114" t="s">
        <v>144</v>
      </c>
      <c r="BA114">
        <v>2</v>
      </c>
      <c r="BB114">
        <v>3</v>
      </c>
      <c r="BC114" t="s">
        <v>442</v>
      </c>
      <c r="BD114" t="s">
        <v>79</v>
      </c>
      <c r="BE114" t="s">
        <v>442</v>
      </c>
      <c r="BF114" t="s">
        <v>79</v>
      </c>
      <c r="BG114" t="s">
        <v>891</v>
      </c>
      <c r="BH114" t="s">
        <v>190</v>
      </c>
      <c r="BI114" t="s">
        <v>83</v>
      </c>
    </row>
    <row r="115" spans="1:61" x14ac:dyDescent="0.35">
      <c r="A115">
        <v>114</v>
      </c>
      <c r="B115">
        <v>45840.255648148152</v>
      </c>
      <c r="C115" t="s">
        <v>892</v>
      </c>
      <c r="D115" t="s">
        <v>893</v>
      </c>
      <c r="E115" t="s">
        <v>63</v>
      </c>
      <c r="F115" t="s">
        <v>179</v>
      </c>
      <c r="G115" t="s">
        <v>894</v>
      </c>
      <c r="H115" t="s">
        <v>242</v>
      </c>
      <c r="I115" t="s">
        <v>243</v>
      </c>
      <c r="J115" t="s">
        <v>639</v>
      </c>
      <c r="K115" t="s">
        <v>895</v>
      </c>
      <c r="L115" t="s">
        <v>69</v>
      </c>
      <c r="M115" t="s">
        <v>69</v>
      </c>
      <c r="N115" t="s">
        <v>69</v>
      </c>
      <c r="O115" t="s">
        <v>69</v>
      </c>
      <c r="P115" t="s">
        <v>70</v>
      </c>
      <c r="Q115" t="s">
        <v>107</v>
      </c>
      <c r="R115" s="3" t="s">
        <v>91</v>
      </c>
      <c r="S115">
        <v>27</v>
      </c>
      <c r="T115" t="s">
        <v>92</v>
      </c>
      <c r="U115" t="s">
        <v>93</v>
      </c>
      <c r="V115" t="s">
        <v>142</v>
      </c>
      <c r="W115" t="s">
        <v>143</v>
      </c>
      <c r="X115">
        <v>4</v>
      </c>
      <c r="Y115">
        <v>3</v>
      </c>
      <c r="Z115">
        <v>4</v>
      </c>
      <c r="AA115">
        <v>3</v>
      </c>
      <c r="AB115">
        <v>4</v>
      </c>
      <c r="AC115">
        <v>4</v>
      </c>
      <c r="AD115">
        <v>0</v>
      </c>
      <c r="AE115">
        <v>0</v>
      </c>
      <c r="AF115">
        <v>4</v>
      </c>
      <c r="AG115">
        <v>4</v>
      </c>
      <c r="AH115">
        <v>4</v>
      </c>
      <c r="AI115">
        <v>4</v>
      </c>
      <c r="AJ115">
        <v>4</v>
      </c>
      <c r="AK115">
        <v>4</v>
      </c>
      <c r="AL115">
        <v>4</v>
      </c>
      <c r="AM115">
        <v>4</v>
      </c>
      <c r="AN115">
        <v>3</v>
      </c>
      <c r="AO115">
        <v>4</v>
      </c>
      <c r="AQ115">
        <v>0</v>
      </c>
      <c r="AR115" t="s">
        <v>69</v>
      </c>
      <c r="AT115">
        <v>0</v>
      </c>
      <c r="AU115" t="s">
        <v>69</v>
      </c>
      <c r="AW115">
        <v>0</v>
      </c>
      <c r="AX115" t="s">
        <v>69</v>
      </c>
      <c r="AY115" t="s">
        <v>144</v>
      </c>
      <c r="AZ115" t="s">
        <v>144</v>
      </c>
      <c r="BA115">
        <v>1</v>
      </c>
      <c r="BB115">
        <v>4</v>
      </c>
      <c r="BC115" t="s">
        <v>248</v>
      </c>
      <c r="BD115" t="s">
        <v>79</v>
      </c>
      <c r="BE115" t="s">
        <v>248</v>
      </c>
      <c r="BF115" t="s">
        <v>79</v>
      </c>
      <c r="BG115" t="s">
        <v>258</v>
      </c>
      <c r="BH115" t="s">
        <v>190</v>
      </c>
      <c r="BI115" t="s">
        <v>896</v>
      </c>
    </row>
    <row r="116" spans="1:61" x14ac:dyDescent="0.35">
      <c r="A116">
        <v>115</v>
      </c>
      <c r="B116">
        <v>45840.260671296295</v>
      </c>
      <c r="C116" t="s">
        <v>897</v>
      </c>
      <c r="D116" t="s">
        <v>898</v>
      </c>
      <c r="E116" t="s">
        <v>63</v>
      </c>
      <c r="F116" t="s">
        <v>179</v>
      </c>
      <c r="G116" t="s">
        <v>899</v>
      </c>
      <c r="H116" t="s">
        <v>242</v>
      </c>
      <c r="I116" t="s">
        <v>243</v>
      </c>
      <c r="J116" t="s">
        <v>639</v>
      </c>
      <c r="K116" t="s">
        <v>900</v>
      </c>
      <c r="L116" t="s">
        <v>69</v>
      </c>
      <c r="M116" t="s">
        <v>69</v>
      </c>
      <c r="N116" t="s">
        <v>69</v>
      </c>
      <c r="O116" t="s">
        <v>69</v>
      </c>
      <c r="P116" t="s">
        <v>70</v>
      </c>
      <c r="Q116" t="s">
        <v>107</v>
      </c>
      <c r="R116" s="3" t="s">
        <v>499</v>
      </c>
      <c r="S116">
        <v>22</v>
      </c>
      <c r="T116" t="s">
        <v>72</v>
      </c>
      <c r="U116" t="s">
        <v>73</v>
      </c>
      <c r="V116" t="s">
        <v>74</v>
      </c>
      <c r="W116" t="s">
        <v>74</v>
      </c>
      <c r="X116">
        <v>2</v>
      </c>
      <c r="Y116">
        <v>3</v>
      </c>
      <c r="Z116">
        <v>3</v>
      </c>
      <c r="AA116">
        <v>3</v>
      </c>
      <c r="AB116">
        <v>3</v>
      </c>
      <c r="AC116">
        <v>3</v>
      </c>
      <c r="AD116">
        <v>0</v>
      </c>
      <c r="AE116">
        <v>0</v>
      </c>
      <c r="AF116">
        <v>2</v>
      </c>
      <c r="AG116">
        <v>4</v>
      </c>
      <c r="AH116">
        <v>3</v>
      </c>
      <c r="AI116">
        <v>4</v>
      </c>
      <c r="AJ116">
        <v>3</v>
      </c>
      <c r="AK116">
        <v>4</v>
      </c>
      <c r="AL116">
        <v>4</v>
      </c>
      <c r="AM116">
        <v>4</v>
      </c>
      <c r="AN116">
        <v>4</v>
      </c>
      <c r="AO116">
        <v>4</v>
      </c>
      <c r="AP116">
        <v>2</v>
      </c>
      <c r="AQ116">
        <v>3</v>
      </c>
      <c r="AR116" t="s">
        <v>75</v>
      </c>
      <c r="AT116">
        <v>0</v>
      </c>
      <c r="AU116" t="s">
        <v>69</v>
      </c>
      <c r="AW116">
        <v>0</v>
      </c>
      <c r="AX116" t="s">
        <v>69</v>
      </c>
      <c r="AY116" t="s">
        <v>83</v>
      </c>
      <c r="AZ116" t="s">
        <v>96</v>
      </c>
      <c r="BA116">
        <v>0</v>
      </c>
      <c r="BB116">
        <v>0</v>
      </c>
      <c r="BC116" t="s">
        <v>901</v>
      </c>
      <c r="BD116" t="s">
        <v>79</v>
      </c>
      <c r="BE116" t="s">
        <v>278</v>
      </c>
      <c r="BF116" t="s">
        <v>79</v>
      </c>
      <c r="BG116" t="s">
        <v>248</v>
      </c>
      <c r="BH116" t="s">
        <v>79</v>
      </c>
      <c r="BI116" t="s">
        <v>248</v>
      </c>
    </row>
    <row r="117" spans="1:61" x14ac:dyDescent="0.35">
      <c r="A117">
        <v>116</v>
      </c>
      <c r="B117">
        <v>45840.262858796297</v>
      </c>
      <c r="C117" t="s">
        <v>902</v>
      </c>
      <c r="D117" t="s">
        <v>903</v>
      </c>
      <c r="E117" t="s">
        <v>904</v>
      </c>
      <c r="F117" t="s">
        <v>905</v>
      </c>
      <c r="G117" t="s">
        <v>906</v>
      </c>
      <c r="H117" t="s">
        <v>459</v>
      </c>
      <c r="I117" t="s">
        <v>439</v>
      </c>
      <c r="J117" t="s">
        <v>907</v>
      </c>
      <c r="K117" t="s">
        <v>589</v>
      </c>
      <c r="L117" t="s">
        <v>69</v>
      </c>
      <c r="M117" t="s">
        <v>69</v>
      </c>
      <c r="N117" t="s">
        <v>69</v>
      </c>
      <c r="O117" t="s">
        <v>69</v>
      </c>
      <c r="P117" t="s">
        <v>106</v>
      </c>
      <c r="Q117" t="s">
        <v>107</v>
      </c>
      <c r="R117" s="3" t="s">
        <v>546</v>
      </c>
      <c r="S117">
        <v>31</v>
      </c>
      <c r="T117" t="s">
        <v>109</v>
      </c>
      <c r="U117" t="s">
        <v>73</v>
      </c>
      <c r="V117" t="s">
        <v>908</v>
      </c>
      <c r="W117" t="s">
        <v>110</v>
      </c>
      <c r="X117">
        <v>4</v>
      </c>
      <c r="Y117">
        <v>4</v>
      </c>
      <c r="Z117">
        <v>4</v>
      </c>
      <c r="AA117">
        <v>4</v>
      </c>
      <c r="AB117">
        <v>4</v>
      </c>
      <c r="AC117">
        <v>4</v>
      </c>
      <c r="AD117">
        <v>0</v>
      </c>
      <c r="AE117">
        <v>0</v>
      </c>
      <c r="AF117">
        <v>4</v>
      </c>
      <c r="AG117">
        <v>4</v>
      </c>
      <c r="AH117">
        <v>4</v>
      </c>
      <c r="AI117">
        <v>4</v>
      </c>
      <c r="AJ117">
        <v>4</v>
      </c>
      <c r="AK117">
        <v>4</v>
      </c>
      <c r="AL117">
        <v>4</v>
      </c>
      <c r="AM117">
        <v>4</v>
      </c>
      <c r="AN117">
        <v>4</v>
      </c>
      <c r="AO117">
        <v>4</v>
      </c>
      <c r="AQ117">
        <v>0</v>
      </c>
      <c r="AR117" t="s">
        <v>69</v>
      </c>
      <c r="AT117">
        <v>0</v>
      </c>
      <c r="AU117" t="s">
        <v>69</v>
      </c>
      <c r="AW117">
        <v>0</v>
      </c>
      <c r="AX117" t="s">
        <v>69</v>
      </c>
      <c r="AY117" t="s">
        <v>144</v>
      </c>
      <c r="AZ117" t="s">
        <v>144</v>
      </c>
      <c r="BA117">
        <v>1</v>
      </c>
      <c r="BB117">
        <v>4</v>
      </c>
      <c r="BC117" t="s">
        <v>909</v>
      </c>
      <c r="BD117" t="s">
        <v>79</v>
      </c>
      <c r="BE117" t="s">
        <v>248</v>
      </c>
      <c r="BF117" t="s">
        <v>79</v>
      </c>
      <c r="BG117" t="s">
        <v>555</v>
      </c>
      <c r="BH117" t="s">
        <v>79</v>
      </c>
      <c r="BI117" t="s">
        <v>83</v>
      </c>
    </row>
    <row r="118" spans="1:61" x14ac:dyDescent="0.35">
      <c r="A118">
        <v>117</v>
      </c>
      <c r="B118">
        <v>45840.264652777776</v>
      </c>
      <c r="C118" t="s">
        <v>910</v>
      </c>
      <c r="D118" t="s">
        <v>911</v>
      </c>
      <c r="E118" t="s">
        <v>63</v>
      </c>
      <c r="F118" t="s">
        <v>179</v>
      </c>
      <c r="G118" t="s">
        <v>912</v>
      </c>
      <c r="H118" t="s">
        <v>242</v>
      </c>
      <c r="I118" t="s">
        <v>243</v>
      </c>
      <c r="J118" t="s">
        <v>639</v>
      </c>
      <c r="K118" t="s">
        <v>913</v>
      </c>
      <c r="L118" t="s">
        <v>69</v>
      </c>
      <c r="M118" t="s">
        <v>69</v>
      </c>
      <c r="N118" t="s">
        <v>69</v>
      </c>
      <c r="O118" t="s">
        <v>69</v>
      </c>
      <c r="P118" t="s">
        <v>70</v>
      </c>
      <c r="Q118" t="s">
        <v>107</v>
      </c>
      <c r="R118" s="3" t="s">
        <v>431</v>
      </c>
      <c r="S118">
        <v>19</v>
      </c>
      <c r="T118" t="s">
        <v>131</v>
      </c>
      <c r="U118" t="s">
        <v>73</v>
      </c>
      <c r="V118" t="s">
        <v>94</v>
      </c>
      <c r="W118" t="s">
        <v>95</v>
      </c>
      <c r="X118">
        <v>4</v>
      </c>
      <c r="Y118">
        <v>4</v>
      </c>
      <c r="Z118">
        <v>3</v>
      </c>
      <c r="AA118">
        <v>4</v>
      </c>
      <c r="AB118">
        <v>4</v>
      </c>
      <c r="AC118">
        <v>4</v>
      </c>
      <c r="AD118">
        <v>0</v>
      </c>
      <c r="AE118">
        <v>0</v>
      </c>
      <c r="AF118">
        <v>4</v>
      </c>
      <c r="AG118">
        <v>4</v>
      </c>
      <c r="AH118">
        <v>4</v>
      </c>
      <c r="AI118">
        <v>4</v>
      </c>
      <c r="AJ118">
        <v>4</v>
      </c>
      <c r="AK118">
        <v>4</v>
      </c>
      <c r="AL118">
        <v>4</v>
      </c>
      <c r="AM118">
        <v>4</v>
      </c>
      <c r="AN118">
        <v>3</v>
      </c>
      <c r="AO118">
        <v>4</v>
      </c>
      <c r="AQ118">
        <v>0</v>
      </c>
      <c r="AR118" t="s">
        <v>69</v>
      </c>
      <c r="AT118">
        <v>0</v>
      </c>
      <c r="AU118" t="s">
        <v>69</v>
      </c>
      <c r="AV118">
        <v>1</v>
      </c>
      <c r="AW118">
        <v>4</v>
      </c>
      <c r="AX118" t="s">
        <v>75</v>
      </c>
      <c r="AY118" t="s">
        <v>83</v>
      </c>
      <c r="AZ118" t="s">
        <v>96</v>
      </c>
      <c r="BA118">
        <v>0</v>
      </c>
      <c r="BB118">
        <v>0</v>
      </c>
      <c r="BC118" t="s">
        <v>914</v>
      </c>
      <c r="BD118" t="s">
        <v>99</v>
      </c>
      <c r="BE118" t="s">
        <v>248</v>
      </c>
      <c r="BF118" t="s">
        <v>79</v>
      </c>
      <c r="BG118" t="s">
        <v>915</v>
      </c>
      <c r="BH118" t="s">
        <v>146</v>
      </c>
      <c r="BI118" t="s">
        <v>278</v>
      </c>
    </row>
    <row r="119" spans="1:61" x14ac:dyDescent="0.35">
      <c r="A119">
        <v>118</v>
      </c>
      <c r="B119">
        <v>45840.265821759262</v>
      </c>
      <c r="C119" t="s">
        <v>916</v>
      </c>
      <c r="D119" t="s">
        <v>917</v>
      </c>
      <c r="E119" t="s">
        <v>63</v>
      </c>
      <c r="F119" t="s">
        <v>125</v>
      </c>
      <c r="G119" t="s">
        <v>918</v>
      </c>
      <c r="H119" t="s">
        <v>459</v>
      </c>
      <c r="I119" t="s">
        <v>439</v>
      </c>
      <c r="J119" t="s">
        <v>649</v>
      </c>
      <c r="K119" t="s">
        <v>919</v>
      </c>
      <c r="L119" t="s">
        <v>69</v>
      </c>
      <c r="M119" t="s">
        <v>69</v>
      </c>
      <c r="N119" t="s">
        <v>69</v>
      </c>
      <c r="O119" t="s">
        <v>69</v>
      </c>
      <c r="P119" t="s">
        <v>106</v>
      </c>
      <c r="Q119" t="s">
        <v>107</v>
      </c>
      <c r="R119" s="3" t="s">
        <v>873</v>
      </c>
      <c r="S119">
        <v>37</v>
      </c>
      <c r="T119" t="s">
        <v>153</v>
      </c>
      <c r="U119" t="s">
        <v>273</v>
      </c>
      <c r="V119" t="s">
        <v>74</v>
      </c>
      <c r="W119" t="s">
        <v>74</v>
      </c>
      <c r="X119">
        <v>4</v>
      </c>
      <c r="Y119">
        <v>3</v>
      </c>
      <c r="Z119">
        <v>3</v>
      </c>
      <c r="AA119">
        <v>3</v>
      </c>
      <c r="AB119">
        <v>4</v>
      </c>
      <c r="AC119">
        <v>4</v>
      </c>
      <c r="AD119">
        <v>0</v>
      </c>
      <c r="AE119">
        <v>0</v>
      </c>
      <c r="AF119">
        <v>4</v>
      </c>
      <c r="AG119">
        <v>4</v>
      </c>
      <c r="AH119">
        <v>4</v>
      </c>
      <c r="AI119">
        <v>4</v>
      </c>
      <c r="AJ119">
        <v>4</v>
      </c>
      <c r="AK119">
        <v>4</v>
      </c>
      <c r="AL119">
        <v>4</v>
      </c>
      <c r="AM119">
        <v>4</v>
      </c>
      <c r="AN119">
        <v>3</v>
      </c>
      <c r="AO119">
        <v>3</v>
      </c>
      <c r="AQ119">
        <v>0</v>
      </c>
      <c r="AR119" t="s">
        <v>69</v>
      </c>
      <c r="AT119">
        <v>0</v>
      </c>
      <c r="AU119" t="s">
        <v>69</v>
      </c>
      <c r="AW119">
        <v>0</v>
      </c>
      <c r="AX119" t="s">
        <v>69</v>
      </c>
      <c r="AY119" t="s">
        <v>144</v>
      </c>
      <c r="AZ119" t="s">
        <v>144</v>
      </c>
      <c r="BA119">
        <v>2</v>
      </c>
      <c r="BB119">
        <v>3</v>
      </c>
      <c r="BC119" t="s">
        <v>442</v>
      </c>
      <c r="BD119" t="s">
        <v>79</v>
      </c>
      <c r="BE119" t="s">
        <v>442</v>
      </c>
      <c r="BF119" t="s">
        <v>79</v>
      </c>
      <c r="BG119" t="s">
        <v>442</v>
      </c>
      <c r="BH119" t="s">
        <v>79</v>
      </c>
      <c r="BI119" t="s">
        <v>83</v>
      </c>
    </row>
    <row r="120" spans="1:61" x14ac:dyDescent="0.35">
      <c r="A120">
        <v>119</v>
      </c>
      <c r="B120">
        <v>45840.267025462963</v>
      </c>
      <c r="C120" t="s">
        <v>920</v>
      </c>
      <c r="D120" t="s">
        <v>921</v>
      </c>
      <c r="E120" t="s">
        <v>63</v>
      </c>
      <c r="F120" t="s">
        <v>179</v>
      </c>
      <c r="G120" t="s">
        <v>922</v>
      </c>
      <c r="H120" t="s">
        <v>242</v>
      </c>
      <c r="I120" t="s">
        <v>243</v>
      </c>
      <c r="J120" t="s">
        <v>639</v>
      </c>
      <c r="K120" t="s">
        <v>923</v>
      </c>
      <c r="L120" t="s">
        <v>69</v>
      </c>
      <c r="M120" t="s">
        <v>69</v>
      </c>
      <c r="N120" t="s">
        <v>69</v>
      </c>
      <c r="O120" t="s">
        <v>69</v>
      </c>
      <c r="P120" t="s">
        <v>70</v>
      </c>
      <c r="Q120" t="s">
        <v>71</v>
      </c>
      <c r="R120" s="3" t="s">
        <v>130</v>
      </c>
      <c r="S120">
        <v>18</v>
      </c>
      <c r="T120" t="s">
        <v>131</v>
      </c>
      <c r="U120" t="s">
        <v>73</v>
      </c>
      <c r="V120" t="s">
        <v>94</v>
      </c>
      <c r="W120" t="s">
        <v>95</v>
      </c>
      <c r="X120">
        <v>4</v>
      </c>
      <c r="Y120">
        <v>4</v>
      </c>
      <c r="Z120">
        <v>4</v>
      </c>
      <c r="AA120">
        <v>4</v>
      </c>
      <c r="AB120">
        <v>4</v>
      </c>
      <c r="AC120">
        <v>4</v>
      </c>
      <c r="AD120">
        <v>4</v>
      </c>
      <c r="AE120">
        <v>4</v>
      </c>
      <c r="AF120">
        <v>4</v>
      </c>
      <c r="AG120">
        <v>4</v>
      </c>
      <c r="AH120">
        <v>4</v>
      </c>
      <c r="AI120">
        <v>4</v>
      </c>
      <c r="AJ120">
        <v>4</v>
      </c>
      <c r="AK120">
        <v>4</v>
      </c>
      <c r="AL120">
        <v>4</v>
      </c>
      <c r="AM120">
        <v>4</v>
      </c>
      <c r="AN120">
        <v>4</v>
      </c>
      <c r="AO120">
        <v>4</v>
      </c>
      <c r="AQ120">
        <v>0</v>
      </c>
      <c r="AR120" t="s">
        <v>69</v>
      </c>
      <c r="AS120">
        <v>1</v>
      </c>
      <c r="AT120">
        <v>4</v>
      </c>
      <c r="AU120" t="s">
        <v>69</v>
      </c>
      <c r="AW120">
        <v>0</v>
      </c>
      <c r="AX120" t="s">
        <v>69</v>
      </c>
      <c r="AY120" t="s">
        <v>83</v>
      </c>
      <c r="AZ120" t="s">
        <v>96</v>
      </c>
      <c r="BA120">
        <v>0</v>
      </c>
      <c r="BB120">
        <v>0</v>
      </c>
      <c r="BC120" t="s">
        <v>248</v>
      </c>
      <c r="BD120" t="s">
        <v>79</v>
      </c>
      <c r="BE120" t="s">
        <v>248</v>
      </c>
      <c r="BF120" t="s">
        <v>79</v>
      </c>
      <c r="BG120" t="s">
        <v>248</v>
      </c>
      <c r="BH120" t="s">
        <v>79</v>
      </c>
      <c r="BI120" t="s">
        <v>248</v>
      </c>
    </row>
    <row r="121" spans="1:61" x14ac:dyDescent="0.35">
      <c r="A121">
        <v>120</v>
      </c>
      <c r="B121">
        <v>45840.270173611112</v>
      </c>
      <c r="C121" t="s">
        <v>924</v>
      </c>
      <c r="D121" t="s">
        <v>925</v>
      </c>
      <c r="E121" t="s">
        <v>63</v>
      </c>
      <c r="F121" t="s">
        <v>125</v>
      </c>
      <c r="G121" t="s">
        <v>926</v>
      </c>
      <c r="H121" t="s">
        <v>438</v>
      </c>
      <c r="I121" t="s">
        <v>439</v>
      </c>
      <c r="J121" t="s">
        <v>649</v>
      </c>
      <c r="K121" t="s">
        <v>927</v>
      </c>
      <c r="L121" t="s">
        <v>69</v>
      </c>
      <c r="M121" t="s">
        <v>69</v>
      </c>
      <c r="N121" t="s">
        <v>69</v>
      </c>
      <c r="O121" t="s">
        <v>69</v>
      </c>
      <c r="P121" t="s">
        <v>106</v>
      </c>
      <c r="Q121" t="s">
        <v>71</v>
      </c>
      <c r="R121" s="3" t="s">
        <v>130</v>
      </c>
      <c r="S121">
        <v>18</v>
      </c>
      <c r="T121" t="s">
        <v>131</v>
      </c>
      <c r="U121" t="s">
        <v>73</v>
      </c>
      <c r="V121" t="s">
        <v>133</v>
      </c>
      <c r="W121" t="s">
        <v>133</v>
      </c>
      <c r="X121">
        <v>3</v>
      </c>
      <c r="Y121">
        <v>3</v>
      </c>
      <c r="Z121">
        <v>2</v>
      </c>
      <c r="AA121">
        <v>2</v>
      </c>
      <c r="AB121">
        <v>4</v>
      </c>
      <c r="AC121">
        <v>4</v>
      </c>
      <c r="AD121">
        <v>3</v>
      </c>
      <c r="AE121">
        <v>3</v>
      </c>
      <c r="AF121">
        <v>3</v>
      </c>
      <c r="AG121">
        <v>3</v>
      </c>
      <c r="AH121">
        <v>4</v>
      </c>
      <c r="AI121">
        <v>4</v>
      </c>
      <c r="AJ121">
        <v>4</v>
      </c>
      <c r="AK121">
        <v>4</v>
      </c>
      <c r="AL121">
        <v>4</v>
      </c>
      <c r="AM121">
        <v>4</v>
      </c>
      <c r="AN121">
        <v>3</v>
      </c>
      <c r="AO121">
        <v>3</v>
      </c>
      <c r="AQ121">
        <v>0</v>
      </c>
      <c r="AR121" t="s">
        <v>69</v>
      </c>
      <c r="AS121">
        <v>2</v>
      </c>
      <c r="AT121">
        <v>3</v>
      </c>
      <c r="AU121" t="s">
        <v>75</v>
      </c>
      <c r="AW121">
        <v>0</v>
      </c>
      <c r="AX121" t="s">
        <v>69</v>
      </c>
      <c r="AY121" t="s">
        <v>83</v>
      </c>
      <c r="AZ121" t="s">
        <v>96</v>
      </c>
      <c r="BA121">
        <v>0</v>
      </c>
      <c r="BB121">
        <v>0</v>
      </c>
      <c r="BC121" t="s">
        <v>442</v>
      </c>
      <c r="BD121" t="s">
        <v>79</v>
      </c>
      <c r="BE121" t="s">
        <v>442</v>
      </c>
      <c r="BF121" t="s">
        <v>79</v>
      </c>
      <c r="BG121" t="s">
        <v>891</v>
      </c>
      <c r="BH121" t="s">
        <v>190</v>
      </c>
      <c r="BI121" t="s">
        <v>83</v>
      </c>
    </row>
    <row r="122" spans="1:61" x14ac:dyDescent="0.35">
      <c r="A122">
        <v>121</v>
      </c>
      <c r="B122">
        <v>45840.270231481481</v>
      </c>
      <c r="C122" t="s">
        <v>928</v>
      </c>
      <c r="D122" t="s">
        <v>929</v>
      </c>
      <c r="E122" t="s">
        <v>63</v>
      </c>
      <c r="F122" t="s">
        <v>179</v>
      </c>
      <c r="G122" t="s">
        <v>930</v>
      </c>
      <c r="H122" t="s">
        <v>242</v>
      </c>
      <c r="I122" t="s">
        <v>243</v>
      </c>
      <c r="J122" t="s">
        <v>639</v>
      </c>
      <c r="K122" t="s">
        <v>270</v>
      </c>
      <c r="L122" t="s">
        <v>69</v>
      </c>
      <c r="M122" t="s">
        <v>69</v>
      </c>
      <c r="N122" t="s">
        <v>69</v>
      </c>
      <c r="O122" t="s">
        <v>69</v>
      </c>
      <c r="P122" t="s">
        <v>70</v>
      </c>
      <c r="Q122" t="s">
        <v>71</v>
      </c>
      <c r="R122" s="3" t="s">
        <v>492</v>
      </c>
      <c r="S122">
        <v>24</v>
      </c>
      <c r="T122" t="s">
        <v>72</v>
      </c>
      <c r="U122" t="s">
        <v>93</v>
      </c>
      <c r="V122" t="s">
        <v>74</v>
      </c>
      <c r="W122" t="s">
        <v>74</v>
      </c>
      <c r="X122">
        <v>4</v>
      </c>
      <c r="Y122">
        <v>4</v>
      </c>
      <c r="Z122">
        <v>3</v>
      </c>
      <c r="AA122">
        <v>4</v>
      </c>
      <c r="AB122">
        <v>4</v>
      </c>
      <c r="AC122">
        <v>4</v>
      </c>
      <c r="AD122">
        <v>4</v>
      </c>
      <c r="AE122">
        <v>4</v>
      </c>
      <c r="AF122">
        <v>4</v>
      </c>
      <c r="AG122">
        <v>4</v>
      </c>
      <c r="AH122">
        <v>4</v>
      </c>
      <c r="AI122">
        <v>4</v>
      </c>
      <c r="AJ122">
        <v>4</v>
      </c>
      <c r="AK122">
        <v>4</v>
      </c>
      <c r="AL122">
        <v>4</v>
      </c>
      <c r="AM122">
        <v>4</v>
      </c>
      <c r="AN122">
        <v>4</v>
      </c>
      <c r="AO122">
        <v>3</v>
      </c>
      <c r="AQ122">
        <v>0</v>
      </c>
      <c r="AR122" t="s">
        <v>69</v>
      </c>
      <c r="AS122">
        <v>2</v>
      </c>
      <c r="AT122">
        <v>3</v>
      </c>
      <c r="AU122" t="s">
        <v>75</v>
      </c>
      <c r="AW122">
        <v>0</v>
      </c>
      <c r="AX122" t="s">
        <v>69</v>
      </c>
      <c r="AY122" t="s">
        <v>83</v>
      </c>
      <c r="AZ122" t="s">
        <v>96</v>
      </c>
      <c r="BA122">
        <v>0</v>
      </c>
      <c r="BB122">
        <v>0</v>
      </c>
      <c r="BC122" t="s">
        <v>248</v>
      </c>
      <c r="BD122" t="s">
        <v>79</v>
      </c>
      <c r="BE122" t="s">
        <v>278</v>
      </c>
      <c r="BF122" t="s">
        <v>79</v>
      </c>
      <c r="BG122" t="s">
        <v>278</v>
      </c>
      <c r="BH122" t="s">
        <v>79</v>
      </c>
      <c r="BI122" t="s">
        <v>931</v>
      </c>
    </row>
    <row r="123" spans="1:61" x14ac:dyDescent="0.35">
      <c r="A123">
        <v>122</v>
      </c>
      <c r="B123">
        <v>45840.273194444446</v>
      </c>
      <c r="C123" t="s">
        <v>932</v>
      </c>
      <c r="D123" t="s">
        <v>933</v>
      </c>
      <c r="E123" t="s">
        <v>63</v>
      </c>
      <c r="F123" t="s">
        <v>179</v>
      </c>
      <c r="G123" t="s">
        <v>934</v>
      </c>
      <c r="H123" t="s">
        <v>242</v>
      </c>
      <c r="I123" t="s">
        <v>243</v>
      </c>
      <c r="J123" t="s">
        <v>639</v>
      </c>
      <c r="K123" t="s">
        <v>935</v>
      </c>
      <c r="L123" t="s">
        <v>69</v>
      </c>
      <c r="M123" t="s">
        <v>69</v>
      </c>
      <c r="N123" t="s">
        <v>69</v>
      </c>
      <c r="O123" t="s">
        <v>69</v>
      </c>
      <c r="P123" t="s">
        <v>106</v>
      </c>
      <c r="Q123" t="s">
        <v>71</v>
      </c>
      <c r="R123" s="3" t="s">
        <v>91</v>
      </c>
      <c r="S123">
        <v>27</v>
      </c>
      <c r="T123" t="s">
        <v>92</v>
      </c>
      <c r="U123" t="s">
        <v>73</v>
      </c>
      <c r="V123" t="s">
        <v>74</v>
      </c>
      <c r="W123" t="s">
        <v>74</v>
      </c>
      <c r="X123">
        <v>4</v>
      </c>
      <c r="Y123">
        <v>3</v>
      </c>
      <c r="Z123">
        <v>3</v>
      </c>
      <c r="AA123">
        <v>4</v>
      </c>
      <c r="AB123">
        <v>4</v>
      </c>
      <c r="AC123">
        <v>4</v>
      </c>
      <c r="AD123">
        <v>4</v>
      </c>
      <c r="AE123">
        <v>4</v>
      </c>
      <c r="AF123">
        <v>4</v>
      </c>
      <c r="AG123">
        <v>4</v>
      </c>
      <c r="AH123">
        <v>4</v>
      </c>
      <c r="AI123">
        <v>4</v>
      </c>
      <c r="AJ123">
        <v>4</v>
      </c>
      <c r="AK123">
        <v>4</v>
      </c>
      <c r="AL123">
        <v>4</v>
      </c>
      <c r="AM123">
        <v>4</v>
      </c>
      <c r="AN123">
        <v>4</v>
      </c>
      <c r="AO123">
        <v>4</v>
      </c>
      <c r="AQ123">
        <v>0</v>
      </c>
      <c r="AR123" t="s">
        <v>69</v>
      </c>
      <c r="AS123">
        <v>1</v>
      </c>
      <c r="AT123">
        <v>4</v>
      </c>
      <c r="AU123" t="s">
        <v>75</v>
      </c>
      <c r="AW123">
        <v>0</v>
      </c>
      <c r="AX123" t="s">
        <v>69</v>
      </c>
      <c r="AY123" t="s">
        <v>83</v>
      </c>
      <c r="AZ123" t="s">
        <v>96</v>
      </c>
      <c r="BA123">
        <v>0</v>
      </c>
      <c r="BB123">
        <v>0</v>
      </c>
      <c r="BC123" t="s">
        <v>278</v>
      </c>
      <c r="BD123" t="s">
        <v>79</v>
      </c>
      <c r="BE123" t="s">
        <v>278</v>
      </c>
      <c r="BF123" t="s">
        <v>79</v>
      </c>
      <c r="BG123" t="s">
        <v>936</v>
      </c>
      <c r="BH123" t="s">
        <v>190</v>
      </c>
      <c r="BI123" t="s">
        <v>278</v>
      </c>
    </row>
    <row r="124" spans="1:61" x14ac:dyDescent="0.35">
      <c r="A124">
        <v>123</v>
      </c>
      <c r="B124">
        <v>45840.276192129626</v>
      </c>
      <c r="C124" t="s">
        <v>937</v>
      </c>
      <c r="D124" t="s">
        <v>938</v>
      </c>
      <c r="E124" t="s">
        <v>63</v>
      </c>
      <c r="F124" t="s">
        <v>179</v>
      </c>
      <c r="G124" t="s">
        <v>939</v>
      </c>
      <c r="H124" t="s">
        <v>242</v>
      </c>
      <c r="I124" t="s">
        <v>243</v>
      </c>
      <c r="J124" t="s">
        <v>639</v>
      </c>
      <c r="K124" t="s">
        <v>940</v>
      </c>
      <c r="L124" t="s">
        <v>69</v>
      </c>
      <c r="M124" t="s">
        <v>69</v>
      </c>
      <c r="N124" t="s">
        <v>69</v>
      </c>
      <c r="O124" t="s">
        <v>69</v>
      </c>
      <c r="P124" t="s">
        <v>70</v>
      </c>
      <c r="Q124" t="s">
        <v>71</v>
      </c>
      <c r="R124" s="3" t="s">
        <v>130</v>
      </c>
      <c r="S124">
        <v>18</v>
      </c>
      <c r="T124" t="s">
        <v>131</v>
      </c>
      <c r="U124" t="s">
        <v>73</v>
      </c>
      <c r="V124" t="s">
        <v>941</v>
      </c>
      <c r="W124" t="s">
        <v>133</v>
      </c>
      <c r="X124">
        <v>4</v>
      </c>
      <c r="Y124">
        <v>4</v>
      </c>
      <c r="Z124">
        <v>4</v>
      </c>
      <c r="AA124">
        <v>4</v>
      </c>
      <c r="AB124">
        <v>4</v>
      </c>
      <c r="AC124">
        <v>4</v>
      </c>
      <c r="AD124">
        <v>4</v>
      </c>
      <c r="AE124">
        <v>4</v>
      </c>
      <c r="AF124">
        <v>4</v>
      </c>
      <c r="AG124">
        <v>4</v>
      </c>
      <c r="AH124">
        <v>4</v>
      </c>
      <c r="AI124">
        <v>4</v>
      </c>
      <c r="AJ124">
        <v>4</v>
      </c>
      <c r="AK124">
        <v>4</v>
      </c>
      <c r="AL124">
        <v>4</v>
      </c>
      <c r="AM124">
        <v>4</v>
      </c>
      <c r="AN124">
        <v>4</v>
      </c>
      <c r="AO124">
        <v>4</v>
      </c>
      <c r="AP124">
        <v>2</v>
      </c>
      <c r="AQ124">
        <v>3</v>
      </c>
      <c r="AR124" t="s">
        <v>75</v>
      </c>
      <c r="AT124">
        <v>0</v>
      </c>
      <c r="AU124" t="s">
        <v>69</v>
      </c>
      <c r="AW124">
        <v>0</v>
      </c>
      <c r="AX124" t="s">
        <v>69</v>
      </c>
      <c r="AY124" t="s">
        <v>83</v>
      </c>
      <c r="AZ124" t="s">
        <v>96</v>
      </c>
      <c r="BA124">
        <v>0</v>
      </c>
      <c r="BB124">
        <v>0</v>
      </c>
      <c r="BC124" t="s">
        <v>942</v>
      </c>
      <c r="BD124" t="s">
        <v>235</v>
      </c>
      <c r="BE124" t="s">
        <v>248</v>
      </c>
      <c r="BF124" t="s">
        <v>79</v>
      </c>
      <c r="BG124" t="s">
        <v>248</v>
      </c>
      <c r="BH124" t="s">
        <v>79</v>
      </c>
      <c r="BI124" t="s">
        <v>278</v>
      </c>
    </row>
    <row r="125" spans="1:61" x14ac:dyDescent="0.35">
      <c r="A125">
        <v>124</v>
      </c>
      <c r="B125">
        <v>45840.282002314816</v>
      </c>
      <c r="C125" t="s">
        <v>943</v>
      </c>
      <c r="D125" t="s">
        <v>944</v>
      </c>
      <c r="E125" t="s">
        <v>63</v>
      </c>
      <c r="F125" t="s">
        <v>179</v>
      </c>
      <c r="G125" t="s">
        <v>945</v>
      </c>
      <c r="H125" t="s">
        <v>242</v>
      </c>
      <c r="I125" t="s">
        <v>243</v>
      </c>
      <c r="J125" t="s">
        <v>639</v>
      </c>
      <c r="K125" t="s">
        <v>946</v>
      </c>
      <c r="L125" t="s">
        <v>69</v>
      </c>
      <c r="M125" t="s">
        <v>69</v>
      </c>
      <c r="N125" t="s">
        <v>69</v>
      </c>
      <c r="O125" t="s">
        <v>69</v>
      </c>
      <c r="P125" t="s">
        <v>106</v>
      </c>
      <c r="Q125" t="s">
        <v>71</v>
      </c>
      <c r="R125" s="3" t="s">
        <v>431</v>
      </c>
      <c r="S125">
        <v>19</v>
      </c>
      <c r="T125" t="s">
        <v>131</v>
      </c>
      <c r="U125" t="s">
        <v>73</v>
      </c>
      <c r="V125" t="s">
        <v>941</v>
      </c>
      <c r="W125" t="s">
        <v>133</v>
      </c>
      <c r="X125">
        <v>3</v>
      </c>
      <c r="Y125">
        <v>3</v>
      </c>
      <c r="Z125">
        <v>4</v>
      </c>
      <c r="AA125">
        <v>3</v>
      </c>
      <c r="AB125">
        <v>3</v>
      </c>
      <c r="AC125">
        <v>3</v>
      </c>
      <c r="AD125">
        <v>4</v>
      </c>
      <c r="AE125">
        <v>4</v>
      </c>
      <c r="AF125">
        <v>3</v>
      </c>
      <c r="AG125">
        <v>4</v>
      </c>
      <c r="AH125">
        <v>3</v>
      </c>
      <c r="AI125">
        <v>4</v>
      </c>
      <c r="AJ125">
        <v>4</v>
      </c>
      <c r="AK125">
        <v>4</v>
      </c>
      <c r="AL125">
        <v>4</v>
      </c>
      <c r="AM125">
        <v>4</v>
      </c>
      <c r="AN125">
        <v>3</v>
      </c>
      <c r="AO125">
        <v>4</v>
      </c>
      <c r="AQ125">
        <v>0</v>
      </c>
      <c r="AR125" t="s">
        <v>69</v>
      </c>
      <c r="AT125">
        <v>0</v>
      </c>
      <c r="AU125" t="s">
        <v>69</v>
      </c>
      <c r="AV125">
        <v>2</v>
      </c>
      <c r="AW125">
        <v>3</v>
      </c>
      <c r="AX125" t="s">
        <v>75</v>
      </c>
      <c r="AY125" t="s">
        <v>83</v>
      </c>
      <c r="AZ125" t="s">
        <v>96</v>
      </c>
      <c r="BA125">
        <v>0</v>
      </c>
      <c r="BB125">
        <v>0</v>
      </c>
      <c r="BC125" t="s">
        <v>802</v>
      </c>
      <c r="BD125" t="s">
        <v>79</v>
      </c>
      <c r="BE125" t="s">
        <v>248</v>
      </c>
      <c r="BF125" t="s">
        <v>79</v>
      </c>
      <c r="BG125" t="s">
        <v>248</v>
      </c>
      <c r="BH125" t="s">
        <v>79</v>
      </c>
      <c r="BI125" t="s">
        <v>802</v>
      </c>
    </row>
    <row r="126" spans="1:61" x14ac:dyDescent="0.35">
      <c r="A126">
        <v>125</v>
      </c>
      <c r="B126">
        <v>45840.354398148149</v>
      </c>
      <c r="C126" t="s">
        <v>947</v>
      </c>
      <c r="D126" t="s">
        <v>948</v>
      </c>
      <c r="E126" t="s">
        <v>63</v>
      </c>
      <c r="F126" t="s">
        <v>125</v>
      </c>
      <c r="G126" t="s">
        <v>949</v>
      </c>
      <c r="H126" t="s">
        <v>578</v>
      </c>
      <c r="I126" t="s">
        <v>588</v>
      </c>
      <c r="J126" t="s">
        <v>950</v>
      </c>
      <c r="K126" t="s">
        <v>951</v>
      </c>
      <c r="L126" t="s">
        <v>69</v>
      </c>
      <c r="M126" t="s">
        <v>69</v>
      </c>
      <c r="N126" t="s">
        <v>69</v>
      </c>
      <c r="O126" t="s">
        <v>69</v>
      </c>
      <c r="P126" t="s">
        <v>70</v>
      </c>
      <c r="Q126" t="s">
        <v>107</v>
      </c>
      <c r="R126" s="3">
        <v>35</v>
      </c>
      <c r="S126">
        <v>35</v>
      </c>
      <c r="T126" t="s">
        <v>109</v>
      </c>
      <c r="U126" t="s">
        <v>73</v>
      </c>
      <c r="V126" t="s">
        <v>110</v>
      </c>
      <c r="W126" t="s">
        <v>110</v>
      </c>
      <c r="X126">
        <v>4</v>
      </c>
      <c r="Y126">
        <v>4</v>
      </c>
      <c r="Z126">
        <v>4</v>
      </c>
      <c r="AA126">
        <v>4</v>
      </c>
      <c r="AB126">
        <v>4</v>
      </c>
      <c r="AC126">
        <v>4</v>
      </c>
      <c r="AD126">
        <v>0</v>
      </c>
      <c r="AE126">
        <v>0</v>
      </c>
      <c r="AF126">
        <v>4</v>
      </c>
      <c r="AG126">
        <v>4</v>
      </c>
      <c r="AH126">
        <v>4</v>
      </c>
      <c r="AI126">
        <v>4</v>
      </c>
      <c r="AJ126">
        <v>4</v>
      </c>
      <c r="AK126">
        <v>4</v>
      </c>
      <c r="AL126">
        <v>3</v>
      </c>
      <c r="AM126">
        <v>4</v>
      </c>
      <c r="AN126">
        <v>3</v>
      </c>
      <c r="AO126">
        <v>4</v>
      </c>
      <c r="AQ126">
        <v>0</v>
      </c>
      <c r="AR126" t="s">
        <v>69</v>
      </c>
      <c r="AT126">
        <v>0</v>
      </c>
      <c r="AU126" t="s">
        <v>69</v>
      </c>
      <c r="AW126">
        <v>0</v>
      </c>
      <c r="AX126" t="s">
        <v>69</v>
      </c>
      <c r="AY126" t="s">
        <v>198</v>
      </c>
      <c r="AZ126" t="s">
        <v>77</v>
      </c>
      <c r="BA126">
        <v>1</v>
      </c>
      <c r="BB126">
        <v>4</v>
      </c>
      <c r="BC126" t="s">
        <v>953</v>
      </c>
      <c r="BD126" t="s">
        <v>112</v>
      </c>
      <c r="BE126" t="s">
        <v>954</v>
      </c>
      <c r="BF126" t="s">
        <v>81</v>
      </c>
      <c r="BG126" t="s">
        <v>955</v>
      </c>
      <c r="BH126" t="s">
        <v>237</v>
      </c>
      <c r="BI126" t="s">
        <v>83</v>
      </c>
    </row>
    <row r="127" spans="1:61" x14ac:dyDescent="0.35">
      <c r="A127">
        <v>126</v>
      </c>
      <c r="B127">
        <v>45840.359074074076</v>
      </c>
      <c r="C127" t="s">
        <v>956</v>
      </c>
      <c r="D127" t="s">
        <v>957</v>
      </c>
      <c r="E127" t="s">
        <v>63</v>
      </c>
      <c r="F127" t="s">
        <v>125</v>
      </c>
      <c r="G127" t="s">
        <v>958</v>
      </c>
      <c r="H127" t="s">
        <v>578</v>
      </c>
      <c r="I127" t="s">
        <v>588</v>
      </c>
      <c r="J127" t="s">
        <v>950</v>
      </c>
      <c r="K127" t="s">
        <v>959</v>
      </c>
      <c r="L127" t="s">
        <v>69</v>
      </c>
      <c r="M127" t="s">
        <v>69</v>
      </c>
      <c r="N127" t="s">
        <v>69</v>
      </c>
      <c r="O127" t="s">
        <v>69</v>
      </c>
      <c r="P127" t="s">
        <v>106</v>
      </c>
      <c r="Q127" t="s">
        <v>107</v>
      </c>
      <c r="R127" s="3">
        <v>38</v>
      </c>
      <c r="S127">
        <v>38</v>
      </c>
      <c r="T127" t="s">
        <v>153</v>
      </c>
      <c r="U127" t="s">
        <v>73</v>
      </c>
      <c r="V127" t="s">
        <v>74</v>
      </c>
      <c r="W127" t="s">
        <v>74</v>
      </c>
      <c r="X127">
        <v>4</v>
      </c>
      <c r="Y127">
        <v>4</v>
      </c>
      <c r="Z127">
        <v>4</v>
      </c>
      <c r="AA127">
        <v>4</v>
      </c>
      <c r="AB127">
        <v>4</v>
      </c>
      <c r="AC127">
        <v>4</v>
      </c>
      <c r="AD127">
        <v>0</v>
      </c>
      <c r="AE127">
        <v>0</v>
      </c>
      <c r="AF127">
        <v>4</v>
      </c>
      <c r="AG127">
        <v>4</v>
      </c>
      <c r="AH127">
        <v>4</v>
      </c>
      <c r="AI127">
        <v>4</v>
      </c>
      <c r="AJ127">
        <v>4</v>
      </c>
      <c r="AK127">
        <v>4</v>
      </c>
      <c r="AL127">
        <v>4</v>
      </c>
      <c r="AM127">
        <v>4</v>
      </c>
      <c r="AN127">
        <v>3</v>
      </c>
      <c r="AO127">
        <v>3</v>
      </c>
      <c r="AP127">
        <v>1</v>
      </c>
      <c r="AQ127">
        <v>4</v>
      </c>
      <c r="AR127" t="s">
        <v>75</v>
      </c>
      <c r="AT127">
        <v>0</v>
      </c>
      <c r="AU127" t="s">
        <v>69</v>
      </c>
      <c r="AW127">
        <v>0</v>
      </c>
      <c r="AX127" t="s">
        <v>69</v>
      </c>
      <c r="AY127" t="s">
        <v>83</v>
      </c>
      <c r="AZ127" t="s">
        <v>96</v>
      </c>
      <c r="BA127">
        <v>0</v>
      </c>
      <c r="BB127">
        <v>0</v>
      </c>
      <c r="BC127" t="s">
        <v>960</v>
      </c>
      <c r="BD127" t="s">
        <v>112</v>
      </c>
      <c r="BE127" t="s">
        <v>961</v>
      </c>
      <c r="BF127" t="s">
        <v>79</v>
      </c>
      <c r="BG127" t="s">
        <v>962</v>
      </c>
      <c r="BH127" t="s">
        <v>190</v>
      </c>
      <c r="BI127" t="s">
        <v>963</v>
      </c>
    </row>
    <row r="128" spans="1:61" x14ac:dyDescent="0.35">
      <c r="A128">
        <v>127</v>
      </c>
      <c r="B128">
        <v>45840.363923611112</v>
      </c>
      <c r="C128" t="s">
        <v>964</v>
      </c>
      <c r="D128" t="s">
        <v>965</v>
      </c>
      <c r="E128" t="s">
        <v>63</v>
      </c>
      <c r="F128" t="s">
        <v>125</v>
      </c>
      <c r="G128" t="s">
        <v>966</v>
      </c>
      <c r="H128" t="s">
        <v>103</v>
      </c>
      <c r="I128" t="s">
        <v>588</v>
      </c>
      <c r="J128" t="s">
        <v>639</v>
      </c>
      <c r="K128" t="s">
        <v>967</v>
      </c>
      <c r="L128" t="s">
        <v>69</v>
      </c>
      <c r="M128" t="s">
        <v>69</v>
      </c>
      <c r="N128" t="s">
        <v>69</v>
      </c>
      <c r="O128" t="s">
        <v>69</v>
      </c>
      <c r="P128" t="s">
        <v>70</v>
      </c>
      <c r="Q128" t="s">
        <v>71</v>
      </c>
      <c r="R128" s="3">
        <v>18</v>
      </c>
      <c r="S128">
        <v>18</v>
      </c>
      <c r="T128" t="s">
        <v>131</v>
      </c>
      <c r="U128" t="s">
        <v>73</v>
      </c>
      <c r="V128" t="s">
        <v>94</v>
      </c>
      <c r="W128" t="s">
        <v>95</v>
      </c>
      <c r="X128">
        <v>3</v>
      </c>
      <c r="Y128">
        <v>3</v>
      </c>
      <c r="Z128">
        <v>4</v>
      </c>
      <c r="AA128">
        <v>3</v>
      </c>
      <c r="AB128">
        <v>3</v>
      </c>
      <c r="AC128">
        <v>3</v>
      </c>
      <c r="AD128">
        <v>3</v>
      </c>
      <c r="AE128">
        <v>3</v>
      </c>
      <c r="AF128">
        <v>3</v>
      </c>
      <c r="AG128">
        <v>4</v>
      </c>
      <c r="AH128">
        <v>3</v>
      </c>
      <c r="AI128">
        <v>4</v>
      </c>
      <c r="AJ128">
        <v>3</v>
      </c>
      <c r="AK128">
        <v>3</v>
      </c>
      <c r="AL128">
        <v>4</v>
      </c>
      <c r="AM128">
        <v>4</v>
      </c>
      <c r="AN128">
        <v>3</v>
      </c>
      <c r="AO128">
        <v>4</v>
      </c>
      <c r="AQ128">
        <v>0</v>
      </c>
      <c r="AR128" t="s">
        <v>69</v>
      </c>
      <c r="AS128">
        <v>1</v>
      </c>
      <c r="AT128">
        <v>4</v>
      </c>
      <c r="AU128" t="s">
        <v>75</v>
      </c>
      <c r="AW128">
        <v>0</v>
      </c>
      <c r="AX128" t="s">
        <v>69</v>
      </c>
      <c r="AY128" t="s">
        <v>83</v>
      </c>
      <c r="AZ128" t="s">
        <v>96</v>
      </c>
      <c r="BA128">
        <v>0</v>
      </c>
      <c r="BB128">
        <v>0</v>
      </c>
      <c r="BC128" t="s">
        <v>442</v>
      </c>
      <c r="BD128" t="s">
        <v>79</v>
      </c>
      <c r="BE128" t="s">
        <v>624</v>
      </c>
      <c r="BF128" t="s">
        <v>79</v>
      </c>
      <c r="BG128" t="s">
        <v>442</v>
      </c>
      <c r="BH128" t="s">
        <v>79</v>
      </c>
      <c r="BI128" t="s">
        <v>83</v>
      </c>
    </row>
    <row r="129" spans="1:61" x14ac:dyDescent="0.35">
      <c r="A129">
        <v>128</v>
      </c>
      <c r="B129">
        <v>45840.421041666668</v>
      </c>
      <c r="C129" t="s">
        <v>968</v>
      </c>
      <c r="D129" t="s">
        <v>969</v>
      </c>
      <c r="E129" t="s">
        <v>63</v>
      </c>
      <c r="F129" t="s">
        <v>125</v>
      </c>
      <c r="G129" t="s">
        <v>970</v>
      </c>
      <c r="H129" t="s">
        <v>459</v>
      </c>
      <c r="I129" t="s">
        <v>439</v>
      </c>
      <c r="J129" t="s">
        <v>971</v>
      </c>
      <c r="K129" t="s">
        <v>972</v>
      </c>
      <c r="L129" t="s">
        <v>69</v>
      </c>
      <c r="M129" t="s">
        <v>69</v>
      </c>
      <c r="N129" t="s">
        <v>69</v>
      </c>
      <c r="O129" t="s">
        <v>69</v>
      </c>
      <c r="P129" t="s">
        <v>70</v>
      </c>
      <c r="Q129" t="s">
        <v>71</v>
      </c>
      <c r="R129" s="3" t="s">
        <v>492</v>
      </c>
      <c r="S129">
        <v>24</v>
      </c>
      <c r="T129" t="s">
        <v>72</v>
      </c>
      <c r="U129" t="s">
        <v>73</v>
      </c>
      <c r="V129" t="s">
        <v>74</v>
      </c>
      <c r="W129" t="s">
        <v>74</v>
      </c>
      <c r="X129">
        <v>4</v>
      </c>
      <c r="Y129">
        <v>4</v>
      </c>
      <c r="Z129">
        <v>4</v>
      </c>
      <c r="AA129">
        <v>4</v>
      </c>
      <c r="AB129">
        <v>4</v>
      </c>
      <c r="AC129">
        <v>4</v>
      </c>
      <c r="AD129">
        <v>4</v>
      </c>
      <c r="AE129">
        <v>4</v>
      </c>
      <c r="AF129">
        <v>4</v>
      </c>
      <c r="AG129">
        <v>4</v>
      </c>
      <c r="AH129">
        <v>4</v>
      </c>
      <c r="AI129">
        <v>4</v>
      </c>
      <c r="AJ129">
        <v>4</v>
      </c>
      <c r="AK129">
        <v>4</v>
      </c>
      <c r="AL129">
        <v>4</v>
      </c>
      <c r="AM129">
        <v>4</v>
      </c>
      <c r="AN129">
        <v>4</v>
      </c>
      <c r="AO129">
        <v>4</v>
      </c>
      <c r="AP129">
        <v>1</v>
      </c>
      <c r="AQ129">
        <v>4</v>
      </c>
      <c r="AR129" t="s">
        <v>75</v>
      </c>
      <c r="AT129">
        <v>0</v>
      </c>
      <c r="AU129" t="s">
        <v>69</v>
      </c>
      <c r="AW129">
        <v>0</v>
      </c>
      <c r="AX129" t="s">
        <v>69</v>
      </c>
      <c r="AY129" t="s">
        <v>83</v>
      </c>
      <c r="AZ129" t="s">
        <v>96</v>
      </c>
      <c r="BA129">
        <v>0</v>
      </c>
      <c r="BB129">
        <v>0</v>
      </c>
      <c r="BC129" t="s">
        <v>973</v>
      </c>
      <c r="BD129" t="s">
        <v>79</v>
      </c>
      <c r="BE129" t="s">
        <v>442</v>
      </c>
      <c r="BF129" t="s">
        <v>79</v>
      </c>
      <c r="BG129" t="s">
        <v>442</v>
      </c>
      <c r="BH129" t="s">
        <v>79</v>
      </c>
      <c r="BI129" t="s">
        <v>83</v>
      </c>
    </row>
    <row r="130" spans="1:61" x14ac:dyDescent="0.35">
      <c r="A130">
        <v>129</v>
      </c>
      <c r="B130">
        <v>45840.424872685187</v>
      </c>
      <c r="C130" t="s">
        <v>974</v>
      </c>
      <c r="D130" t="s">
        <v>975</v>
      </c>
      <c r="E130" t="s">
        <v>63</v>
      </c>
      <c r="F130" t="s">
        <v>86</v>
      </c>
      <c r="G130" t="s">
        <v>976</v>
      </c>
      <c r="H130" t="s">
        <v>459</v>
      </c>
      <c r="I130" t="s">
        <v>439</v>
      </c>
      <c r="J130" t="s">
        <v>971</v>
      </c>
      <c r="K130" t="s">
        <v>977</v>
      </c>
      <c r="L130" t="s">
        <v>69</v>
      </c>
      <c r="M130" t="s">
        <v>69</v>
      </c>
      <c r="N130" t="s">
        <v>69</v>
      </c>
      <c r="O130" t="s">
        <v>69</v>
      </c>
      <c r="P130" t="s">
        <v>70</v>
      </c>
      <c r="Q130" t="s">
        <v>71</v>
      </c>
      <c r="R130" s="3" t="s">
        <v>217</v>
      </c>
      <c r="S130">
        <v>20</v>
      </c>
      <c r="T130" t="s">
        <v>131</v>
      </c>
      <c r="U130" t="s">
        <v>73</v>
      </c>
      <c r="V130" t="s">
        <v>74</v>
      </c>
      <c r="W130" t="s">
        <v>74</v>
      </c>
      <c r="X130">
        <v>3</v>
      </c>
      <c r="Y130">
        <v>3</v>
      </c>
      <c r="Z130">
        <v>3</v>
      </c>
      <c r="AA130">
        <v>3</v>
      </c>
      <c r="AB130">
        <v>3</v>
      </c>
      <c r="AC130">
        <v>3</v>
      </c>
      <c r="AD130">
        <v>3</v>
      </c>
      <c r="AE130">
        <v>3</v>
      </c>
      <c r="AF130">
        <v>3</v>
      </c>
      <c r="AG130">
        <v>3</v>
      </c>
      <c r="AH130">
        <v>3</v>
      </c>
      <c r="AI130">
        <v>3</v>
      </c>
      <c r="AJ130">
        <v>3</v>
      </c>
      <c r="AK130">
        <v>3</v>
      </c>
      <c r="AL130">
        <v>3</v>
      </c>
      <c r="AM130">
        <v>3</v>
      </c>
      <c r="AN130">
        <v>3</v>
      </c>
      <c r="AO130">
        <v>3</v>
      </c>
      <c r="AP130">
        <v>1</v>
      </c>
      <c r="AQ130">
        <v>4</v>
      </c>
      <c r="AR130" t="s">
        <v>69</v>
      </c>
      <c r="AT130">
        <v>0</v>
      </c>
      <c r="AU130" t="s">
        <v>69</v>
      </c>
      <c r="AW130">
        <v>0</v>
      </c>
      <c r="AX130" t="s">
        <v>69</v>
      </c>
      <c r="AY130" t="s">
        <v>83</v>
      </c>
      <c r="AZ130" t="s">
        <v>96</v>
      </c>
      <c r="BA130">
        <v>0</v>
      </c>
      <c r="BB130">
        <v>0</v>
      </c>
      <c r="BC130" t="s">
        <v>442</v>
      </c>
      <c r="BD130" t="s">
        <v>79</v>
      </c>
      <c r="BE130" t="s">
        <v>442</v>
      </c>
      <c r="BF130" t="s">
        <v>79</v>
      </c>
      <c r="BG130" t="s">
        <v>442</v>
      </c>
      <c r="BH130" t="s">
        <v>79</v>
      </c>
      <c r="BI130" t="s">
        <v>83</v>
      </c>
    </row>
    <row r="131" spans="1:61" x14ac:dyDescent="0.35">
      <c r="A131">
        <v>130</v>
      </c>
      <c r="B131">
        <v>45840.440787037034</v>
      </c>
      <c r="C131" t="s">
        <v>978</v>
      </c>
      <c r="D131" t="s">
        <v>979</v>
      </c>
      <c r="E131" t="s">
        <v>63</v>
      </c>
      <c r="F131" t="s">
        <v>757</v>
      </c>
      <c r="G131" t="s">
        <v>980</v>
      </c>
      <c r="H131" t="s">
        <v>981</v>
      </c>
      <c r="I131" t="s">
        <v>982</v>
      </c>
      <c r="J131" t="s">
        <v>983</v>
      </c>
      <c r="K131" t="s">
        <v>984</v>
      </c>
      <c r="L131" t="s">
        <v>69</v>
      </c>
      <c r="M131" t="s">
        <v>69</v>
      </c>
      <c r="N131" t="s">
        <v>69</v>
      </c>
      <c r="O131" t="s">
        <v>69</v>
      </c>
      <c r="P131" t="s">
        <v>106</v>
      </c>
      <c r="Q131" t="s">
        <v>71</v>
      </c>
      <c r="R131" s="3" t="s">
        <v>483</v>
      </c>
      <c r="S131">
        <v>28</v>
      </c>
      <c r="T131" t="s">
        <v>92</v>
      </c>
      <c r="U131" t="s">
        <v>93</v>
      </c>
      <c r="V131" t="s">
        <v>74</v>
      </c>
      <c r="W131" t="s">
        <v>74</v>
      </c>
      <c r="X131">
        <v>3</v>
      </c>
      <c r="Y131">
        <v>2</v>
      </c>
      <c r="Z131">
        <v>4</v>
      </c>
      <c r="AA131">
        <v>3</v>
      </c>
      <c r="AB131">
        <v>4</v>
      </c>
      <c r="AC131">
        <v>4</v>
      </c>
      <c r="AD131">
        <v>3</v>
      </c>
      <c r="AE131">
        <v>3</v>
      </c>
      <c r="AF131">
        <v>3</v>
      </c>
      <c r="AG131">
        <v>4</v>
      </c>
      <c r="AH131">
        <v>4</v>
      </c>
      <c r="AI131">
        <v>4</v>
      </c>
      <c r="AJ131">
        <v>4</v>
      </c>
      <c r="AK131">
        <v>4</v>
      </c>
      <c r="AL131">
        <v>4</v>
      </c>
      <c r="AM131">
        <v>4</v>
      </c>
      <c r="AN131">
        <v>4</v>
      </c>
      <c r="AO131">
        <v>4</v>
      </c>
      <c r="AP131">
        <v>1</v>
      </c>
      <c r="AQ131">
        <v>4</v>
      </c>
      <c r="AR131" t="s">
        <v>75</v>
      </c>
      <c r="AT131">
        <v>0</v>
      </c>
      <c r="AU131" t="s">
        <v>69</v>
      </c>
      <c r="AW131">
        <v>0</v>
      </c>
      <c r="AX131" t="s">
        <v>69</v>
      </c>
      <c r="AY131" t="s">
        <v>83</v>
      </c>
      <c r="AZ131" t="s">
        <v>96</v>
      </c>
      <c r="BA131">
        <v>0</v>
      </c>
      <c r="BB131">
        <v>0</v>
      </c>
      <c r="BC131" t="s">
        <v>985</v>
      </c>
      <c r="BD131" t="s">
        <v>79</v>
      </c>
      <c r="BE131" t="s">
        <v>985</v>
      </c>
      <c r="BF131" t="s">
        <v>79</v>
      </c>
      <c r="BG131" t="s">
        <v>985</v>
      </c>
      <c r="BH131" t="s">
        <v>79</v>
      </c>
      <c r="BI131" t="s">
        <v>83</v>
      </c>
    </row>
    <row r="132" spans="1:61" x14ac:dyDescent="0.35">
      <c r="A132">
        <v>131</v>
      </c>
      <c r="B132">
        <v>45840.445960648147</v>
      </c>
      <c r="C132" t="s">
        <v>986</v>
      </c>
      <c r="D132" t="s">
        <v>987</v>
      </c>
      <c r="E132" t="s">
        <v>63</v>
      </c>
      <c r="F132" t="s">
        <v>757</v>
      </c>
      <c r="G132" t="s">
        <v>988</v>
      </c>
      <c r="H132" t="s">
        <v>981</v>
      </c>
      <c r="I132" t="s">
        <v>982</v>
      </c>
      <c r="J132" t="s">
        <v>989</v>
      </c>
      <c r="K132" t="s">
        <v>990</v>
      </c>
      <c r="L132" t="s">
        <v>69</v>
      </c>
      <c r="M132" t="s">
        <v>69</v>
      </c>
      <c r="N132" t="s">
        <v>69</v>
      </c>
      <c r="O132" t="s">
        <v>69</v>
      </c>
      <c r="P132" t="s">
        <v>106</v>
      </c>
      <c r="Q132" t="s">
        <v>71</v>
      </c>
      <c r="R132" s="3" t="s">
        <v>217</v>
      </c>
      <c r="S132">
        <v>20</v>
      </c>
      <c r="T132" t="s">
        <v>131</v>
      </c>
      <c r="U132" t="s">
        <v>73</v>
      </c>
      <c r="V132" t="s">
        <v>991</v>
      </c>
      <c r="W132" t="s">
        <v>133</v>
      </c>
      <c r="X132">
        <v>4</v>
      </c>
      <c r="Y132">
        <v>4</v>
      </c>
      <c r="Z132">
        <v>4</v>
      </c>
      <c r="AA132">
        <v>4</v>
      </c>
      <c r="AB132">
        <v>4</v>
      </c>
      <c r="AC132">
        <v>4</v>
      </c>
      <c r="AD132">
        <v>4</v>
      </c>
      <c r="AE132">
        <v>4</v>
      </c>
      <c r="AF132">
        <v>4</v>
      </c>
      <c r="AG132">
        <v>4</v>
      </c>
      <c r="AH132">
        <v>4</v>
      </c>
      <c r="AI132">
        <v>4</v>
      </c>
      <c r="AJ132">
        <v>4</v>
      </c>
      <c r="AK132">
        <v>4</v>
      </c>
      <c r="AL132">
        <v>4</v>
      </c>
      <c r="AM132">
        <v>4</v>
      </c>
      <c r="AN132">
        <v>4</v>
      </c>
      <c r="AO132">
        <v>4</v>
      </c>
      <c r="AP132">
        <v>1</v>
      </c>
      <c r="AQ132">
        <v>4</v>
      </c>
      <c r="AR132" t="s">
        <v>75</v>
      </c>
      <c r="AT132">
        <v>0</v>
      </c>
      <c r="AU132" t="s">
        <v>69</v>
      </c>
      <c r="AW132">
        <v>0</v>
      </c>
      <c r="AX132" t="s">
        <v>69</v>
      </c>
      <c r="AY132" t="s">
        <v>83</v>
      </c>
      <c r="AZ132" t="s">
        <v>96</v>
      </c>
      <c r="BA132">
        <v>0</v>
      </c>
      <c r="BB132">
        <v>0</v>
      </c>
      <c r="BC132" t="s">
        <v>992</v>
      </c>
      <c r="BD132" t="s">
        <v>112</v>
      </c>
      <c r="BE132" t="s">
        <v>985</v>
      </c>
      <c r="BF132" t="s">
        <v>79</v>
      </c>
      <c r="BG132" t="s">
        <v>985</v>
      </c>
      <c r="BH132" t="s">
        <v>79</v>
      </c>
      <c r="BI132" t="s">
        <v>83</v>
      </c>
    </row>
    <row r="133" spans="1:61" x14ac:dyDescent="0.35">
      <c r="A133">
        <v>132</v>
      </c>
      <c r="B133">
        <v>45840.450312499997</v>
      </c>
      <c r="C133" t="s">
        <v>993</v>
      </c>
      <c r="D133" t="s">
        <v>994</v>
      </c>
      <c r="E133" t="s">
        <v>63</v>
      </c>
      <c r="F133" t="s">
        <v>136</v>
      </c>
      <c r="G133" t="s">
        <v>995</v>
      </c>
      <c r="H133" t="s">
        <v>981</v>
      </c>
      <c r="I133" t="s">
        <v>982</v>
      </c>
      <c r="J133" t="s">
        <v>996</v>
      </c>
      <c r="K133" t="s">
        <v>997</v>
      </c>
      <c r="L133" t="s">
        <v>69</v>
      </c>
      <c r="M133" t="s">
        <v>69</v>
      </c>
      <c r="N133" t="s">
        <v>69</v>
      </c>
      <c r="O133" t="s">
        <v>69</v>
      </c>
      <c r="P133" t="s">
        <v>106</v>
      </c>
      <c r="Q133" t="s">
        <v>71</v>
      </c>
      <c r="R133" s="3" t="s">
        <v>389</v>
      </c>
      <c r="S133">
        <v>47</v>
      </c>
      <c r="T133" t="s">
        <v>225</v>
      </c>
      <c r="U133" t="s">
        <v>73</v>
      </c>
      <c r="V133" t="s">
        <v>154</v>
      </c>
      <c r="W133" t="s">
        <v>154</v>
      </c>
      <c r="X133">
        <v>4</v>
      </c>
      <c r="Y133">
        <v>4</v>
      </c>
      <c r="Z133">
        <v>4</v>
      </c>
      <c r="AA133">
        <v>4</v>
      </c>
      <c r="AB133">
        <v>4</v>
      </c>
      <c r="AC133">
        <v>4</v>
      </c>
      <c r="AD133">
        <v>4</v>
      </c>
      <c r="AE133">
        <v>4</v>
      </c>
      <c r="AF133">
        <v>4</v>
      </c>
      <c r="AG133">
        <v>4</v>
      </c>
      <c r="AH133">
        <v>4</v>
      </c>
      <c r="AI133">
        <v>4</v>
      </c>
      <c r="AJ133">
        <v>4</v>
      </c>
      <c r="AK133">
        <v>4</v>
      </c>
      <c r="AL133">
        <v>4</v>
      </c>
      <c r="AM133">
        <v>4</v>
      </c>
      <c r="AN133">
        <v>4</v>
      </c>
      <c r="AO133">
        <v>4</v>
      </c>
      <c r="AP133">
        <v>1</v>
      </c>
      <c r="AQ133">
        <v>4</v>
      </c>
      <c r="AR133" t="s">
        <v>75</v>
      </c>
      <c r="AT133">
        <v>0</v>
      </c>
      <c r="AU133" t="s">
        <v>69</v>
      </c>
      <c r="AW133">
        <v>0</v>
      </c>
      <c r="AX133" t="s">
        <v>69</v>
      </c>
      <c r="AY133" t="s">
        <v>83</v>
      </c>
      <c r="AZ133" t="s">
        <v>96</v>
      </c>
      <c r="BA133">
        <v>0</v>
      </c>
      <c r="BB133">
        <v>0</v>
      </c>
      <c r="BC133" t="s">
        <v>985</v>
      </c>
      <c r="BD133" t="s">
        <v>79</v>
      </c>
      <c r="BE133" t="s">
        <v>985</v>
      </c>
      <c r="BF133" t="s">
        <v>79</v>
      </c>
      <c r="BG133" t="s">
        <v>985</v>
      </c>
      <c r="BH133" t="s">
        <v>79</v>
      </c>
      <c r="BI133" t="s">
        <v>83</v>
      </c>
    </row>
    <row r="134" spans="1:61" x14ac:dyDescent="0.35">
      <c r="A134">
        <v>133</v>
      </c>
      <c r="B134">
        <v>45840.453796296293</v>
      </c>
      <c r="C134" t="s">
        <v>998</v>
      </c>
      <c r="D134" t="s">
        <v>999</v>
      </c>
      <c r="E134" t="s">
        <v>63</v>
      </c>
      <c r="F134" t="s">
        <v>63</v>
      </c>
      <c r="G134" t="s">
        <v>1000</v>
      </c>
      <c r="H134" t="s">
        <v>981</v>
      </c>
      <c r="I134" t="s">
        <v>982</v>
      </c>
      <c r="J134" t="s">
        <v>981</v>
      </c>
      <c r="K134" t="s">
        <v>1001</v>
      </c>
      <c r="L134" t="s">
        <v>69</v>
      </c>
      <c r="M134" t="s">
        <v>69</v>
      </c>
      <c r="N134" t="s">
        <v>69</v>
      </c>
      <c r="O134" t="s">
        <v>69</v>
      </c>
      <c r="P134" t="s">
        <v>70</v>
      </c>
      <c r="Q134" t="s">
        <v>71</v>
      </c>
      <c r="R134" s="3" t="s">
        <v>91</v>
      </c>
      <c r="S134">
        <v>27</v>
      </c>
      <c r="T134" t="s">
        <v>92</v>
      </c>
      <c r="U134" t="s">
        <v>73</v>
      </c>
      <c r="V134" t="s">
        <v>991</v>
      </c>
      <c r="W134" t="s">
        <v>133</v>
      </c>
      <c r="X134">
        <v>4</v>
      </c>
      <c r="Y134">
        <v>4</v>
      </c>
      <c r="Z134">
        <v>4</v>
      </c>
      <c r="AA134">
        <v>4</v>
      </c>
      <c r="AB134">
        <v>4</v>
      </c>
      <c r="AC134">
        <v>3</v>
      </c>
      <c r="AD134">
        <v>4</v>
      </c>
      <c r="AE134">
        <v>4</v>
      </c>
      <c r="AF134">
        <v>4</v>
      </c>
      <c r="AG134">
        <v>4</v>
      </c>
      <c r="AH134">
        <v>4</v>
      </c>
      <c r="AI134">
        <v>4</v>
      </c>
      <c r="AJ134">
        <v>4</v>
      </c>
      <c r="AK134">
        <v>4</v>
      </c>
      <c r="AL134">
        <v>4</v>
      </c>
      <c r="AM134">
        <v>4</v>
      </c>
      <c r="AN134">
        <v>4</v>
      </c>
      <c r="AO134">
        <v>4</v>
      </c>
      <c r="AP134">
        <v>1</v>
      </c>
      <c r="AQ134">
        <v>4</v>
      </c>
      <c r="AR134" t="s">
        <v>75</v>
      </c>
      <c r="AT134">
        <v>0</v>
      </c>
      <c r="AU134" t="s">
        <v>69</v>
      </c>
      <c r="AW134">
        <v>0</v>
      </c>
      <c r="AX134" t="s">
        <v>69</v>
      </c>
      <c r="AY134" t="s">
        <v>83</v>
      </c>
      <c r="AZ134" t="s">
        <v>96</v>
      </c>
      <c r="BA134">
        <v>0</v>
      </c>
      <c r="BB134">
        <v>0</v>
      </c>
      <c r="BC134" t="s">
        <v>985</v>
      </c>
      <c r="BD134" t="s">
        <v>79</v>
      </c>
      <c r="BE134" t="s">
        <v>985</v>
      </c>
      <c r="BF134" t="s">
        <v>79</v>
      </c>
      <c r="BG134" t="s">
        <v>985</v>
      </c>
      <c r="BH134" t="s">
        <v>79</v>
      </c>
      <c r="BI134" t="s">
        <v>83</v>
      </c>
    </row>
    <row r="135" spans="1:61" x14ac:dyDescent="0.35">
      <c r="A135">
        <v>134</v>
      </c>
      <c r="B135">
        <v>45840.456921296296</v>
      </c>
      <c r="C135" t="s">
        <v>1002</v>
      </c>
      <c r="D135" t="s">
        <v>1003</v>
      </c>
      <c r="E135" t="s">
        <v>63</v>
      </c>
      <c r="F135" t="s">
        <v>125</v>
      </c>
      <c r="G135" t="s">
        <v>1004</v>
      </c>
      <c r="H135" t="s">
        <v>981</v>
      </c>
      <c r="I135" t="s">
        <v>982</v>
      </c>
      <c r="J135" t="s">
        <v>989</v>
      </c>
      <c r="K135" t="s">
        <v>1005</v>
      </c>
      <c r="L135" t="s">
        <v>69</v>
      </c>
      <c r="M135" t="s">
        <v>69</v>
      </c>
      <c r="N135" t="s">
        <v>69</v>
      </c>
      <c r="O135" t="s">
        <v>69</v>
      </c>
      <c r="P135" t="s">
        <v>106</v>
      </c>
      <c r="Q135" t="s">
        <v>71</v>
      </c>
      <c r="R135" s="3" t="s">
        <v>1006</v>
      </c>
      <c r="S135">
        <v>26</v>
      </c>
      <c r="T135" t="s">
        <v>92</v>
      </c>
      <c r="U135" t="s">
        <v>93</v>
      </c>
      <c r="V135" t="s">
        <v>1007</v>
      </c>
      <c r="W135" t="s">
        <v>143</v>
      </c>
      <c r="X135">
        <v>4</v>
      </c>
      <c r="Y135">
        <v>3</v>
      </c>
      <c r="Z135">
        <v>4</v>
      </c>
      <c r="AA135">
        <v>3</v>
      </c>
      <c r="AB135">
        <v>4</v>
      </c>
      <c r="AC135">
        <v>4</v>
      </c>
      <c r="AD135">
        <v>4</v>
      </c>
      <c r="AE135">
        <v>4</v>
      </c>
      <c r="AF135">
        <v>4</v>
      </c>
      <c r="AG135">
        <v>4</v>
      </c>
      <c r="AH135">
        <v>4</v>
      </c>
      <c r="AI135">
        <v>4</v>
      </c>
      <c r="AJ135">
        <v>4</v>
      </c>
      <c r="AK135">
        <v>4</v>
      </c>
      <c r="AL135">
        <v>4</v>
      </c>
      <c r="AM135">
        <v>4</v>
      </c>
      <c r="AN135">
        <v>4</v>
      </c>
      <c r="AO135">
        <v>4</v>
      </c>
      <c r="AP135">
        <v>1</v>
      </c>
      <c r="AQ135">
        <v>4</v>
      </c>
      <c r="AR135" t="s">
        <v>75</v>
      </c>
      <c r="AT135">
        <v>0</v>
      </c>
      <c r="AU135" t="s">
        <v>69</v>
      </c>
      <c r="AW135">
        <v>0</v>
      </c>
      <c r="AX135" t="s">
        <v>69</v>
      </c>
      <c r="AY135" t="s">
        <v>83</v>
      </c>
      <c r="AZ135" t="s">
        <v>96</v>
      </c>
      <c r="BA135">
        <v>0</v>
      </c>
      <c r="BB135">
        <v>0</v>
      </c>
      <c r="BC135" t="s">
        <v>985</v>
      </c>
      <c r="BD135" t="s">
        <v>79</v>
      </c>
      <c r="BE135" t="s">
        <v>985</v>
      </c>
      <c r="BF135" t="s">
        <v>79</v>
      </c>
      <c r="BG135" t="s">
        <v>985</v>
      </c>
      <c r="BH135" t="s">
        <v>79</v>
      </c>
      <c r="BI135" t="s">
        <v>83</v>
      </c>
    </row>
    <row r="136" spans="1:61" x14ac:dyDescent="0.35">
      <c r="A136">
        <v>135</v>
      </c>
      <c r="B136">
        <v>45840.663576388892</v>
      </c>
      <c r="C136" t="s">
        <v>1008</v>
      </c>
      <c r="D136" t="s">
        <v>1009</v>
      </c>
      <c r="E136" t="s">
        <v>63</v>
      </c>
      <c r="F136" t="s">
        <v>1010</v>
      </c>
      <c r="G136" t="s">
        <v>1011</v>
      </c>
      <c r="H136" t="s">
        <v>981</v>
      </c>
      <c r="I136" t="s">
        <v>982</v>
      </c>
      <c r="J136" t="s">
        <v>151</v>
      </c>
      <c r="K136" t="s">
        <v>1012</v>
      </c>
      <c r="L136" t="s">
        <v>69</v>
      </c>
      <c r="M136" t="s">
        <v>69</v>
      </c>
      <c r="N136" t="s">
        <v>69</v>
      </c>
      <c r="O136" t="s">
        <v>69</v>
      </c>
      <c r="P136" t="s">
        <v>106</v>
      </c>
      <c r="Q136" t="s">
        <v>292</v>
      </c>
      <c r="R136" s="3" t="s">
        <v>431</v>
      </c>
      <c r="S136">
        <v>19</v>
      </c>
      <c r="T136" t="s">
        <v>131</v>
      </c>
      <c r="U136" t="s">
        <v>73</v>
      </c>
      <c r="V136" t="s">
        <v>94</v>
      </c>
      <c r="W136" t="s">
        <v>95</v>
      </c>
      <c r="X136">
        <v>3</v>
      </c>
      <c r="Y136">
        <v>3</v>
      </c>
      <c r="Z136">
        <v>4</v>
      </c>
      <c r="AA136">
        <v>3</v>
      </c>
      <c r="AB136">
        <v>3</v>
      </c>
      <c r="AC136">
        <v>4</v>
      </c>
      <c r="AD136">
        <v>4</v>
      </c>
      <c r="AE136">
        <v>4</v>
      </c>
      <c r="AF136">
        <v>3</v>
      </c>
      <c r="AG136">
        <v>3</v>
      </c>
      <c r="AH136">
        <v>4</v>
      </c>
      <c r="AI136">
        <v>4</v>
      </c>
      <c r="AJ136">
        <v>4</v>
      </c>
      <c r="AK136">
        <v>4</v>
      </c>
      <c r="AL136">
        <v>4</v>
      </c>
      <c r="AM136">
        <v>4</v>
      </c>
      <c r="AN136">
        <v>4</v>
      </c>
      <c r="AO136">
        <v>4</v>
      </c>
      <c r="AQ136">
        <v>0</v>
      </c>
      <c r="AR136" t="s">
        <v>69</v>
      </c>
      <c r="AT136">
        <v>0</v>
      </c>
      <c r="AU136" t="s">
        <v>69</v>
      </c>
      <c r="AW136">
        <v>0</v>
      </c>
      <c r="AX136" t="s">
        <v>69</v>
      </c>
      <c r="AY136" t="s">
        <v>166</v>
      </c>
      <c r="AZ136" t="s">
        <v>77</v>
      </c>
      <c r="BA136">
        <v>4</v>
      </c>
      <c r="BB136">
        <v>0</v>
      </c>
      <c r="BC136" t="s">
        <v>985</v>
      </c>
      <c r="BD136" t="s">
        <v>79</v>
      </c>
      <c r="BE136" t="s">
        <v>1013</v>
      </c>
      <c r="BF136" t="s">
        <v>157</v>
      </c>
      <c r="BG136" t="s">
        <v>985</v>
      </c>
      <c r="BH136" t="s">
        <v>79</v>
      </c>
      <c r="BI136" t="s">
        <v>83</v>
      </c>
    </row>
    <row r="137" spans="1:61" x14ac:dyDescent="0.35">
      <c r="A137">
        <v>136</v>
      </c>
      <c r="B137">
        <v>45840.667210648149</v>
      </c>
      <c r="C137" t="s">
        <v>1014</v>
      </c>
      <c r="D137" t="s">
        <v>1015</v>
      </c>
      <c r="E137" t="s">
        <v>63</v>
      </c>
      <c r="F137" t="s">
        <v>338</v>
      </c>
      <c r="G137" t="s">
        <v>1016</v>
      </c>
      <c r="H137" t="s">
        <v>981</v>
      </c>
      <c r="I137" t="s">
        <v>982</v>
      </c>
      <c r="J137" t="s">
        <v>151</v>
      </c>
      <c r="K137" t="s">
        <v>1017</v>
      </c>
      <c r="L137" t="s">
        <v>69</v>
      </c>
      <c r="M137" t="s">
        <v>69</v>
      </c>
      <c r="N137" t="s">
        <v>69</v>
      </c>
      <c r="O137" t="s">
        <v>69</v>
      </c>
      <c r="P137" t="s">
        <v>70</v>
      </c>
      <c r="Q137" t="s">
        <v>292</v>
      </c>
      <c r="R137" s="3" t="s">
        <v>217</v>
      </c>
      <c r="S137">
        <v>20</v>
      </c>
      <c r="T137" t="s">
        <v>131</v>
      </c>
      <c r="U137" t="s">
        <v>73</v>
      </c>
      <c r="V137" t="s">
        <v>94</v>
      </c>
      <c r="W137" t="s">
        <v>95</v>
      </c>
      <c r="X137">
        <v>3</v>
      </c>
      <c r="Y137">
        <v>4</v>
      </c>
      <c r="Z137">
        <v>3</v>
      </c>
      <c r="AA137">
        <v>3</v>
      </c>
      <c r="AB137">
        <v>3</v>
      </c>
      <c r="AC137">
        <v>3</v>
      </c>
      <c r="AD137">
        <v>3</v>
      </c>
      <c r="AE137">
        <v>3</v>
      </c>
      <c r="AF137">
        <v>4</v>
      </c>
      <c r="AG137">
        <v>4</v>
      </c>
      <c r="AH137">
        <v>4</v>
      </c>
      <c r="AI137">
        <v>4</v>
      </c>
      <c r="AJ137">
        <v>4</v>
      </c>
      <c r="AK137">
        <v>4</v>
      </c>
      <c r="AL137">
        <v>4</v>
      </c>
      <c r="AM137">
        <v>4</v>
      </c>
      <c r="AN137">
        <v>4</v>
      </c>
      <c r="AO137">
        <v>3</v>
      </c>
      <c r="AQ137">
        <v>0</v>
      </c>
      <c r="AR137" t="s">
        <v>69</v>
      </c>
      <c r="AT137">
        <v>0</v>
      </c>
      <c r="AU137" t="s">
        <v>69</v>
      </c>
      <c r="AV137">
        <v>1</v>
      </c>
      <c r="AW137">
        <v>4</v>
      </c>
      <c r="AX137" t="s">
        <v>75</v>
      </c>
      <c r="AY137" t="s">
        <v>83</v>
      </c>
      <c r="AZ137" t="s">
        <v>96</v>
      </c>
      <c r="BA137">
        <v>0</v>
      </c>
      <c r="BB137">
        <v>0</v>
      </c>
      <c r="BC137" t="s">
        <v>985</v>
      </c>
      <c r="BD137" t="s">
        <v>79</v>
      </c>
      <c r="BE137" t="s">
        <v>985</v>
      </c>
      <c r="BF137" t="s">
        <v>79</v>
      </c>
      <c r="BG137" t="s">
        <v>985</v>
      </c>
      <c r="BH137" t="s">
        <v>79</v>
      </c>
      <c r="BI137" t="s">
        <v>83</v>
      </c>
    </row>
    <row r="138" spans="1:61" x14ac:dyDescent="0.35">
      <c r="A138">
        <v>137</v>
      </c>
      <c r="B138">
        <v>45840.671724537038</v>
      </c>
      <c r="C138" t="s">
        <v>1018</v>
      </c>
      <c r="D138" t="s">
        <v>1019</v>
      </c>
      <c r="E138" t="s">
        <v>63</v>
      </c>
      <c r="F138" t="s">
        <v>240</v>
      </c>
      <c r="G138" t="s">
        <v>1020</v>
      </c>
      <c r="H138" t="s">
        <v>981</v>
      </c>
      <c r="I138" t="s">
        <v>982</v>
      </c>
      <c r="J138" t="s">
        <v>151</v>
      </c>
      <c r="K138" t="s">
        <v>872</v>
      </c>
      <c r="L138" t="s">
        <v>69</v>
      </c>
      <c r="M138" t="s">
        <v>69</v>
      </c>
      <c r="N138" t="s">
        <v>69</v>
      </c>
      <c r="O138" t="s">
        <v>69</v>
      </c>
      <c r="P138" t="s">
        <v>106</v>
      </c>
      <c r="Q138" t="s">
        <v>292</v>
      </c>
      <c r="R138" s="3" t="s">
        <v>217</v>
      </c>
      <c r="S138">
        <v>20</v>
      </c>
      <c r="T138" t="s">
        <v>131</v>
      </c>
      <c r="U138" t="s">
        <v>73</v>
      </c>
      <c r="V138" t="s">
        <v>74</v>
      </c>
      <c r="W138" t="s">
        <v>74</v>
      </c>
      <c r="X138">
        <v>3</v>
      </c>
      <c r="Y138">
        <v>3</v>
      </c>
      <c r="Z138">
        <v>4</v>
      </c>
      <c r="AA138">
        <v>3</v>
      </c>
      <c r="AB138">
        <v>3</v>
      </c>
      <c r="AC138">
        <v>4</v>
      </c>
      <c r="AD138">
        <v>4</v>
      </c>
      <c r="AE138">
        <v>3</v>
      </c>
      <c r="AF138">
        <v>4</v>
      </c>
      <c r="AG138">
        <v>3</v>
      </c>
      <c r="AH138">
        <v>3</v>
      </c>
      <c r="AI138">
        <v>3</v>
      </c>
      <c r="AJ138">
        <v>3</v>
      </c>
      <c r="AK138">
        <v>3</v>
      </c>
      <c r="AL138">
        <v>4</v>
      </c>
      <c r="AM138">
        <v>3</v>
      </c>
      <c r="AN138">
        <v>4</v>
      </c>
      <c r="AO138">
        <v>3</v>
      </c>
      <c r="AQ138">
        <v>0</v>
      </c>
      <c r="AR138" t="s">
        <v>69</v>
      </c>
      <c r="AT138">
        <v>0</v>
      </c>
      <c r="AU138" t="s">
        <v>69</v>
      </c>
      <c r="AW138">
        <v>0</v>
      </c>
      <c r="AX138" t="s">
        <v>69</v>
      </c>
      <c r="AY138" t="s">
        <v>379</v>
      </c>
      <c r="AZ138" t="s">
        <v>77</v>
      </c>
      <c r="BA138">
        <v>1</v>
      </c>
      <c r="BB138">
        <v>4</v>
      </c>
      <c r="BC138" t="s">
        <v>985</v>
      </c>
      <c r="BD138" t="s">
        <v>79</v>
      </c>
      <c r="BE138" t="s">
        <v>985</v>
      </c>
      <c r="BF138" t="s">
        <v>79</v>
      </c>
      <c r="BG138" t="s">
        <v>985</v>
      </c>
      <c r="BH138" t="s">
        <v>79</v>
      </c>
      <c r="BI138" t="s">
        <v>83</v>
      </c>
    </row>
    <row r="139" spans="1:61" x14ac:dyDescent="0.35">
      <c r="A139">
        <v>138</v>
      </c>
      <c r="B139">
        <v>45840.675347222219</v>
      </c>
      <c r="C139" t="s">
        <v>1021</v>
      </c>
      <c r="D139" t="s">
        <v>1022</v>
      </c>
      <c r="E139" t="s">
        <v>63</v>
      </c>
      <c r="F139" t="s">
        <v>240</v>
      </c>
      <c r="G139" t="s">
        <v>1023</v>
      </c>
      <c r="H139" t="s">
        <v>981</v>
      </c>
      <c r="I139" t="s">
        <v>982</v>
      </c>
      <c r="J139" t="s">
        <v>151</v>
      </c>
      <c r="K139" t="s">
        <v>1024</v>
      </c>
      <c r="L139" t="s">
        <v>69</v>
      </c>
      <c r="M139" t="s">
        <v>69</v>
      </c>
      <c r="N139" t="s">
        <v>69</v>
      </c>
      <c r="O139" t="s">
        <v>69</v>
      </c>
      <c r="P139" t="s">
        <v>106</v>
      </c>
      <c r="Q139" t="s">
        <v>292</v>
      </c>
      <c r="R139" s="3" t="s">
        <v>441</v>
      </c>
      <c r="S139">
        <v>23</v>
      </c>
      <c r="T139" t="s">
        <v>72</v>
      </c>
      <c r="U139" t="s">
        <v>73</v>
      </c>
      <c r="V139" t="s">
        <v>74</v>
      </c>
      <c r="W139" t="s">
        <v>74</v>
      </c>
      <c r="X139">
        <v>4</v>
      </c>
      <c r="Y139">
        <v>4</v>
      </c>
      <c r="Z139">
        <v>4</v>
      </c>
      <c r="AA139">
        <v>4</v>
      </c>
      <c r="AB139">
        <v>4</v>
      </c>
      <c r="AC139">
        <v>4</v>
      </c>
      <c r="AD139">
        <v>4</v>
      </c>
      <c r="AE139">
        <v>4</v>
      </c>
      <c r="AF139">
        <v>4</v>
      </c>
      <c r="AG139">
        <v>4</v>
      </c>
      <c r="AH139">
        <v>4</v>
      </c>
      <c r="AI139">
        <v>4</v>
      </c>
      <c r="AJ139">
        <v>4</v>
      </c>
      <c r="AK139">
        <v>4</v>
      </c>
      <c r="AL139">
        <v>4</v>
      </c>
      <c r="AM139">
        <v>4</v>
      </c>
      <c r="AN139">
        <v>4</v>
      </c>
      <c r="AO139">
        <v>4</v>
      </c>
      <c r="AQ139">
        <v>0</v>
      </c>
      <c r="AR139" t="s">
        <v>69</v>
      </c>
      <c r="AT139">
        <v>0</v>
      </c>
      <c r="AU139" t="s">
        <v>69</v>
      </c>
      <c r="AW139">
        <v>0</v>
      </c>
      <c r="AX139" t="s">
        <v>69</v>
      </c>
      <c r="AY139" t="s">
        <v>144</v>
      </c>
      <c r="AZ139" t="s">
        <v>144</v>
      </c>
      <c r="BA139">
        <v>1</v>
      </c>
      <c r="BB139">
        <v>4</v>
      </c>
      <c r="BC139" t="s">
        <v>985</v>
      </c>
      <c r="BD139" t="s">
        <v>79</v>
      </c>
      <c r="BE139" t="s">
        <v>985</v>
      </c>
      <c r="BF139" t="s">
        <v>79</v>
      </c>
      <c r="BG139" t="s">
        <v>985</v>
      </c>
      <c r="BH139" t="s">
        <v>79</v>
      </c>
      <c r="BI139" t="s">
        <v>83</v>
      </c>
    </row>
    <row r="140" spans="1:61" x14ac:dyDescent="0.35">
      <c r="A140">
        <v>139</v>
      </c>
      <c r="B140">
        <v>45840.6797337963</v>
      </c>
      <c r="C140" t="s">
        <v>1025</v>
      </c>
      <c r="D140" t="s">
        <v>1026</v>
      </c>
      <c r="E140" t="s">
        <v>63</v>
      </c>
      <c r="F140" t="s">
        <v>480</v>
      </c>
      <c r="G140" t="s">
        <v>1027</v>
      </c>
      <c r="H140" t="s">
        <v>981</v>
      </c>
      <c r="I140" t="s">
        <v>982</v>
      </c>
      <c r="J140" t="s">
        <v>151</v>
      </c>
      <c r="K140" t="s">
        <v>355</v>
      </c>
      <c r="L140" t="s">
        <v>69</v>
      </c>
      <c r="M140" t="s">
        <v>69</v>
      </c>
      <c r="N140" t="s">
        <v>69</v>
      </c>
      <c r="O140" t="s">
        <v>69</v>
      </c>
      <c r="P140" t="s">
        <v>70</v>
      </c>
      <c r="Q140" t="s">
        <v>292</v>
      </c>
      <c r="R140" s="3" t="s">
        <v>431</v>
      </c>
      <c r="S140">
        <v>19</v>
      </c>
      <c r="T140" t="s">
        <v>131</v>
      </c>
      <c r="U140" t="s">
        <v>73</v>
      </c>
      <c r="V140" t="s">
        <v>94</v>
      </c>
      <c r="W140" t="s">
        <v>95</v>
      </c>
      <c r="X140">
        <v>4</v>
      </c>
      <c r="Y140">
        <v>4</v>
      </c>
      <c r="Z140">
        <v>4</v>
      </c>
      <c r="AA140">
        <v>4</v>
      </c>
      <c r="AB140">
        <v>4</v>
      </c>
      <c r="AC140">
        <v>3</v>
      </c>
      <c r="AD140">
        <v>4</v>
      </c>
      <c r="AE140">
        <v>4</v>
      </c>
      <c r="AF140">
        <v>4</v>
      </c>
      <c r="AG140">
        <v>4</v>
      </c>
      <c r="AH140">
        <v>4</v>
      </c>
      <c r="AI140">
        <v>4</v>
      </c>
      <c r="AJ140">
        <v>4</v>
      </c>
      <c r="AK140">
        <v>3</v>
      </c>
      <c r="AL140">
        <v>4</v>
      </c>
      <c r="AM140">
        <v>3</v>
      </c>
      <c r="AN140">
        <v>4</v>
      </c>
      <c r="AO140">
        <v>4</v>
      </c>
      <c r="AQ140">
        <v>0</v>
      </c>
      <c r="AR140" t="s">
        <v>75</v>
      </c>
      <c r="AT140">
        <v>0</v>
      </c>
      <c r="AU140" t="s">
        <v>69</v>
      </c>
      <c r="AW140">
        <v>0</v>
      </c>
      <c r="AX140" t="s">
        <v>69</v>
      </c>
      <c r="AY140" t="s">
        <v>77</v>
      </c>
      <c r="AZ140" t="s">
        <v>77</v>
      </c>
      <c r="BA140">
        <v>1</v>
      </c>
      <c r="BB140">
        <v>4</v>
      </c>
      <c r="BC140" t="s">
        <v>985</v>
      </c>
      <c r="BD140" t="s">
        <v>79</v>
      </c>
      <c r="BE140" t="s">
        <v>985</v>
      </c>
      <c r="BF140" t="s">
        <v>79</v>
      </c>
      <c r="BG140" t="s">
        <v>985</v>
      </c>
      <c r="BH140" t="s">
        <v>79</v>
      </c>
      <c r="BI140" t="s">
        <v>83</v>
      </c>
    </row>
    <row r="141" spans="1:61" x14ac:dyDescent="0.35">
      <c r="A141">
        <v>140</v>
      </c>
      <c r="B141">
        <v>45840.686006944445</v>
      </c>
      <c r="C141" t="s">
        <v>1028</v>
      </c>
      <c r="D141" t="s">
        <v>1029</v>
      </c>
      <c r="E141" t="s">
        <v>1030</v>
      </c>
      <c r="F141" t="s">
        <v>1031</v>
      </c>
      <c r="G141" t="s">
        <v>1032</v>
      </c>
      <c r="H141" t="s">
        <v>981</v>
      </c>
      <c r="I141" t="s">
        <v>982</v>
      </c>
      <c r="J141" t="s">
        <v>151</v>
      </c>
      <c r="K141" t="s">
        <v>314</v>
      </c>
      <c r="L141" t="s">
        <v>69</v>
      </c>
      <c r="M141" t="s">
        <v>69</v>
      </c>
      <c r="N141" t="s">
        <v>69</v>
      </c>
      <c r="O141" t="s">
        <v>69</v>
      </c>
      <c r="P141" t="s">
        <v>106</v>
      </c>
      <c r="Q141" t="s">
        <v>271</v>
      </c>
      <c r="R141" s="3" t="s">
        <v>546</v>
      </c>
      <c r="S141">
        <v>31</v>
      </c>
      <c r="T141" t="s">
        <v>109</v>
      </c>
      <c r="U141" t="s">
        <v>73</v>
      </c>
      <c r="V141" t="s">
        <v>74</v>
      </c>
      <c r="W141" t="s">
        <v>74</v>
      </c>
      <c r="X141">
        <v>4</v>
      </c>
      <c r="Y141">
        <v>4</v>
      </c>
      <c r="Z141">
        <v>4</v>
      </c>
      <c r="AA141">
        <v>4</v>
      </c>
      <c r="AB141">
        <v>4</v>
      </c>
      <c r="AC141">
        <v>4</v>
      </c>
      <c r="AD141">
        <v>4</v>
      </c>
      <c r="AE141">
        <v>4</v>
      </c>
      <c r="AF141">
        <v>4</v>
      </c>
      <c r="AG141">
        <v>4</v>
      </c>
      <c r="AH141">
        <v>4</v>
      </c>
      <c r="AI141">
        <v>4</v>
      </c>
      <c r="AJ141">
        <v>4</v>
      </c>
      <c r="AK141">
        <v>4</v>
      </c>
      <c r="AL141">
        <v>4</v>
      </c>
      <c r="AM141">
        <v>4</v>
      </c>
      <c r="AN141">
        <v>4</v>
      </c>
      <c r="AO141">
        <v>4</v>
      </c>
      <c r="AP141">
        <v>1</v>
      </c>
      <c r="AQ141">
        <v>4</v>
      </c>
      <c r="AR141" t="s">
        <v>75</v>
      </c>
      <c r="AT141">
        <v>0</v>
      </c>
      <c r="AU141" t="s">
        <v>69</v>
      </c>
      <c r="AW141">
        <v>0</v>
      </c>
      <c r="AX141" t="s">
        <v>69</v>
      </c>
      <c r="AY141" t="s">
        <v>83</v>
      </c>
      <c r="AZ141" t="s">
        <v>96</v>
      </c>
      <c r="BA141">
        <v>0</v>
      </c>
      <c r="BB141">
        <v>0</v>
      </c>
      <c r="BC141" t="s">
        <v>985</v>
      </c>
      <c r="BD141" t="s">
        <v>79</v>
      </c>
      <c r="BE141" t="s">
        <v>985</v>
      </c>
      <c r="BF141" t="s">
        <v>79</v>
      </c>
      <c r="BG141" t="s">
        <v>985</v>
      </c>
      <c r="BH141" t="s">
        <v>79</v>
      </c>
      <c r="BI141" t="s">
        <v>83</v>
      </c>
    </row>
    <row r="142" spans="1:61" x14ac:dyDescent="0.35">
      <c r="A142">
        <v>141</v>
      </c>
      <c r="B142">
        <v>45840.690312500003</v>
      </c>
      <c r="C142" t="s">
        <v>1033</v>
      </c>
      <c r="D142" t="s">
        <v>1034</v>
      </c>
      <c r="E142" t="s">
        <v>63</v>
      </c>
      <c r="F142" t="s">
        <v>125</v>
      </c>
      <c r="G142" t="s">
        <v>1035</v>
      </c>
      <c r="H142" t="s">
        <v>981</v>
      </c>
      <c r="I142" t="s">
        <v>982</v>
      </c>
      <c r="J142" t="s">
        <v>151</v>
      </c>
      <c r="K142" t="s">
        <v>1036</v>
      </c>
      <c r="L142" t="s">
        <v>69</v>
      </c>
      <c r="M142" t="s">
        <v>69</v>
      </c>
      <c r="N142" t="s">
        <v>69</v>
      </c>
      <c r="O142" t="s">
        <v>69</v>
      </c>
      <c r="P142" t="s">
        <v>70</v>
      </c>
      <c r="Q142" t="s">
        <v>271</v>
      </c>
      <c r="R142" s="3" t="s">
        <v>1037</v>
      </c>
      <c r="S142">
        <v>51</v>
      </c>
      <c r="T142" t="s">
        <v>383</v>
      </c>
      <c r="U142" t="s">
        <v>93</v>
      </c>
      <c r="V142" t="s">
        <v>154</v>
      </c>
      <c r="W142" t="s">
        <v>154</v>
      </c>
      <c r="X142">
        <v>4</v>
      </c>
      <c r="Y142">
        <v>4</v>
      </c>
      <c r="Z142">
        <v>4</v>
      </c>
      <c r="AA142">
        <v>4</v>
      </c>
      <c r="AB142">
        <v>3</v>
      </c>
      <c r="AC142">
        <v>4</v>
      </c>
      <c r="AD142">
        <v>4</v>
      </c>
      <c r="AE142">
        <v>4</v>
      </c>
      <c r="AF142">
        <v>4</v>
      </c>
      <c r="AG142">
        <v>4</v>
      </c>
      <c r="AH142">
        <v>4</v>
      </c>
      <c r="AI142">
        <v>4</v>
      </c>
      <c r="AJ142">
        <v>4</v>
      </c>
      <c r="AK142">
        <v>4</v>
      </c>
      <c r="AL142">
        <v>4</v>
      </c>
      <c r="AM142">
        <v>4</v>
      </c>
      <c r="AN142">
        <v>4</v>
      </c>
      <c r="AO142">
        <v>4</v>
      </c>
      <c r="AQ142">
        <v>0</v>
      </c>
      <c r="AR142" t="s">
        <v>69</v>
      </c>
      <c r="AT142">
        <v>0</v>
      </c>
      <c r="AU142" t="s">
        <v>69</v>
      </c>
      <c r="AW142">
        <v>0</v>
      </c>
      <c r="AX142" t="s">
        <v>69</v>
      </c>
      <c r="AY142" t="s">
        <v>144</v>
      </c>
      <c r="AZ142" t="s">
        <v>144</v>
      </c>
      <c r="BA142">
        <v>1</v>
      </c>
      <c r="BB142">
        <v>4</v>
      </c>
      <c r="BC142" t="s">
        <v>1038</v>
      </c>
      <c r="BD142" t="s">
        <v>112</v>
      </c>
      <c r="BE142" t="s">
        <v>985</v>
      </c>
      <c r="BF142" t="s">
        <v>79</v>
      </c>
      <c r="BG142" t="s">
        <v>1039</v>
      </c>
      <c r="BH142" t="s">
        <v>79</v>
      </c>
      <c r="BI142" t="s">
        <v>83</v>
      </c>
    </row>
    <row r="143" spans="1:61" x14ac:dyDescent="0.35">
      <c r="A143">
        <v>142</v>
      </c>
      <c r="B143">
        <v>45840.694594907407</v>
      </c>
      <c r="C143" t="s">
        <v>1040</v>
      </c>
      <c r="D143" t="s">
        <v>1041</v>
      </c>
      <c r="E143" t="s">
        <v>1030</v>
      </c>
      <c r="F143" t="s">
        <v>1042</v>
      </c>
      <c r="G143" t="s">
        <v>1043</v>
      </c>
      <c r="H143" t="s">
        <v>981</v>
      </c>
      <c r="I143" t="s">
        <v>982</v>
      </c>
      <c r="J143" t="s">
        <v>151</v>
      </c>
      <c r="K143" t="s">
        <v>1044</v>
      </c>
      <c r="L143" t="s">
        <v>69</v>
      </c>
      <c r="M143" t="s">
        <v>69</v>
      </c>
      <c r="N143" t="s">
        <v>69</v>
      </c>
      <c r="O143" t="s">
        <v>69</v>
      </c>
      <c r="P143" t="s">
        <v>106</v>
      </c>
      <c r="Q143" t="s">
        <v>271</v>
      </c>
      <c r="R143" s="3" t="s">
        <v>1045</v>
      </c>
      <c r="S143">
        <v>29</v>
      </c>
      <c r="T143" t="s">
        <v>92</v>
      </c>
      <c r="U143" t="s">
        <v>254</v>
      </c>
      <c r="V143" t="s">
        <v>110</v>
      </c>
      <c r="W143" t="s">
        <v>110</v>
      </c>
      <c r="X143">
        <v>4</v>
      </c>
      <c r="Y143">
        <v>4</v>
      </c>
      <c r="Z143">
        <v>4</v>
      </c>
      <c r="AA143">
        <v>3</v>
      </c>
      <c r="AB143">
        <v>3</v>
      </c>
      <c r="AC143">
        <v>3</v>
      </c>
      <c r="AD143">
        <v>4</v>
      </c>
      <c r="AE143">
        <v>4</v>
      </c>
      <c r="AF143">
        <v>4</v>
      </c>
      <c r="AG143">
        <v>4</v>
      </c>
      <c r="AH143">
        <v>4</v>
      </c>
      <c r="AI143">
        <v>4</v>
      </c>
      <c r="AJ143">
        <v>4</v>
      </c>
      <c r="AK143">
        <v>4</v>
      </c>
      <c r="AL143">
        <v>4</v>
      </c>
      <c r="AM143">
        <v>4</v>
      </c>
      <c r="AN143">
        <v>4</v>
      </c>
      <c r="AO143">
        <v>4</v>
      </c>
      <c r="AQ143">
        <v>0</v>
      </c>
      <c r="AR143" t="s">
        <v>69</v>
      </c>
      <c r="AT143">
        <v>0</v>
      </c>
      <c r="AU143" t="s">
        <v>69</v>
      </c>
      <c r="AW143">
        <v>0</v>
      </c>
      <c r="AX143" t="s">
        <v>69</v>
      </c>
      <c r="AY143" t="s">
        <v>1046</v>
      </c>
      <c r="AZ143" t="s">
        <v>77</v>
      </c>
      <c r="BA143">
        <v>1</v>
      </c>
      <c r="BB143">
        <v>4</v>
      </c>
      <c r="BC143" t="s">
        <v>985</v>
      </c>
      <c r="BD143" t="s">
        <v>79</v>
      </c>
      <c r="BE143" t="s">
        <v>985</v>
      </c>
      <c r="BF143" t="s">
        <v>79</v>
      </c>
      <c r="BG143" t="s">
        <v>985</v>
      </c>
      <c r="BH143" t="s">
        <v>79</v>
      </c>
      <c r="BI143" t="s">
        <v>83</v>
      </c>
    </row>
    <row r="144" spans="1:61" x14ac:dyDescent="0.35">
      <c r="A144">
        <v>143</v>
      </c>
      <c r="B144">
        <v>45840.698287037034</v>
      </c>
      <c r="C144" t="s">
        <v>1047</v>
      </c>
      <c r="D144" t="s">
        <v>1048</v>
      </c>
      <c r="E144" t="s">
        <v>63</v>
      </c>
      <c r="F144" t="s">
        <v>480</v>
      </c>
      <c r="G144" t="s">
        <v>1049</v>
      </c>
      <c r="H144" t="s">
        <v>981</v>
      </c>
      <c r="I144" t="s">
        <v>982</v>
      </c>
      <c r="J144" t="s">
        <v>151</v>
      </c>
      <c r="K144" t="s">
        <v>1050</v>
      </c>
      <c r="L144" t="s">
        <v>69</v>
      </c>
      <c r="M144" t="s">
        <v>69</v>
      </c>
      <c r="N144" t="s">
        <v>69</v>
      </c>
      <c r="O144" t="s">
        <v>69</v>
      </c>
      <c r="P144" t="s">
        <v>106</v>
      </c>
      <c r="Q144" t="s">
        <v>271</v>
      </c>
      <c r="R144" s="3" t="s">
        <v>108</v>
      </c>
      <c r="S144">
        <v>32</v>
      </c>
      <c r="T144" t="s">
        <v>109</v>
      </c>
      <c r="U144" t="s">
        <v>273</v>
      </c>
      <c r="V144" t="s">
        <v>110</v>
      </c>
      <c r="W144" t="s">
        <v>110</v>
      </c>
      <c r="X144">
        <v>4</v>
      </c>
      <c r="Y144">
        <v>4</v>
      </c>
      <c r="Z144">
        <v>4</v>
      </c>
      <c r="AA144">
        <v>4</v>
      </c>
      <c r="AB144">
        <v>4</v>
      </c>
      <c r="AC144">
        <v>4</v>
      </c>
      <c r="AD144">
        <v>4</v>
      </c>
      <c r="AE144">
        <v>4</v>
      </c>
      <c r="AF144">
        <v>4</v>
      </c>
      <c r="AG144">
        <v>4</v>
      </c>
      <c r="AH144">
        <v>4</v>
      </c>
      <c r="AI144">
        <v>4</v>
      </c>
      <c r="AJ144">
        <v>4</v>
      </c>
      <c r="AK144">
        <v>4</v>
      </c>
      <c r="AL144">
        <v>4</v>
      </c>
      <c r="AM144">
        <v>4</v>
      </c>
      <c r="AN144">
        <v>4</v>
      </c>
      <c r="AO144">
        <v>4</v>
      </c>
      <c r="AQ144">
        <v>0</v>
      </c>
      <c r="AR144" t="s">
        <v>69</v>
      </c>
      <c r="AT144">
        <v>0</v>
      </c>
      <c r="AU144" t="s">
        <v>69</v>
      </c>
      <c r="AW144">
        <v>0</v>
      </c>
      <c r="AX144" t="s">
        <v>69</v>
      </c>
      <c r="AY144" t="s">
        <v>144</v>
      </c>
      <c r="AZ144" t="s">
        <v>144</v>
      </c>
      <c r="BA144">
        <v>1</v>
      </c>
      <c r="BB144">
        <v>4</v>
      </c>
      <c r="BC144" t="s">
        <v>985</v>
      </c>
      <c r="BD144" t="s">
        <v>79</v>
      </c>
      <c r="BE144" t="s">
        <v>985</v>
      </c>
      <c r="BF144" t="s">
        <v>79</v>
      </c>
      <c r="BG144" t="s">
        <v>985</v>
      </c>
      <c r="BH144" t="s">
        <v>79</v>
      </c>
      <c r="BI144" t="s">
        <v>83</v>
      </c>
    </row>
    <row r="145" spans="1:61" x14ac:dyDescent="0.35">
      <c r="A145">
        <v>144</v>
      </c>
      <c r="B145">
        <v>45840.701689814814</v>
      </c>
      <c r="C145" t="s">
        <v>1051</v>
      </c>
      <c r="D145" t="s">
        <v>1052</v>
      </c>
      <c r="E145" t="s">
        <v>63</v>
      </c>
      <c r="F145" t="s">
        <v>480</v>
      </c>
      <c r="G145" t="s">
        <v>1053</v>
      </c>
      <c r="H145" t="s">
        <v>981</v>
      </c>
      <c r="I145" t="s">
        <v>982</v>
      </c>
      <c r="J145" t="s">
        <v>151</v>
      </c>
      <c r="K145" t="s">
        <v>895</v>
      </c>
      <c r="L145" t="s">
        <v>69</v>
      </c>
      <c r="M145" t="s">
        <v>69</v>
      </c>
      <c r="N145" t="s">
        <v>69</v>
      </c>
      <c r="O145" t="s">
        <v>69</v>
      </c>
      <c r="P145" t="s">
        <v>106</v>
      </c>
      <c r="Q145" t="s">
        <v>271</v>
      </c>
      <c r="R145" s="3" t="s">
        <v>546</v>
      </c>
      <c r="S145">
        <v>31</v>
      </c>
      <c r="T145" t="s">
        <v>109</v>
      </c>
      <c r="U145" t="s">
        <v>93</v>
      </c>
      <c r="V145" t="s">
        <v>74</v>
      </c>
      <c r="W145" t="s">
        <v>74</v>
      </c>
      <c r="X145">
        <v>4</v>
      </c>
      <c r="Y145">
        <v>3</v>
      </c>
      <c r="Z145">
        <v>4</v>
      </c>
      <c r="AA145">
        <v>3</v>
      </c>
      <c r="AB145">
        <v>3</v>
      </c>
      <c r="AC145">
        <v>3</v>
      </c>
      <c r="AD145">
        <v>3</v>
      </c>
      <c r="AE145">
        <v>3</v>
      </c>
      <c r="AF145">
        <v>4</v>
      </c>
      <c r="AG145">
        <v>3</v>
      </c>
      <c r="AH145">
        <v>4</v>
      </c>
      <c r="AI145">
        <v>3</v>
      </c>
      <c r="AJ145">
        <v>4</v>
      </c>
      <c r="AK145">
        <v>3</v>
      </c>
      <c r="AL145">
        <v>4</v>
      </c>
      <c r="AM145">
        <v>3</v>
      </c>
      <c r="AN145">
        <v>4</v>
      </c>
      <c r="AO145">
        <v>3</v>
      </c>
      <c r="AP145">
        <v>1</v>
      </c>
      <c r="AQ145">
        <v>4</v>
      </c>
      <c r="AR145" t="s">
        <v>75</v>
      </c>
      <c r="AT145">
        <v>0</v>
      </c>
      <c r="AU145" t="s">
        <v>69</v>
      </c>
      <c r="AW145">
        <v>0</v>
      </c>
      <c r="AX145" t="s">
        <v>69</v>
      </c>
      <c r="AY145" t="s">
        <v>83</v>
      </c>
      <c r="AZ145" t="s">
        <v>96</v>
      </c>
      <c r="BA145">
        <v>0</v>
      </c>
      <c r="BB145">
        <v>0</v>
      </c>
      <c r="BC145" t="s">
        <v>1054</v>
      </c>
      <c r="BD145" t="s">
        <v>486</v>
      </c>
      <c r="BE145" t="s">
        <v>985</v>
      </c>
      <c r="BF145" t="s">
        <v>79</v>
      </c>
      <c r="BG145" t="s">
        <v>985</v>
      </c>
      <c r="BH145" t="s">
        <v>79</v>
      </c>
      <c r="BI145" t="s">
        <v>83</v>
      </c>
    </row>
    <row r="146" spans="1:61" x14ac:dyDescent="0.35">
      <c r="A146">
        <v>145</v>
      </c>
      <c r="B146">
        <v>45840.707685185182</v>
      </c>
      <c r="C146" t="s">
        <v>1055</v>
      </c>
      <c r="D146" t="s">
        <v>1056</v>
      </c>
      <c r="E146" t="s">
        <v>63</v>
      </c>
      <c r="F146" t="s">
        <v>179</v>
      </c>
      <c r="G146" t="s">
        <v>1057</v>
      </c>
      <c r="H146" t="s">
        <v>981</v>
      </c>
      <c r="I146" t="s">
        <v>982</v>
      </c>
      <c r="J146" t="s">
        <v>862</v>
      </c>
      <c r="K146" t="s">
        <v>959</v>
      </c>
      <c r="L146" t="s">
        <v>69</v>
      </c>
      <c r="M146" t="s">
        <v>69</v>
      </c>
      <c r="N146" t="s">
        <v>69</v>
      </c>
      <c r="O146" t="s">
        <v>69</v>
      </c>
      <c r="P146" t="s">
        <v>70</v>
      </c>
      <c r="Q146" t="s">
        <v>71</v>
      </c>
      <c r="R146" s="3" t="s">
        <v>538</v>
      </c>
      <c r="S146">
        <v>41</v>
      </c>
      <c r="T146" t="s">
        <v>197</v>
      </c>
      <c r="U146" t="s">
        <v>93</v>
      </c>
      <c r="V146" t="s">
        <v>74</v>
      </c>
      <c r="W146" t="s">
        <v>74</v>
      </c>
      <c r="X146">
        <v>3</v>
      </c>
      <c r="Y146">
        <v>3</v>
      </c>
      <c r="Z146">
        <v>3</v>
      </c>
      <c r="AA146">
        <v>3</v>
      </c>
      <c r="AB146">
        <v>3</v>
      </c>
      <c r="AC146">
        <v>3</v>
      </c>
      <c r="AD146">
        <v>3</v>
      </c>
      <c r="AE146">
        <v>3</v>
      </c>
      <c r="AF146">
        <v>3</v>
      </c>
      <c r="AG146">
        <v>3</v>
      </c>
      <c r="AH146">
        <v>4</v>
      </c>
      <c r="AI146">
        <v>4</v>
      </c>
      <c r="AJ146">
        <v>4</v>
      </c>
      <c r="AK146">
        <v>4</v>
      </c>
      <c r="AL146">
        <v>3</v>
      </c>
      <c r="AM146">
        <v>3</v>
      </c>
      <c r="AN146">
        <v>3</v>
      </c>
      <c r="AO146">
        <v>3</v>
      </c>
      <c r="AP146">
        <v>1</v>
      </c>
      <c r="AQ146">
        <v>4</v>
      </c>
      <c r="AR146" t="s">
        <v>75</v>
      </c>
      <c r="AT146">
        <v>0</v>
      </c>
      <c r="AU146" t="s">
        <v>69</v>
      </c>
      <c r="AW146">
        <v>0</v>
      </c>
      <c r="AX146" t="s">
        <v>69</v>
      </c>
      <c r="AY146" t="s">
        <v>83</v>
      </c>
      <c r="AZ146" t="s">
        <v>96</v>
      </c>
      <c r="BA146">
        <v>0</v>
      </c>
      <c r="BB146">
        <v>0</v>
      </c>
      <c r="BC146" t="s">
        <v>1058</v>
      </c>
      <c r="BD146" t="s">
        <v>112</v>
      </c>
      <c r="BE146" t="s">
        <v>985</v>
      </c>
      <c r="BF146" t="s">
        <v>79</v>
      </c>
      <c r="BG146" t="s">
        <v>985</v>
      </c>
      <c r="BH146" t="s">
        <v>79</v>
      </c>
      <c r="BI146" t="s">
        <v>83</v>
      </c>
    </row>
    <row r="147" spans="1:61" x14ac:dyDescent="0.35">
      <c r="A147">
        <v>146</v>
      </c>
      <c r="B147">
        <v>45840.725694444445</v>
      </c>
      <c r="C147" t="s">
        <v>1059</v>
      </c>
      <c r="D147" t="s">
        <v>1060</v>
      </c>
      <c r="E147" t="s">
        <v>63</v>
      </c>
      <c r="F147" t="s">
        <v>179</v>
      </c>
      <c r="G147" t="s">
        <v>1061</v>
      </c>
      <c r="H147" t="s">
        <v>88</v>
      </c>
      <c r="I147" t="s">
        <v>89</v>
      </c>
      <c r="J147" t="s">
        <v>989</v>
      </c>
      <c r="K147" t="s">
        <v>1062</v>
      </c>
      <c r="L147" t="s">
        <v>69</v>
      </c>
      <c r="M147" t="s">
        <v>69</v>
      </c>
      <c r="N147" t="s">
        <v>69</v>
      </c>
      <c r="O147" t="s">
        <v>69</v>
      </c>
      <c r="P147" t="s">
        <v>106</v>
      </c>
      <c r="Q147" t="s">
        <v>71</v>
      </c>
      <c r="R147" s="3" t="s">
        <v>566</v>
      </c>
      <c r="S147">
        <v>25</v>
      </c>
      <c r="T147" t="s">
        <v>72</v>
      </c>
      <c r="U147" t="s">
        <v>93</v>
      </c>
      <c r="V147" t="s">
        <v>74</v>
      </c>
      <c r="W147" t="s">
        <v>74</v>
      </c>
      <c r="X147">
        <v>3</v>
      </c>
      <c r="Y147">
        <v>3</v>
      </c>
      <c r="Z147">
        <v>3</v>
      </c>
      <c r="AA147">
        <v>3</v>
      </c>
      <c r="AB147">
        <v>4</v>
      </c>
      <c r="AC147">
        <v>4</v>
      </c>
      <c r="AD147">
        <v>3</v>
      </c>
      <c r="AE147">
        <v>3</v>
      </c>
      <c r="AF147">
        <v>3</v>
      </c>
      <c r="AG147">
        <v>3</v>
      </c>
      <c r="AH147">
        <v>4</v>
      </c>
      <c r="AI147">
        <v>3</v>
      </c>
      <c r="AJ147">
        <v>3</v>
      </c>
      <c r="AK147">
        <v>4</v>
      </c>
      <c r="AL147">
        <v>3</v>
      </c>
      <c r="AM147">
        <v>4</v>
      </c>
      <c r="AN147">
        <v>3</v>
      </c>
      <c r="AO147">
        <v>4</v>
      </c>
      <c r="AP147">
        <v>2</v>
      </c>
      <c r="AQ147">
        <v>3</v>
      </c>
      <c r="AR147" t="s">
        <v>75</v>
      </c>
      <c r="AT147">
        <v>0</v>
      </c>
      <c r="AU147" t="s">
        <v>69</v>
      </c>
      <c r="AW147">
        <v>0</v>
      </c>
      <c r="AX147" t="s">
        <v>69</v>
      </c>
      <c r="AY147" t="s">
        <v>83</v>
      </c>
      <c r="AZ147" t="s">
        <v>96</v>
      </c>
      <c r="BA147">
        <v>0</v>
      </c>
      <c r="BB147">
        <v>0</v>
      </c>
      <c r="BC147" t="s">
        <v>1063</v>
      </c>
      <c r="BD147" t="s">
        <v>112</v>
      </c>
      <c r="BE147" t="s">
        <v>98</v>
      </c>
      <c r="BF147" t="s">
        <v>99</v>
      </c>
      <c r="BG147" t="s">
        <v>98</v>
      </c>
      <c r="BH147" t="s">
        <v>99</v>
      </c>
      <c r="BI147" t="s">
        <v>1064</v>
      </c>
    </row>
    <row r="148" spans="1:61" x14ac:dyDescent="0.35">
      <c r="A148">
        <v>147</v>
      </c>
      <c r="B148">
        <v>45840.728564814817</v>
      </c>
      <c r="C148" t="s">
        <v>1065</v>
      </c>
      <c r="D148" t="s">
        <v>1066</v>
      </c>
      <c r="E148" t="s">
        <v>63</v>
      </c>
      <c r="F148" t="s">
        <v>179</v>
      </c>
      <c r="G148" t="s">
        <v>1067</v>
      </c>
      <c r="H148" t="s">
        <v>88</v>
      </c>
      <c r="I148" t="s">
        <v>89</v>
      </c>
      <c r="J148" t="s">
        <v>971</v>
      </c>
      <c r="K148" t="s">
        <v>1068</v>
      </c>
      <c r="L148" t="s">
        <v>69</v>
      </c>
      <c r="M148" t="s">
        <v>69</v>
      </c>
      <c r="N148" t="s">
        <v>69</v>
      </c>
      <c r="O148" t="s">
        <v>69</v>
      </c>
      <c r="P148" t="s">
        <v>106</v>
      </c>
      <c r="Q148" t="s">
        <v>107</v>
      </c>
      <c r="R148" s="3" t="s">
        <v>884</v>
      </c>
      <c r="S148">
        <v>38</v>
      </c>
      <c r="T148" t="s">
        <v>153</v>
      </c>
      <c r="U148" t="s">
        <v>73</v>
      </c>
      <c r="V148" t="s">
        <v>74</v>
      </c>
      <c r="W148" t="s">
        <v>74</v>
      </c>
      <c r="X148">
        <v>3</v>
      </c>
      <c r="Y148">
        <v>4</v>
      </c>
      <c r="Z148">
        <v>3</v>
      </c>
      <c r="AA148">
        <v>4</v>
      </c>
      <c r="AB148">
        <v>3</v>
      </c>
      <c r="AC148">
        <v>4</v>
      </c>
      <c r="AD148">
        <v>0</v>
      </c>
      <c r="AE148">
        <v>0</v>
      </c>
      <c r="AF148">
        <v>3</v>
      </c>
      <c r="AG148">
        <v>4</v>
      </c>
      <c r="AH148">
        <v>4</v>
      </c>
      <c r="AI148">
        <v>4</v>
      </c>
      <c r="AJ148">
        <v>3</v>
      </c>
      <c r="AK148">
        <v>3</v>
      </c>
      <c r="AL148">
        <v>4</v>
      </c>
      <c r="AM148">
        <v>4</v>
      </c>
      <c r="AN148">
        <v>4</v>
      </c>
      <c r="AO148">
        <v>4</v>
      </c>
      <c r="AQ148">
        <v>0</v>
      </c>
      <c r="AR148" t="s">
        <v>69</v>
      </c>
      <c r="AT148">
        <v>0</v>
      </c>
      <c r="AU148" t="s">
        <v>69</v>
      </c>
      <c r="AW148">
        <v>0</v>
      </c>
      <c r="AX148" t="s">
        <v>69</v>
      </c>
      <c r="AY148" t="s">
        <v>144</v>
      </c>
      <c r="AZ148" t="s">
        <v>144</v>
      </c>
      <c r="BA148">
        <v>1</v>
      </c>
      <c r="BB148">
        <v>4</v>
      </c>
      <c r="BC148" t="s">
        <v>98</v>
      </c>
      <c r="BD148" t="s">
        <v>99</v>
      </c>
      <c r="BE148" t="s">
        <v>98</v>
      </c>
      <c r="BF148" t="s">
        <v>99</v>
      </c>
      <c r="BG148" t="s">
        <v>98</v>
      </c>
      <c r="BH148" t="s">
        <v>99</v>
      </c>
      <c r="BI148" t="s">
        <v>98</v>
      </c>
    </row>
    <row r="149" spans="1:61" x14ac:dyDescent="0.35">
      <c r="A149">
        <v>148</v>
      </c>
      <c r="B149">
        <v>45840.73165509259</v>
      </c>
      <c r="C149" t="s">
        <v>1069</v>
      </c>
      <c r="D149" t="s">
        <v>1070</v>
      </c>
      <c r="E149" t="s">
        <v>63</v>
      </c>
      <c r="F149" t="s">
        <v>179</v>
      </c>
      <c r="G149" t="s">
        <v>1071</v>
      </c>
      <c r="H149" t="s">
        <v>88</v>
      </c>
      <c r="I149" t="s">
        <v>89</v>
      </c>
      <c r="J149" t="s">
        <v>971</v>
      </c>
      <c r="K149" t="s">
        <v>1072</v>
      </c>
      <c r="L149" t="s">
        <v>69</v>
      </c>
      <c r="M149" t="s">
        <v>69</v>
      </c>
      <c r="N149" t="s">
        <v>69</v>
      </c>
      <c r="O149" t="s">
        <v>69</v>
      </c>
      <c r="P149" t="s">
        <v>106</v>
      </c>
      <c r="Q149" t="s">
        <v>71</v>
      </c>
      <c r="R149" s="3" t="s">
        <v>492</v>
      </c>
      <c r="S149">
        <v>24</v>
      </c>
      <c r="T149" t="s">
        <v>72</v>
      </c>
      <c r="U149" t="s">
        <v>73</v>
      </c>
      <c r="V149" t="s">
        <v>1073</v>
      </c>
      <c r="W149" t="s">
        <v>133</v>
      </c>
      <c r="X149">
        <v>3</v>
      </c>
      <c r="Y149">
        <v>3</v>
      </c>
      <c r="Z149">
        <v>4</v>
      </c>
      <c r="AA149">
        <v>3</v>
      </c>
      <c r="AB149">
        <v>4</v>
      </c>
      <c r="AC149">
        <v>4</v>
      </c>
      <c r="AD149">
        <v>3</v>
      </c>
      <c r="AE149">
        <v>3</v>
      </c>
      <c r="AF149">
        <v>4</v>
      </c>
      <c r="AG149">
        <v>4</v>
      </c>
      <c r="AH149">
        <v>3</v>
      </c>
      <c r="AI149">
        <v>3</v>
      </c>
      <c r="AJ149">
        <v>4</v>
      </c>
      <c r="AK149">
        <v>4</v>
      </c>
      <c r="AL149">
        <v>3</v>
      </c>
      <c r="AM149">
        <v>3</v>
      </c>
      <c r="AN149">
        <v>4</v>
      </c>
      <c r="AO149">
        <v>3</v>
      </c>
      <c r="AQ149">
        <v>0</v>
      </c>
      <c r="AR149" t="s">
        <v>69</v>
      </c>
      <c r="AS149">
        <v>1</v>
      </c>
      <c r="AT149">
        <v>4</v>
      </c>
      <c r="AU149" t="s">
        <v>75</v>
      </c>
      <c r="AW149">
        <v>0</v>
      </c>
      <c r="AX149" t="s">
        <v>69</v>
      </c>
      <c r="AY149" t="s">
        <v>83</v>
      </c>
      <c r="AZ149" t="s">
        <v>96</v>
      </c>
      <c r="BA149">
        <v>0</v>
      </c>
      <c r="BB149">
        <v>0</v>
      </c>
      <c r="BC149" t="s">
        <v>98</v>
      </c>
      <c r="BD149" t="s">
        <v>99</v>
      </c>
      <c r="BE149" t="s">
        <v>98</v>
      </c>
      <c r="BF149" t="s">
        <v>99</v>
      </c>
      <c r="BG149" t="s">
        <v>98</v>
      </c>
      <c r="BH149" t="s">
        <v>99</v>
      </c>
      <c r="BI149" t="s">
        <v>98</v>
      </c>
    </row>
    <row r="150" spans="1:61" x14ac:dyDescent="0.35">
      <c r="A150">
        <v>149</v>
      </c>
      <c r="B150">
        <v>45840.734456018516</v>
      </c>
      <c r="C150" t="s">
        <v>1074</v>
      </c>
      <c r="D150" t="s">
        <v>1075</v>
      </c>
      <c r="E150" t="s">
        <v>63</v>
      </c>
      <c r="F150" t="s">
        <v>179</v>
      </c>
      <c r="G150" t="s">
        <v>1076</v>
      </c>
      <c r="H150" t="s">
        <v>88</v>
      </c>
      <c r="I150" t="s">
        <v>89</v>
      </c>
      <c r="J150" t="s">
        <v>989</v>
      </c>
      <c r="K150" t="s">
        <v>1077</v>
      </c>
      <c r="L150" t="s">
        <v>69</v>
      </c>
      <c r="M150" t="s">
        <v>69</v>
      </c>
      <c r="N150" t="s">
        <v>69</v>
      </c>
      <c r="O150" t="s">
        <v>69</v>
      </c>
      <c r="P150" t="s">
        <v>106</v>
      </c>
      <c r="Q150" t="s">
        <v>107</v>
      </c>
      <c r="R150" s="3" t="s">
        <v>826</v>
      </c>
      <c r="S150">
        <v>44</v>
      </c>
      <c r="T150" t="s">
        <v>197</v>
      </c>
      <c r="U150" t="s">
        <v>273</v>
      </c>
      <c r="V150" t="s">
        <v>110</v>
      </c>
      <c r="W150" t="s">
        <v>110</v>
      </c>
      <c r="X150">
        <v>4</v>
      </c>
      <c r="Y150">
        <v>4</v>
      </c>
      <c r="Z150">
        <v>4</v>
      </c>
      <c r="AA150">
        <v>4</v>
      </c>
      <c r="AB150">
        <v>4</v>
      </c>
      <c r="AC150">
        <v>4</v>
      </c>
      <c r="AD150">
        <v>0</v>
      </c>
      <c r="AE150">
        <v>0</v>
      </c>
      <c r="AF150">
        <v>4</v>
      </c>
      <c r="AG150">
        <v>4</v>
      </c>
      <c r="AH150">
        <v>4</v>
      </c>
      <c r="AI150">
        <v>4</v>
      </c>
      <c r="AJ150">
        <v>4</v>
      </c>
      <c r="AK150">
        <v>4</v>
      </c>
      <c r="AL150">
        <v>4</v>
      </c>
      <c r="AM150">
        <v>4</v>
      </c>
      <c r="AN150">
        <v>4</v>
      </c>
      <c r="AO150">
        <v>4</v>
      </c>
      <c r="AQ150">
        <v>0</v>
      </c>
      <c r="AR150" t="s">
        <v>69</v>
      </c>
      <c r="AT150">
        <v>0</v>
      </c>
      <c r="AU150" t="s">
        <v>69</v>
      </c>
      <c r="AW150">
        <v>0</v>
      </c>
      <c r="AX150" t="s">
        <v>75</v>
      </c>
      <c r="AY150" t="s">
        <v>1078</v>
      </c>
      <c r="AZ150" t="s">
        <v>144</v>
      </c>
      <c r="BA150">
        <v>3</v>
      </c>
      <c r="BB150">
        <v>2</v>
      </c>
      <c r="BC150" t="s">
        <v>98</v>
      </c>
      <c r="BD150" t="s">
        <v>99</v>
      </c>
      <c r="BE150" t="s">
        <v>98</v>
      </c>
      <c r="BF150" t="s">
        <v>99</v>
      </c>
      <c r="BG150" t="s">
        <v>98</v>
      </c>
      <c r="BH150" t="s">
        <v>99</v>
      </c>
      <c r="BI150" t="s">
        <v>83</v>
      </c>
    </row>
    <row r="151" spans="1:61" x14ac:dyDescent="0.35">
      <c r="A151">
        <v>150</v>
      </c>
      <c r="B151">
        <v>45840.736909722225</v>
      </c>
      <c r="C151" t="s">
        <v>1079</v>
      </c>
      <c r="D151" t="s">
        <v>1080</v>
      </c>
      <c r="E151" t="s">
        <v>63</v>
      </c>
      <c r="F151" t="s">
        <v>179</v>
      </c>
      <c r="G151" t="s">
        <v>1081</v>
      </c>
      <c r="H151" t="s">
        <v>88</v>
      </c>
      <c r="I151" t="s">
        <v>89</v>
      </c>
      <c r="J151" t="s">
        <v>971</v>
      </c>
      <c r="K151" t="s">
        <v>806</v>
      </c>
      <c r="L151" t="s">
        <v>69</v>
      </c>
      <c r="M151" t="s">
        <v>69</v>
      </c>
      <c r="N151" t="s">
        <v>69</v>
      </c>
      <c r="O151" t="s">
        <v>69</v>
      </c>
      <c r="P151" t="s">
        <v>106</v>
      </c>
      <c r="Q151" t="s">
        <v>107</v>
      </c>
      <c r="R151" s="3" t="s">
        <v>483</v>
      </c>
      <c r="S151">
        <v>28</v>
      </c>
      <c r="T151" t="s">
        <v>92</v>
      </c>
      <c r="U151" t="s">
        <v>73</v>
      </c>
      <c r="V151" t="s">
        <v>74</v>
      </c>
      <c r="W151" t="s">
        <v>74</v>
      </c>
      <c r="X151">
        <v>4</v>
      </c>
      <c r="Y151">
        <v>4</v>
      </c>
      <c r="Z151">
        <v>4</v>
      </c>
      <c r="AA151">
        <v>4</v>
      </c>
      <c r="AB151">
        <v>4</v>
      </c>
      <c r="AC151">
        <v>4</v>
      </c>
      <c r="AD151">
        <v>0</v>
      </c>
      <c r="AE151">
        <v>0</v>
      </c>
      <c r="AF151">
        <v>4</v>
      </c>
      <c r="AG151">
        <v>4</v>
      </c>
      <c r="AH151">
        <v>4</v>
      </c>
      <c r="AI151">
        <v>4</v>
      </c>
      <c r="AJ151">
        <v>4</v>
      </c>
      <c r="AK151">
        <v>4</v>
      </c>
      <c r="AL151">
        <v>4</v>
      </c>
      <c r="AM151">
        <v>4</v>
      </c>
      <c r="AN151">
        <v>4</v>
      </c>
      <c r="AO151">
        <v>4</v>
      </c>
      <c r="AQ151">
        <v>0</v>
      </c>
      <c r="AR151" t="s">
        <v>69</v>
      </c>
      <c r="AT151">
        <v>0</v>
      </c>
      <c r="AU151" t="s">
        <v>69</v>
      </c>
      <c r="AW151">
        <v>0</v>
      </c>
      <c r="AX151" t="s">
        <v>69</v>
      </c>
      <c r="AY151" t="s">
        <v>144</v>
      </c>
      <c r="AZ151" t="s">
        <v>144</v>
      </c>
      <c r="BA151">
        <v>1</v>
      </c>
      <c r="BB151">
        <v>4</v>
      </c>
      <c r="BC151" t="s">
        <v>98</v>
      </c>
      <c r="BD151" t="s">
        <v>99</v>
      </c>
      <c r="BE151" t="s">
        <v>98</v>
      </c>
      <c r="BF151" t="s">
        <v>99</v>
      </c>
      <c r="BG151" t="s">
        <v>98</v>
      </c>
      <c r="BH151" t="s">
        <v>99</v>
      </c>
      <c r="BI151" t="s">
        <v>98</v>
      </c>
    </row>
    <row r="152" spans="1:61" x14ac:dyDescent="0.35">
      <c r="A152">
        <v>151</v>
      </c>
      <c r="B152">
        <v>45840.739432870374</v>
      </c>
      <c r="C152" t="s">
        <v>1082</v>
      </c>
      <c r="D152" t="s">
        <v>1083</v>
      </c>
      <c r="E152" t="s">
        <v>63</v>
      </c>
      <c r="F152" t="s">
        <v>179</v>
      </c>
      <c r="G152" t="s">
        <v>1084</v>
      </c>
      <c r="H152" t="s">
        <v>88</v>
      </c>
      <c r="I152" t="s">
        <v>89</v>
      </c>
      <c r="J152" t="s">
        <v>971</v>
      </c>
      <c r="K152" t="s">
        <v>1085</v>
      </c>
      <c r="L152" t="s">
        <v>69</v>
      </c>
      <c r="M152" t="s">
        <v>69</v>
      </c>
      <c r="N152" t="s">
        <v>69</v>
      </c>
      <c r="O152" t="s">
        <v>69</v>
      </c>
      <c r="P152" t="s">
        <v>70</v>
      </c>
      <c r="Q152" t="s">
        <v>71</v>
      </c>
      <c r="R152" s="3" t="s">
        <v>245</v>
      </c>
      <c r="S152">
        <v>21</v>
      </c>
      <c r="T152" t="s">
        <v>72</v>
      </c>
      <c r="U152" t="s">
        <v>73</v>
      </c>
      <c r="V152" t="s">
        <v>1073</v>
      </c>
      <c r="W152" t="s">
        <v>133</v>
      </c>
      <c r="X152">
        <v>3</v>
      </c>
      <c r="Y152">
        <v>3</v>
      </c>
      <c r="Z152">
        <v>4</v>
      </c>
      <c r="AA152">
        <v>3</v>
      </c>
      <c r="AB152">
        <v>3</v>
      </c>
      <c r="AC152">
        <v>3</v>
      </c>
      <c r="AD152">
        <v>3</v>
      </c>
      <c r="AE152">
        <v>3</v>
      </c>
      <c r="AF152">
        <v>4</v>
      </c>
      <c r="AG152">
        <v>3</v>
      </c>
      <c r="AH152">
        <v>3</v>
      </c>
      <c r="AI152">
        <v>3</v>
      </c>
      <c r="AJ152">
        <v>4</v>
      </c>
      <c r="AK152">
        <v>3</v>
      </c>
      <c r="AL152">
        <v>3</v>
      </c>
      <c r="AM152">
        <v>3</v>
      </c>
      <c r="AN152">
        <v>3</v>
      </c>
      <c r="AO152">
        <v>3</v>
      </c>
      <c r="AQ152">
        <v>0</v>
      </c>
      <c r="AR152" t="s">
        <v>69</v>
      </c>
      <c r="AS152">
        <v>2</v>
      </c>
      <c r="AT152">
        <v>3</v>
      </c>
      <c r="AU152" t="s">
        <v>75</v>
      </c>
      <c r="AW152">
        <v>0</v>
      </c>
      <c r="AX152" t="s">
        <v>69</v>
      </c>
      <c r="AY152" t="s">
        <v>83</v>
      </c>
      <c r="AZ152" t="s">
        <v>96</v>
      </c>
      <c r="BA152">
        <v>0</v>
      </c>
      <c r="BB152">
        <v>0</v>
      </c>
      <c r="BC152" t="s">
        <v>98</v>
      </c>
      <c r="BD152" t="s">
        <v>99</v>
      </c>
      <c r="BE152" t="s">
        <v>98</v>
      </c>
      <c r="BF152" t="s">
        <v>99</v>
      </c>
      <c r="BG152" t="s">
        <v>98</v>
      </c>
      <c r="BH152" t="s">
        <v>99</v>
      </c>
      <c r="BI152" t="s">
        <v>98</v>
      </c>
    </row>
    <row r="153" spans="1:61" x14ac:dyDescent="0.35">
      <c r="A153">
        <v>152</v>
      </c>
      <c r="B153">
        <v>45840.742083333331</v>
      </c>
      <c r="C153" t="s">
        <v>1086</v>
      </c>
      <c r="D153" t="s">
        <v>1087</v>
      </c>
      <c r="E153" t="s">
        <v>63</v>
      </c>
      <c r="F153" t="s">
        <v>179</v>
      </c>
      <c r="G153" t="s">
        <v>1088</v>
      </c>
      <c r="H153" t="s">
        <v>88</v>
      </c>
      <c r="I153" t="s">
        <v>89</v>
      </c>
      <c r="J153" t="s">
        <v>971</v>
      </c>
      <c r="K153" t="s">
        <v>571</v>
      </c>
      <c r="L153" t="s">
        <v>69</v>
      </c>
      <c r="M153" t="s">
        <v>69</v>
      </c>
      <c r="N153" t="s">
        <v>69</v>
      </c>
      <c r="O153" t="s">
        <v>69</v>
      </c>
      <c r="P153" t="s">
        <v>70</v>
      </c>
      <c r="Q153" t="s">
        <v>107</v>
      </c>
      <c r="R153" s="3" t="s">
        <v>551</v>
      </c>
      <c r="S153">
        <v>34</v>
      </c>
      <c r="T153" t="s">
        <v>109</v>
      </c>
      <c r="U153" t="s">
        <v>73</v>
      </c>
      <c r="V153" t="s">
        <v>110</v>
      </c>
      <c r="W153" t="s">
        <v>110</v>
      </c>
      <c r="X153">
        <v>4</v>
      </c>
      <c r="Y153">
        <v>4</v>
      </c>
      <c r="Z153">
        <v>3</v>
      </c>
      <c r="AA153">
        <v>4</v>
      </c>
      <c r="AB153">
        <v>4</v>
      </c>
      <c r="AC153">
        <v>4</v>
      </c>
      <c r="AD153">
        <v>0</v>
      </c>
      <c r="AE153">
        <v>0</v>
      </c>
      <c r="AF153">
        <v>3</v>
      </c>
      <c r="AG153">
        <v>4</v>
      </c>
      <c r="AH153">
        <v>4</v>
      </c>
      <c r="AI153">
        <v>4</v>
      </c>
      <c r="AJ153">
        <v>4</v>
      </c>
      <c r="AK153">
        <v>4</v>
      </c>
      <c r="AL153">
        <v>3</v>
      </c>
      <c r="AM153">
        <v>4</v>
      </c>
      <c r="AN153">
        <v>4</v>
      </c>
      <c r="AO153">
        <v>4</v>
      </c>
      <c r="AP153">
        <v>2</v>
      </c>
      <c r="AQ153">
        <v>3</v>
      </c>
      <c r="AR153" t="s">
        <v>75</v>
      </c>
      <c r="AT153">
        <v>0</v>
      </c>
      <c r="AU153" t="s">
        <v>69</v>
      </c>
      <c r="AW153">
        <v>0</v>
      </c>
      <c r="AX153" t="s">
        <v>69</v>
      </c>
      <c r="AY153" t="s">
        <v>83</v>
      </c>
      <c r="AZ153" t="s">
        <v>96</v>
      </c>
      <c r="BA153">
        <v>0</v>
      </c>
      <c r="BB153">
        <v>0</v>
      </c>
      <c r="BC153" t="s">
        <v>1089</v>
      </c>
      <c r="BD153" t="s">
        <v>235</v>
      </c>
      <c r="BE153" t="s">
        <v>98</v>
      </c>
      <c r="BF153" t="s">
        <v>99</v>
      </c>
      <c r="BG153" t="s">
        <v>98</v>
      </c>
      <c r="BH153" t="s">
        <v>99</v>
      </c>
      <c r="BI153" t="s">
        <v>98</v>
      </c>
    </row>
    <row r="154" spans="1:61" x14ac:dyDescent="0.35">
      <c r="A154">
        <v>153</v>
      </c>
      <c r="B154">
        <v>45840.745092592595</v>
      </c>
      <c r="C154" t="s">
        <v>1090</v>
      </c>
      <c r="D154" t="s">
        <v>1091</v>
      </c>
      <c r="E154" t="s">
        <v>63</v>
      </c>
      <c r="F154" t="s">
        <v>240</v>
      </c>
      <c r="G154" t="s">
        <v>1092</v>
      </c>
      <c r="H154" t="s">
        <v>88</v>
      </c>
      <c r="I154" t="s">
        <v>89</v>
      </c>
      <c r="J154" t="s">
        <v>971</v>
      </c>
      <c r="K154" t="s">
        <v>1093</v>
      </c>
      <c r="L154" t="s">
        <v>69</v>
      </c>
      <c r="M154" t="s">
        <v>69</v>
      </c>
      <c r="N154" t="s">
        <v>69</v>
      </c>
      <c r="O154" t="s">
        <v>69</v>
      </c>
      <c r="P154" t="s">
        <v>70</v>
      </c>
      <c r="Q154" t="s">
        <v>292</v>
      </c>
      <c r="R154" s="3" t="s">
        <v>826</v>
      </c>
      <c r="S154">
        <v>44</v>
      </c>
      <c r="T154" t="s">
        <v>197</v>
      </c>
      <c r="U154" t="s">
        <v>254</v>
      </c>
      <c r="V154" t="s">
        <v>232</v>
      </c>
      <c r="W154" t="s">
        <v>232</v>
      </c>
      <c r="X154">
        <v>3</v>
      </c>
      <c r="Y154">
        <v>3</v>
      </c>
      <c r="Z154">
        <v>3</v>
      </c>
      <c r="AA154">
        <v>3</v>
      </c>
      <c r="AB154">
        <v>3</v>
      </c>
      <c r="AC154">
        <v>3</v>
      </c>
      <c r="AD154">
        <v>3</v>
      </c>
      <c r="AE154">
        <v>3</v>
      </c>
      <c r="AF154">
        <v>3</v>
      </c>
      <c r="AG154">
        <v>3</v>
      </c>
      <c r="AH154">
        <v>3</v>
      </c>
      <c r="AI154">
        <v>3</v>
      </c>
      <c r="AJ154">
        <v>3</v>
      </c>
      <c r="AK154">
        <v>3</v>
      </c>
      <c r="AL154">
        <v>3</v>
      </c>
      <c r="AM154">
        <v>4</v>
      </c>
      <c r="AN154">
        <v>3</v>
      </c>
      <c r="AO154">
        <v>3</v>
      </c>
      <c r="AQ154">
        <v>0</v>
      </c>
      <c r="AR154" t="s">
        <v>69</v>
      </c>
      <c r="AT154">
        <v>0</v>
      </c>
      <c r="AU154" t="s">
        <v>69</v>
      </c>
      <c r="AW154">
        <v>0</v>
      </c>
      <c r="AX154" t="s">
        <v>69</v>
      </c>
      <c r="AY154" t="s">
        <v>293</v>
      </c>
      <c r="AZ154" t="s">
        <v>144</v>
      </c>
      <c r="BA154">
        <v>2</v>
      </c>
      <c r="BB154">
        <v>3</v>
      </c>
      <c r="BC154" t="s">
        <v>1094</v>
      </c>
      <c r="BD154" t="s">
        <v>79</v>
      </c>
      <c r="BE154" t="s">
        <v>98</v>
      </c>
      <c r="BF154" t="s">
        <v>99</v>
      </c>
      <c r="BG154" t="s">
        <v>98</v>
      </c>
      <c r="BH154" t="s">
        <v>99</v>
      </c>
      <c r="BI154" t="s">
        <v>98</v>
      </c>
    </row>
    <row r="155" spans="1:61" x14ac:dyDescent="0.35">
      <c r="A155">
        <v>154</v>
      </c>
      <c r="B155">
        <v>45840.747233796297</v>
      </c>
      <c r="C155" t="s">
        <v>1095</v>
      </c>
      <c r="D155" t="s">
        <v>1096</v>
      </c>
      <c r="E155" t="s">
        <v>63</v>
      </c>
      <c r="F155" t="s">
        <v>136</v>
      </c>
      <c r="G155" t="s">
        <v>1097</v>
      </c>
      <c r="H155" t="s">
        <v>88</v>
      </c>
      <c r="I155" t="s">
        <v>89</v>
      </c>
      <c r="J155" t="s">
        <v>971</v>
      </c>
      <c r="K155" t="s">
        <v>1098</v>
      </c>
      <c r="L155" t="s">
        <v>69</v>
      </c>
      <c r="M155" t="s">
        <v>69</v>
      </c>
      <c r="N155" t="s">
        <v>69</v>
      </c>
      <c r="O155" t="s">
        <v>69</v>
      </c>
      <c r="P155" t="s">
        <v>70</v>
      </c>
      <c r="Q155" t="s">
        <v>271</v>
      </c>
      <c r="R155" s="3" t="s">
        <v>130</v>
      </c>
      <c r="S155">
        <v>18</v>
      </c>
      <c r="T155" t="s">
        <v>131</v>
      </c>
      <c r="U155" t="s">
        <v>73</v>
      </c>
      <c r="V155" t="s">
        <v>839</v>
      </c>
      <c r="W155" t="s">
        <v>133</v>
      </c>
      <c r="X155">
        <v>3</v>
      </c>
      <c r="Y155">
        <v>4</v>
      </c>
      <c r="Z155">
        <v>4</v>
      </c>
      <c r="AA155">
        <v>4</v>
      </c>
      <c r="AB155">
        <v>3</v>
      </c>
      <c r="AC155">
        <v>4</v>
      </c>
      <c r="AD155">
        <v>4</v>
      </c>
      <c r="AE155">
        <v>4</v>
      </c>
      <c r="AF155">
        <v>4</v>
      </c>
      <c r="AG155">
        <v>4</v>
      </c>
      <c r="AH155">
        <v>4</v>
      </c>
      <c r="AI155">
        <v>4</v>
      </c>
      <c r="AJ155">
        <v>3</v>
      </c>
      <c r="AK155">
        <v>4</v>
      </c>
      <c r="AL155">
        <v>4</v>
      </c>
      <c r="AM155">
        <v>4</v>
      </c>
      <c r="AN155">
        <v>4</v>
      </c>
      <c r="AO155">
        <v>4</v>
      </c>
      <c r="AQ155">
        <v>0</v>
      </c>
      <c r="AR155" t="s">
        <v>69</v>
      </c>
      <c r="AT155">
        <v>0</v>
      </c>
      <c r="AU155" t="s">
        <v>69</v>
      </c>
      <c r="AV155">
        <v>1</v>
      </c>
      <c r="AW155">
        <v>4</v>
      </c>
      <c r="AX155" t="s">
        <v>75</v>
      </c>
      <c r="AY155" t="s">
        <v>83</v>
      </c>
      <c r="AZ155" t="s">
        <v>96</v>
      </c>
      <c r="BA155">
        <v>0</v>
      </c>
      <c r="BB155">
        <v>0</v>
      </c>
      <c r="BC155" t="s">
        <v>98</v>
      </c>
      <c r="BD155" t="s">
        <v>99</v>
      </c>
      <c r="BE155" t="s">
        <v>98</v>
      </c>
      <c r="BF155" t="s">
        <v>99</v>
      </c>
      <c r="BG155" t="s">
        <v>98</v>
      </c>
      <c r="BH155" t="s">
        <v>99</v>
      </c>
      <c r="BI155" t="s">
        <v>98</v>
      </c>
    </row>
    <row r="156" spans="1:61" x14ac:dyDescent="0.35">
      <c r="A156">
        <v>155</v>
      </c>
      <c r="B156">
        <v>45840.750509259262</v>
      </c>
      <c r="C156" t="s">
        <v>1099</v>
      </c>
      <c r="D156" t="s">
        <v>1100</v>
      </c>
      <c r="E156" t="s">
        <v>63</v>
      </c>
      <c r="F156" t="s">
        <v>338</v>
      </c>
      <c r="G156" t="s">
        <v>1101</v>
      </c>
      <c r="H156" t="s">
        <v>88</v>
      </c>
      <c r="I156" t="s">
        <v>89</v>
      </c>
      <c r="J156" t="s">
        <v>971</v>
      </c>
      <c r="K156" t="s">
        <v>560</v>
      </c>
      <c r="L156" t="s">
        <v>69</v>
      </c>
      <c r="M156" t="s">
        <v>69</v>
      </c>
      <c r="N156" t="s">
        <v>69</v>
      </c>
      <c r="O156" t="s">
        <v>69</v>
      </c>
      <c r="P156" t="s">
        <v>106</v>
      </c>
      <c r="Q156" t="s">
        <v>292</v>
      </c>
      <c r="R156" s="3" t="s">
        <v>1006</v>
      </c>
      <c r="S156">
        <v>26</v>
      </c>
      <c r="T156" t="s">
        <v>92</v>
      </c>
      <c r="U156" t="s">
        <v>73</v>
      </c>
      <c r="V156" t="s">
        <v>74</v>
      </c>
      <c r="W156" t="s">
        <v>74</v>
      </c>
      <c r="X156">
        <v>3</v>
      </c>
      <c r="Y156">
        <v>4</v>
      </c>
      <c r="Z156">
        <v>3</v>
      </c>
      <c r="AA156">
        <v>3</v>
      </c>
      <c r="AB156">
        <v>3</v>
      </c>
      <c r="AC156">
        <v>4</v>
      </c>
      <c r="AD156">
        <v>4</v>
      </c>
      <c r="AE156">
        <v>3</v>
      </c>
      <c r="AF156">
        <v>3</v>
      </c>
      <c r="AG156">
        <v>4</v>
      </c>
      <c r="AH156">
        <v>3</v>
      </c>
      <c r="AI156">
        <v>3</v>
      </c>
      <c r="AJ156">
        <v>3</v>
      </c>
      <c r="AK156">
        <v>3</v>
      </c>
      <c r="AL156">
        <v>3</v>
      </c>
      <c r="AM156">
        <v>3</v>
      </c>
      <c r="AN156">
        <v>4</v>
      </c>
      <c r="AO156">
        <v>4</v>
      </c>
      <c r="AP156">
        <v>2</v>
      </c>
      <c r="AQ156">
        <v>3</v>
      </c>
      <c r="AR156" t="s">
        <v>75</v>
      </c>
      <c r="AT156">
        <v>0</v>
      </c>
      <c r="AU156" t="s">
        <v>69</v>
      </c>
      <c r="AW156">
        <v>0</v>
      </c>
      <c r="AX156" t="s">
        <v>69</v>
      </c>
      <c r="AY156" t="s">
        <v>83</v>
      </c>
      <c r="AZ156" t="s">
        <v>96</v>
      </c>
      <c r="BA156">
        <v>0</v>
      </c>
      <c r="BB156">
        <v>0</v>
      </c>
      <c r="BC156" t="s">
        <v>1102</v>
      </c>
      <c r="BD156" t="s">
        <v>540</v>
      </c>
      <c r="BE156" t="s">
        <v>98</v>
      </c>
      <c r="BF156" t="s">
        <v>99</v>
      </c>
      <c r="BG156" t="s">
        <v>98</v>
      </c>
      <c r="BH156" t="s">
        <v>99</v>
      </c>
      <c r="BI156" t="s">
        <v>98</v>
      </c>
    </row>
    <row r="157" spans="1:61" x14ac:dyDescent="0.35">
      <c r="A157">
        <v>156</v>
      </c>
      <c r="B157">
        <v>45840.820092592592</v>
      </c>
      <c r="C157" t="s">
        <v>1103</v>
      </c>
      <c r="D157" t="s">
        <v>1104</v>
      </c>
      <c r="E157" t="s">
        <v>63</v>
      </c>
      <c r="F157" t="s">
        <v>63</v>
      </c>
      <c r="G157" t="s">
        <v>1105</v>
      </c>
      <c r="H157" t="s">
        <v>981</v>
      </c>
      <c r="I157" t="s">
        <v>982</v>
      </c>
      <c r="J157" t="s">
        <v>1106</v>
      </c>
      <c r="K157" t="s">
        <v>1107</v>
      </c>
      <c r="L157" t="s">
        <v>69</v>
      </c>
      <c r="M157" t="s">
        <v>69</v>
      </c>
      <c r="N157" t="s">
        <v>69</v>
      </c>
      <c r="O157" t="s">
        <v>69</v>
      </c>
      <c r="P157" t="s">
        <v>70</v>
      </c>
      <c r="Q157" t="s">
        <v>71</v>
      </c>
      <c r="R157" s="3" t="s">
        <v>499</v>
      </c>
      <c r="S157">
        <v>22</v>
      </c>
      <c r="T157" t="s">
        <v>72</v>
      </c>
      <c r="U157" t="s">
        <v>73</v>
      </c>
      <c r="V157" t="s">
        <v>74</v>
      </c>
      <c r="W157" t="s">
        <v>74</v>
      </c>
      <c r="X157">
        <v>4</v>
      </c>
      <c r="Y157">
        <v>4</v>
      </c>
      <c r="Z157">
        <v>4</v>
      </c>
      <c r="AA157">
        <v>3</v>
      </c>
      <c r="AB157">
        <v>4</v>
      </c>
      <c r="AC157">
        <v>4</v>
      </c>
      <c r="AD157">
        <v>4</v>
      </c>
      <c r="AE157">
        <v>4</v>
      </c>
      <c r="AF157">
        <v>4</v>
      </c>
      <c r="AG157">
        <v>4</v>
      </c>
      <c r="AH157">
        <v>4</v>
      </c>
      <c r="AI157">
        <v>4</v>
      </c>
      <c r="AJ157">
        <v>4</v>
      </c>
      <c r="AK157">
        <v>4</v>
      </c>
      <c r="AL157">
        <v>4</v>
      </c>
      <c r="AM157">
        <v>4</v>
      </c>
      <c r="AN157">
        <v>3</v>
      </c>
      <c r="AO157">
        <v>3</v>
      </c>
      <c r="AQ157">
        <v>0</v>
      </c>
      <c r="AR157" t="s">
        <v>69</v>
      </c>
      <c r="AT157">
        <v>0</v>
      </c>
      <c r="AU157" t="s">
        <v>69</v>
      </c>
      <c r="AW157">
        <v>0</v>
      </c>
      <c r="AX157" t="s">
        <v>69</v>
      </c>
      <c r="AY157" t="s">
        <v>144</v>
      </c>
      <c r="AZ157" t="s">
        <v>144</v>
      </c>
      <c r="BA157">
        <v>2</v>
      </c>
      <c r="BB157">
        <v>3</v>
      </c>
      <c r="BC157" t="s">
        <v>985</v>
      </c>
      <c r="BD157" t="s">
        <v>79</v>
      </c>
      <c r="BE157" t="s">
        <v>985</v>
      </c>
      <c r="BF157" t="s">
        <v>79</v>
      </c>
      <c r="BG157" t="s">
        <v>985</v>
      </c>
      <c r="BH157" t="s">
        <v>79</v>
      </c>
      <c r="BI157" t="s">
        <v>83</v>
      </c>
    </row>
    <row r="158" spans="1:61" x14ac:dyDescent="0.35">
      <c r="A158">
        <v>157</v>
      </c>
      <c r="B158">
        <v>45840.824699074074</v>
      </c>
      <c r="C158" t="s">
        <v>1108</v>
      </c>
      <c r="D158" t="s">
        <v>1109</v>
      </c>
      <c r="E158" t="s">
        <v>63</v>
      </c>
      <c r="F158" t="s">
        <v>179</v>
      </c>
      <c r="G158" t="s">
        <v>1110</v>
      </c>
      <c r="H158" t="s">
        <v>981</v>
      </c>
      <c r="I158" t="s">
        <v>982</v>
      </c>
      <c r="J158" t="s">
        <v>1106</v>
      </c>
      <c r="K158" t="s">
        <v>1111</v>
      </c>
      <c r="L158" t="s">
        <v>69</v>
      </c>
      <c r="M158" t="s">
        <v>69</v>
      </c>
      <c r="N158" t="s">
        <v>69</v>
      </c>
      <c r="O158" t="s">
        <v>69</v>
      </c>
      <c r="P158" t="s">
        <v>106</v>
      </c>
      <c r="Q158" t="s">
        <v>71</v>
      </c>
      <c r="R158" s="3" t="s">
        <v>217</v>
      </c>
      <c r="S158">
        <v>20</v>
      </c>
      <c r="T158" t="s">
        <v>131</v>
      </c>
      <c r="U158" t="s">
        <v>73</v>
      </c>
      <c r="V158" t="s">
        <v>1112</v>
      </c>
      <c r="W158" t="s">
        <v>133</v>
      </c>
      <c r="X158">
        <v>3</v>
      </c>
      <c r="Y158">
        <v>4</v>
      </c>
      <c r="Z158">
        <v>4</v>
      </c>
      <c r="AA158">
        <v>3</v>
      </c>
      <c r="AB158">
        <v>4</v>
      </c>
      <c r="AC158">
        <v>4</v>
      </c>
      <c r="AD158">
        <v>4</v>
      </c>
      <c r="AE158">
        <v>4</v>
      </c>
      <c r="AF158">
        <v>4</v>
      </c>
      <c r="AG158">
        <v>4</v>
      </c>
      <c r="AH158">
        <v>4</v>
      </c>
      <c r="AI158">
        <v>4</v>
      </c>
      <c r="AJ158">
        <v>4</v>
      </c>
      <c r="AK158">
        <v>4</v>
      </c>
      <c r="AL158">
        <v>4</v>
      </c>
      <c r="AM158">
        <v>4</v>
      </c>
      <c r="AN158">
        <v>4</v>
      </c>
      <c r="AO158">
        <v>3</v>
      </c>
      <c r="AP158">
        <v>1</v>
      </c>
      <c r="AQ158">
        <v>4</v>
      </c>
      <c r="AR158" t="s">
        <v>75</v>
      </c>
      <c r="AT158">
        <v>0</v>
      </c>
      <c r="AU158" t="s">
        <v>69</v>
      </c>
      <c r="AW158">
        <v>0</v>
      </c>
      <c r="AX158" t="s">
        <v>69</v>
      </c>
      <c r="AY158" t="s">
        <v>83</v>
      </c>
      <c r="AZ158" t="s">
        <v>96</v>
      </c>
      <c r="BA158">
        <v>0</v>
      </c>
      <c r="BB158">
        <v>0</v>
      </c>
      <c r="BC158" t="s">
        <v>985</v>
      </c>
      <c r="BD158" t="s">
        <v>79</v>
      </c>
      <c r="BE158" t="s">
        <v>342</v>
      </c>
      <c r="BF158" t="s">
        <v>79</v>
      </c>
      <c r="BG158" t="s">
        <v>985</v>
      </c>
      <c r="BH158" t="s">
        <v>79</v>
      </c>
      <c r="BI158" t="s">
        <v>83</v>
      </c>
    </row>
    <row r="159" spans="1:61" x14ac:dyDescent="0.35">
      <c r="A159">
        <v>158</v>
      </c>
      <c r="B159">
        <v>45840.844652777778</v>
      </c>
      <c r="C159" t="s">
        <v>1113</v>
      </c>
      <c r="D159" t="s">
        <v>1114</v>
      </c>
      <c r="E159" t="s">
        <v>63</v>
      </c>
      <c r="F159" t="s">
        <v>125</v>
      </c>
      <c r="G159" t="s">
        <v>1115</v>
      </c>
      <c r="H159" t="s">
        <v>578</v>
      </c>
      <c r="I159" t="s">
        <v>596</v>
      </c>
      <c r="J159" t="s">
        <v>649</v>
      </c>
      <c r="K159" t="s">
        <v>1116</v>
      </c>
      <c r="L159" t="s">
        <v>69</v>
      </c>
      <c r="M159" t="s">
        <v>69</v>
      </c>
      <c r="N159" t="s">
        <v>69</v>
      </c>
      <c r="O159" t="s">
        <v>69</v>
      </c>
      <c r="P159" t="s">
        <v>106</v>
      </c>
      <c r="Q159" t="s">
        <v>71</v>
      </c>
      <c r="R159" s="3">
        <v>21</v>
      </c>
      <c r="S159">
        <v>21</v>
      </c>
      <c r="T159" t="s">
        <v>72</v>
      </c>
      <c r="U159" t="s">
        <v>73</v>
      </c>
      <c r="V159" t="s">
        <v>74</v>
      </c>
      <c r="W159" t="s">
        <v>74</v>
      </c>
      <c r="X159">
        <v>3</v>
      </c>
      <c r="Y159">
        <v>4</v>
      </c>
      <c r="Z159">
        <v>4</v>
      </c>
      <c r="AA159">
        <v>4</v>
      </c>
      <c r="AB159">
        <v>3</v>
      </c>
      <c r="AC159">
        <v>4</v>
      </c>
      <c r="AD159">
        <v>3</v>
      </c>
      <c r="AE159">
        <v>4</v>
      </c>
      <c r="AF159">
        <v>4</v>
      </c>
      <c r="AG159">
        <v>4</v>
      </c>
      <c r="AH159">
        <v>4</v>
      </c>
      <c r="AI159">
        <v>4</v>
      </c>
      <c r="AJ159">
        <v>4</v>
      </c>
      <c r="AK159">
        <v>4</v>
      </c>
      <c r="AL159">
        <v>4</v>
      </c>
      <c r="AM159">
        <v>4</v>
      </c>
      <c r="AN159">
        <v>3</v>
      </c>
      <c r="AO159">
        <v>4</v>
      </c>
      <c r="AQ159">
        <v>0</v>
      </c>
      <c r="AR159" t="s">
        <v>69</v>
      </c>
      <c r="AS159">
        <v>2</v>
      </c>
      <c r="AT159">
        <v>3</v>
      </c>
      <c r="AU159" t="s">
        <v>75</v>
      </c>
      <c r="AW159">
        <v>0</v>
      </c>
      <c r="AX159" t="s">
        <v>69</v>
      </c>
      <c r="AY159" t="s">
        <v>83</v>
      </c>
      <c r="AZ159" t="s">
        <v>96</v>
      </c>
      <c r="BA159">
        <v>0</v>
      </c>
      <c r="BB159">
        <v>0</v>
      </c>
      <c r="BC159" t="s">
        <v>1118</v>
      </c>
      <c r="BD159" t="s">
        <v>79</v>
      </c>
      <c r="BE159" t="s">
        <v>1119</v>
      </c>
      <c r="BF159" t="s">
        <v>81</v>
      </c>
      <c r="BG159" t="s">
        <v>624</v>
      </c>
      <c r="BH159" t="s">
        <v>79</v>
      </c>
      <c r="BI159" t="s">
        <v>83</v>
      </c>
    </row>
    <row r="160" spans="1:61" x14ac:dyDescent="0.35">
      <c r="A160">
        <v>159</v>
      </c>
      <c r="B160">
        <v>45840.855069444442</v>
      </c>
      <c r="C160" t="s">
        <v>1120</v>
      </c>
      <c r="D160" t="s">
        <v>1121</v>
      </c>
      <c r="E160" t="s">
        <v>63</v>
      </c>
      <c r="F160" t="s">
        <v>179</v>
      </c>
      <c r="G160" t="s">
        <v>1122</v>
      </c>
      <c r="H160" t="s">
        <v>981</v>
      </c>
      <c r="I160" t="s">
        <v>982</v>
      </c>
      <c r="J160" t="s">
        <v>1106</v>
      </c>
      <c r="K160" t="s">
        <v>923</v>
      </c>
      <c r="L160" t="s">
        <v>69</v>
      </c>
      <c r="M160" t="s">
        <v>69</v>
      </c>
      <c r="N160" t="s">
        <v>69</v>
      </c>
      <c r="O160" t="s">
        <v>69</v>
      </c>
      <c r="P160" t="s">
        <v>106</v>
      </c>
      <c r="Q160" t="s">
        <v>71</v>
      </c>
      <c r="R160" s="3" t="s">
        <v>1123</v>
      </c>
      <c r="S160">
        <v>48</v>
      </c>
      <c r="T160" t="s">
        <v>225</v>
      </c>
      <c r="U160" t="s">
        <v>73</v>
      </c>
      <c r="V160" t="s">
        <v>274</v>
      </c>
      <c r="W160" t="s">
        <v>274</v>
      </c>
      <c r="X160">
        <v>3</v>
      </c>
      <c r="Y160">
        <v>3</v>
      </c>
      <c r="Z160">
        <v>3</v>
      </c>
      <c r="AA160">
        <v>4</v>
      </c>
      <c r="AB160">
        <v>3</v>
      </c>
      <c r="AC160">
        <v>3</v>
      </c>
      <c r="AD160">
        <v>3</v>
      </c>
      <c r="AE160">
        <v>3</v>
      </c>
      <c r="AF160">
        <v>4</v>
      </c>
      <c r="AG160">
        <v>3</v>
      </c>
      <c r="AH160">
        <v>4</v>
      </c>
      <c r="AI160">
        <v>4</v>
      </c>
      <c r="AJ160">
        <v>4</v>
      </c>
      <c r="AK160">
        <v>4</v>
      </c>
      <c r="AL160">
        <v>3</v>
      </c>
      <c r="AM160">
        <v>4</v>
      </c>
      <c r="AN160">
        <v>3</v>
      </c>
      <c r="AO160">
        <v>4</v>
      </c>
      <c r="AQ160">
        <v>0</v>
      </c>
      <c r="AR160" t="s">
        <v>75</v>
      </c>
      <c r="AT160">
        <v>0</v>
      </c>
      <c r="AU160" t="s">
        <v>69</v>
      </c>
      <c r="AV160">
        <v>1</v>
      </c>
      <c r="AW160">
        <v>4</v>
      </c>
      <c r="AX160" t="s">
        <v>69</v>
      </c>
      <c r="AY160" t="s">
        <v>83</v>
      </c>
      <c r="AZ160" t="s">
        <v>96</v>
      </c>
      <c r="BA160">
        <v>0</v>
      </c>
      <c r="BB160">
        <v>0</v>
      </c>
      <c r="BC160" t="s">
        <v>985</v>
      </c>
      <c r="BD160" t="s">
        <v>79</v>
      </c>
      <c r="BE160" t="s">
        <v>985</v>
      </c>
      <c r="BF160" t="s">
        <v>79</v>
      </c>
      <c r="BG160" t="s">
        <v>1124</v>
      </c>
      <c r="BH160" t="s">
        <v>146</v>
      </c>
      <c r="BI160" t="s">
        <v>83</v>
      </c>
    </row>
    <row r="161" spans="1:61" x14ac:dyDescent="0.35">
      <c r="A161">
        <v>160</v>
      </c>
      <c r="B161">
        <v>45840.855243055557</v>
      </c>
      <c r="C161" t="s">
        <v>1125</v>
      </c>
      <c r="D161" t="s">
        <v>1126</v>
      </c>
      <c r="E161" t="s">
        <v>63</v>
      </c>
      <c r="F161" t="s">
        <v>86</v>
      </c>
      <c r="G161" t="s">
        <v>1127</v>
      </c>
      <c r="H161" t="s">
        <v>578</v>
      </c>
      <c r="I161" t="s">
        <v>596</v>
      </c>
      <c r="J161" t="s">
        <v>649</v>
      </c>
      <c r="K161" t="s">
        <v>1128</v>
      </c>
      <c r="L161" t="s">
        <v>69</v>
      </c>
      <c r="M161" t="s">
        <v>69</v>
      </c>
      <c r="N161" t="s">
        <v>69</v>
      </c>
      <c r="O161" t="s">
        <v>69</v>
      </c>
      <c r="P161" t="s">
        <v>70</v>
      </c>
      <c r="Q161" t="s">
        <v>71</v>
      </c>
      <c r="R161" s="3">
        <v>31</v>
      </c>
      <c r="S161">
        <v>31</v>
      </c>
      <c r="T161" t="s">
        <v>109</v>
      </c>
      <c r="U161" t="s">
        <v>73</v>
      </c>
      <c r="V161" t="s">
        <v>232</v>
      </c>
      <c r="W161" t="s">
        <v>232</v>
      </c>
      <c r="X161">
        <v>3</v>
      </c>
      <c r="Y161">
        <v>3</v>
      </c>
      <c r="Z161">
        <v>3</v>
      </c>
      <c r="AA161">
        <v>4</v>
      </c>
      <c r="AB161">
        <v>4</v>
      </c>
      <c r="AC161">
        <v>4</v>
      </c>
      <c r="AD161">
        <v>4</v>
      </c>
      <c r="AE161">
        <v>4</v>
      </c>
      <c r="AF161">
        <v>4</v>
      </c>
      <c r="AG161">
        <v>4</v>
      </c>
      <c r="AH161">
        <v>4</v>
      </c>
      <c r="AI161">
        <v>4</v>
      </c>
      <c r="AJ161">
        <v>4</v>
      </c>
      <c r="AK161">
        <v>4</v>
      </c>
      <c r="AL161">
        <v>4</v>
      </c>
      <c r="AM161">
        <v>4</v>
      </c>
      <c r="AN161">
        <v>4</v>
      </c>
      <c r="AO161">
        <v>4</v>
      </c>
      <c r="AQ161">
        <v>0</v>
      </c>
      <c r="AR161" t="s">
        <v>69</v>
      </c>
      <c r="AT161">
        <v>0</v>
      </c>
      <c r="AU161" t="s">
        <v>69</v>
      </c>
      <c r="AW161">
        <v>0</v>
      </c>
      <c r="AX161" t="s">
        <v>69</v>
      </c>
      <c r="AY161" t="s">
        <v>144</v>
      </c>
      <c r="AZ161" t="s">
        <v>144</v>
      </c>
      <c r="BA161">
        <v>2</v>
      </c>
      <c r="BB161">
        <v>3</v>
      </c>
      <c r="BC161" t="s">
        <v>624</v>
      </c>
      <c r="BD161" t="s">
        <v>79</v>
      </c>
      <c r="BE161" t="s">
        <v>624</v>
      </c>
      <c r="BF161" t="s">
        <v>79</v>
      </c>
      <c r="BG161" t="s">
        <v>624</v>
      </c>
      <c r="BH161" t="s">
        <v>79</v>
      </c>
      <c r="BI161" t="s">
        <v>83</v>
      </c>
    </row>
    <row r="162" spans="1:61" x14ac:dyDescent="0.35">
      <c r="A162">
        <v>161</v>
      </c>
      <c r="B162">
        <v>45840.860173611109</v>
      </c>
      <c r="C162" t="s">
        <v>1130</v>
      </c>
      <c r="D162" t="s">
        <v>1131</v>
      </c>
      <c r="E162" t="s">
        <v>63</v>
      </c>
      <c r="F162" t="s">
        <v>63</v>
      </c>
      <c r="G162" t="s">
        <v>1132</v>
      </c>
      <c r="H162" t="s">
        <v>981</v>
      </c>
      <c r="I162" t="s">
        <v>982</v>
      </c>
      <c r="J162" t="s">
        <v>1106</v>
      </c>
      <c r="K162" t="s">
        <v>1133</v>
      </c>
      <c r="L162" t="s">
        <v>69</v>
      </c>
      <c r="M162" t="s">
        <v>69</v>
      </c>
      <c r="N162" t="s">
        <v>69</v>
      </c>
      <c r="O162" t="s">
        <v>69</v>
      </c>
      <c r="P162" t="s">
        <v>106</v>
      </c>
      <c r="Q162" t="s">
        <v>107</v>
      </c>
      <c r="R162" s="3" t="s">
        <v>253</v>
      </c>
      <c r="S162">
        <v>60</v>
      </c>
      <c r="T162" t="s">
        <v>182</v>
      </c>
      <c r="U162" t="s">
        <v>93</v>
      </c>
      <c r="V162" t="s">
        <v>74</v>
      </c>
      <c r="W162" t="s">
        <v>74</v>
      </c>
      <c r="X162">
        <v>4</v>
      </c>
      <c r="Y162">
        <v>4</v>
      </c>
      <c r="Z162">
        <v>4</v>
      </c>
      <c r="AA162">
        <v>4</v>
      </c>
      <c r="AB162">
        <v>4</v>
      </c>
      <c r="AC162">
        <v>4</v>
      </c>
      <c r="AD162">
        <v>0</v>
      </c>
      <c r="AE162">
        <v>0</v>
      </c>
      <c r="AF162">
        <v>4</v>
      </c>
      <c r="AG162">
        <v>4</v>
      </c>
      <c r="AH162">
        <v>4</v>
      </c>
      <c r="AI162">
        <v>4</v>
      </c>
      <c r="AJ162">
        <v>4</v>
      </c>
      <c r="AK162">
        <v>4</v>
      </c>
      <c r="AL162">
        <v>4</v>
      </c>
      <c r="AM162">
        <v>4</v>
      </c>
      <c r="AN162">
        <v>4</v>
      </c>
      <c r="AO162">
        <v>4</v>
      </c>
      <c r="AQ162">
        <v>0</v>
      </c>
      <c r="AR162" t="s">
        <v>69</v>
      </c>
      <c r="AT162">
        <v>0</v>
      </c>
      <c r="AU162" t="s">
        <v>69</v>
      </c>
      <c r="AW162">
        <v>0</v>
      </c>
      <c r="AX162" t="s">
        <v>69</v>
      </c>
      <c r="AY162" t="s">
        <v>1134</v>
      </c>
      <c r="AZ162" t="s">
        <v>77</v>
      </c>
      <c r="BA162">
        <v>1</v>
      </c>
      <c r="BB162">
        <v>4</v>
      </c>
      <c r="BC162" t="s">
        <v>985</v>
      </c>
      <c r="BD162" t="s">
        <v>79</v>
      </c>
      <c r="BE162" t="s">
        <v>985</v>
      </c>
      <c r="BF162" t="s">
        <v>79</v>
      </c>
      <c r="BG162" t="s">
        <v>1135</v>
      </c>
      <c r="BH162" t="s">
        <v>190</v>
      </c>
      <c r="BI162" t="s">
        <v>83</v>
      </c>
    </row>
    <row r="163" spans="1:61" x14ac:dyDescent="0.35">
      <c r="A163">
        <v>162</v>
      </c>
      <c r="B163">
        <v>45840.865405092591</v>
      </c>
      <c r="C163" t="s">
        <v>1136</v>
      </c>
      <c r="D163" t="s">
        <v>1137</v>
      </c>
      <c r="E163" t="s">
        <v>63</v>
      </c>
      <c r="F163" t="s">
        <v>63</v>
      </c>
      <c r="G163" t="s">
        <v>1138</v>
      </c>
      <c r="H163" t="s">
        <v>981</v>
      </c>
      <c r="I163" t="s">
        <v>982</v>
      </c>
      <c r="J163" t="s">
        <v>1106</v>
      </c>
      <c r="K163" t="s">
        <v>1139</v>
      </c>
      <c r="L163" t="s">
        <v>69</v>
      </c>
      <c r="M163" t="s">
        <v>69</v>
      </c>
      <c r="N163" t="s">
        <v>69</v>
      </c>
      <c r="O163" t="s">
        <v>69</v>
      </c>
      <c r="P163" t="s">
        <v>106</v>
      </c>
      <c r="Q163" t="s">
        <v>107</v>
      </c>
      <c r="R163" s="3" t="s">
        <v>561</v>
      </c>
      <c r="S163">
        <v>45</v>
      </c>
      <c r="T163" t="s">
        <v>197</v>
      </c>
      <c r="U163" t="s">
        <v>73</v>
      </c>
      <c r="V163" t="s">
        <v>74</v>
      </c>
      <c r="W163" t="s">
        <v>74</v>
      </c>
      <c r="X163">
        <v>4</v>
      </c>
      <c r="Y163">
        <v>4</v>
      </c>
      <c r="Z163">
        <v>4</v>
      </c>
      <c r="AA163">
        <v>4</v>
      </c>
      <c r="AB163">
        <v>4</v>
      </c>
      <c r="AC163">
        <v>4</v>
      </c>
      <c r="AD163">
        <v>0</v>
      </c>
      <c r="AE163">
        <v>0</v>
      </c>
      <c r="AF163">
        <v>4</v>
      </c>
      <c r="AG163">
        <v>4</v>
      </c>
      <c r="AH163">
        <v>4</v>
      </c>
      <c r="AI163">
        <v>4</v>
      </c>
      <c r="AJ163">
        <v>4</v>
      </c>
      <c r="AK163">
        <v>4</v>
      </c>
      <c r="AL163">
        <v>4</v>
      </c>
      <c r="AM163">
        <v>4</v>
      </c>
      <c r="AN163">
        <v>4</v>
      </c>
      <c r="AO163">
        <v>4</v>
      </c>
      <c r="AQ163">
        <v>0</v>
      </c>
      <c r="AR163" t="s">
        <v>69</v>
      </c>
      <c r="AS163">
        <v>1</v>
      </c>
      <c r="AT163">
        <v>4</v>
      </c>
      <c r="AU163" t="s">
        <v>75</v>
      </c>
      <c r="AW163">
        <v>0</v>
      </c>
      <c r="AX163" t="s">
        <v>69</v>
      </c>
      <c r="AY163" t="s">
        <v>83</v>
      </c>
      <c r="AZ163" t="s">
        <v>96</v>
      </c>
      <c r="BA163">
        <v>0</v>
      </c>
      <c r="BB163">
        <v>0</v>
      </c>
      <c r="BC163" t="s">
        <v>992</v>
      </c>
      <c r="BD163" t="s">
        <v>112</v>
      </c>
      <c r="BE163" t="s">
        <v>985</v>
      </c>
      <c r="BF163" t="s">
        <v>79</v>
      </c>
      <c r="BG163" t="s">
        <v>985</v>
      </c>
      <c r="BH163" t="s">
        <v>79</v>
      </c>
      <c r="BI163" t="s">
        <v>83</v>
      </c>
    </row>
    <row r="164" spans="1:61" x14ac:dyDescent="0.35">
      <c r="A164">
        <v>163</v>
      </c>
      <c r="B164">
        <v>45840.868796296294</v>
      </c>
      <c r="C164" t="s">
        <v>1140</v>
      </c>
      <c r="D164" t="s">
        <v>1141</v>
      </c>
      <c r="E164" t="s">
        <v>63</v>
      </c>
      <c r="F164" t="s">
        <v>397</v>
      </c>
      <c r="G164" t="s">
        <v>1142</v>
      </c>
      <c r="H164" t="s">
        <v>578</v>
      </c>
      <c r="I164" t="s">
        <v>588</v>
      </c>
      <c r="J164" t="s">
        <v>639</v>
      </c>
      <c r="K164" t="s">
        <v>1143</v>
      </c>
      <c r="L164" t="s">
        <v>69</v>
      </c>
      <c r="M164" t="s">
        <v>69</v>
      </c>
      <c r="N164" t="s">
        <v>69</v>
      </c>
      <c r="O164" t="s">
        <v>69</v>
      </c>
      <c r="P164" t="s">
        <v>70</v>
      </c>
      <c r="Q164" t="s">
        <v>71</v>
      </c>
      <c r="R164" s="3" t="s">
        <v>1045</v>
      </c>
      <c r="S164">
        <v>29</v>
      </c>
      <c r="T164" t="s">
        <v>92</v>
      </c>
      <c r="U164" t="s">
        <v>73</v>
      </c>
      <c r="V164" t="s">
        <v>232</v>
      </c>
      <c r="W164" t="s">
        <v>232</v>
      </c>
      <c r="X164">
        <v>3</v>
      </c>
      <c r="Y164">
        <v>4</v>
      </c>
      <c r="Z164">
        <v>4</v>
      </c>
      <c r="AA164">
        <v>4</v>
      </c>
      <c r="AB164">
        <v>4</v>
      </c>
      <c r="AC164">
        <v>4</v>
      </c>
      <c r="AD164">
        <v>4</v>
      </c>
      <c r="AE164">
        <v>4</v>
      </c>
      <c r="AF164">
        <v>4</v>
      </c>
      <c r="AG164">
        <v>4</v>
      </c>
      <c r="AH164">
        <v>4</v>
      </c>
      <c r="AI164">
        <v>4</v>
      </c>
      <c r="AJ164">
        <v>4</v>
      </c>
      <c r="AK164">
        <v>4</v>
      </c>
      <c r="AL164">
        <v>3</v>
      </c>
      <c r="AM164">
        <v>4</v>
      </c>
      <c r="AN164">
        <v>3</v>
      </c>
      <c r="AO164">
        <v>3</v>
      </c>
      <c r="AQ164">
        <v>0</v>
      </c>
      <c r="AR164" t="s">
        <v>69</v>
      </c>
      <c r="AT164">
        <v>0</v>
      </c>
      <c r="AU164" t="s">
        <v>69</v>
      </c>
      <c r="AV164">
        <v>2</v>
      </c>
      <c r="AW164">
        <v>3</v>
      </c>
      <c r="AX164" t="s">
        <v>75</v>
      </c>
      <c r="AY164" t="s">
        <v>83</v>
      </c>
      <c r="AZ164" t="s">
        <v>96</v>
      </c>
      <c r="BA164">
        <v>0</v>
      </c>
      <c r="BB164">
        <v>0</v>
      </c>
      <c r="BC164" t="s">
        <v>624</v>
      </c>
      <c r="BD164" t="s">
        <v>79</v>
      </c>
      <c r="BE164" t="s">
        <v>624</v>
      </c>
      <c r="BF164" t="s">
        <v>79</v>
      </c>
      <c r="BG164" t="s">
        <v>1144</v>
      </c>
      <c r="BH164" t="s">
        <v>79</v>
      </c>
      <c r="BI164" t="s">
        <v>83</v>
      </c>
    </row>
    <row r="165" spans="1:61" x14ac:dyDescent="0.35">
      <c r="A165">
        <v>164</v>
      </c>
      <c r="B165">
        <v>45840.870717592596</v>
      </c>
      <c r="C165" t="s">
        <v>1145</v>
      </c>
      <c r="D165" t="s">
        <v>1146</v>
      </c>
      <c r="E165" t="s">
        <v>63</v>
      </c>
      <c r="F165" t="s">
        <v>179</v>
      </c>
      <c r="G165" t="s">
        <v>1147</v>
      </c>
      <c r="H165" t="s">
        <v>981</v>
      </c>
      <c r="I165" t="s">
        <v>982</v>
      </c>
      <c r="J165" t="s">
        <v>1106</v>
      </c>
      <c r="K165" t="s">
        <v>491</v>
      </c>
      <c r="L165" t="s">
        <v>69</v>
      </c>
      <c r="M165" t="s">
        <v>69</v>
      </c>
      <c r="N165" t="s">
        <v>69</v>
      </c>
      <c r="O165" t="s">
        <v>69</v>
      </c>
      <c r="P165" t="s">
        <v>106</v>
      </c>
      <c r="Q165" t="s">
        <v>107</v>
      </c>
      <c r="R165" s="3" t="s">
        <v>680</v>
      </c>
      <c r="S165">
        <v>39</v>
      </c>
      <c r="T165" t="s">
        <v>153</v>
      </c>
      <c r="U165" t="s">
        <v>73</v>
      </c>
      <c r="V165" t="s">
        <v>74</v>
      </c>
      <c r="W165" t="s">
        <v>74</v>
      </c>
      <c r="X165">
        <v>3</v>
      </c>
      <c r="Y165">
        <v>3</v>
      </c>
      <c r="Z165">
        <v>3</v>
      </c>
      <c r="AA165">
        <v>3</v>
      </c>
      <c r="AB165">
        <v>3</v>
      </c>
      <c r="AC165">
        <v>3</v>
      </c>
      <c r="AD165">
        <v>0</v>
      </c>
      <c r="AE165">
        <v>0</v>
      </c>
      <c r="AF165">
        <v>3</v>
      </c>
      <c r="AG165">
        <v>4</v>
      </c>
      <c r="AH165">
        <v>3</v>
      </c>
      <c r="AI165">
        <v>4</v>
      </c>
      <c r="AJ165">
        <v>3</v>
      </c>
      <c r="AK165">
        <v>4</v>
      </c>
      <c r="AL165">
        <v>3</v>
      </c>
      <c r="AM165">
        <v>4</v>
      </c>
      <c r="AN165">
        <v>3</v>
      </c>
      <c r="AO165">
        <v>4</v>
      </c>
      <c r="AP165">
        <v>1</v>
      </c>
      <c r="AQ165">
        <v>4</v>
      </c>
      <c r="AR165" t="s">
        <v>75</v>
      </c>
      <c r="AT165">
        <v>0</v>
      </c>
      <c r="AU165" t="s">
        <v>69</v>
      </c>
      <c r="AW165">
        <v>0</v>
      </c>
      <c r="AX165" t="s">
        <v>69</v>
      </c>
      <c r="AY165" t="s">
        <v>83</v>
      </c>
      <c r="AZ165" t="s">
        <v>96</v>
      </c>
      <c r="BA165">
        <v>0</v>
      </c>
      <c r="BB165">
        <v>0</v>
      </c>
      <c r="BC165" t="s">
        <v>1148</v>
      </c>
      <c r="BD165" t="s">
        <v>235</v>
      </c>
      <c r="BE165" t="s">
        <v>985</v>
      </c>
      <c r="BF165" t="s">
        <v>79</v>
      </c>
      <c r="BG165" t="s">
        <v>1149</v>
      </c>
      <c r="BH165" t="s">
        <v>237</v>
      </c>
      <c r="BI165" t="s">
        <v>83</v>
      </c>
    </row>
    <row r="166" spans="1:61" x14ac:dyDescent="0.35">
      <c r="A166">
        <v>165</v>
      </c>
      <c r="B166">
        <v>45840.873136574075</v>
      </c>
      <c r="C166" t="s">
        <v>1150</v>
      </c>
      <c r="D166" t="s">
        <v>1151</v>
      </c>
      <c r="E166" t="s">
        <v>63</v>
      </c>
      <c r="F166" t="s">
        <v>125</v>
      </c>
      <c r="G166" t="s">
        <v>1152</v>
      </c>
      <c r="H166" t="s">
        <v>578</v>
      </c>
      <c r="I166" t="s">
        <v>596</v>
      </c>
      <c r="J166" t="s">
        <v>971</v>
      </c>
      <c r="K166" t="s">
        <v>105</v>
      </c>
      <c r="L166" t="s">
        <v>69</v>
      </c>
      <c r="M166" t="s">
        <v>69</v>
      </c>
      <c r="N166" t="s">
        <v>69</v>
      </c>
      <c r="O166" t="s">
        <v>69</v>
      </c>
      <c r="P166" t="s">
        <v>106</v>
      </c>
      <c r="Q166" t="s">
        <v>107</v>
      </c>
      <c r="R166" s="3">
        <v>39</v>
      </c>
      <c r="S166">
        <v>39</v>
      </c>
      <c r="T166" t="s">
        <v>153</v>
      </c>
      <c r="U166" t="s">
        <v>93</v>
      </c>
      <c r="V166" t="s">
        <v>74</v>
      </c>
      <c r="W166" t="s">
        <v>74</v>
      </c>
      <c r="X166">
        <v>4</v>
      </c>
      <c r="Y166">
        <v>4</v>
      </c>
      <c r="Z166">
        <v>4</v>
      </c>
      <c r="AA166">
        <v>4</v>
      </c>
      <c r="AB166">
        <v>4</v>
      </c>
      <c r="AC166">
        <v>4</v>
      </c>
      <c r="AD166">
        <v>0</v>
      </c>
      <c r="AE166">
        <v>0</v>
      </c>
      <c r="AF166">
        <v>4</v>
      </c>
      <c r="AG166">
        <v>4</v>
      </c>
      <c r="AH166">
        <v>4</v>
      </c>
      <c r="AI166">
        <v>4</v>
      </c>
      <c r="AJ166">
        <v>4</v>
      </c>
      <c r="AK166">
        <v>4</v>
      </c>
      <c r="AL166">
        <v>4</v>
      </c>
      <c r="AM166">
        <v>4</v>
      </c>
      <c r="AN166">
        <v>4</v>
      </c>
      <c r="AO166">
        <v>4</v>
      </c>
      <c r="AQ166">
        <v>0</v>
      </c>
      <c r="AR166" t="s">
        <v>69</v>
      </c>
      <c r="AT166">
        <v>0</v>
      </c>
      <c r="AU166" t="s">
        <v>69</v>
      </c>
      <c r="AW166">
        <v>0</v>
      </c>
      <c r="AX166" t="s">
        <v>69</v>
      </c>
      <c r="AY166" t="s">
        <v>233</v>
      </c>
      <c r="AZ166" t="s">
        <v>144</v>
      </c>
      <c r="BA166">
        <v>2</v>
      </c>
      <c r="BB166">
        <v>3</v>
      </c>
      <c r="BC166" t="s">
        <v>1154</v>
      </c>
      <c r="BD166" t="s">
        <v>79</v>
      </c>
      <c r="BE166" t="s">
        <v>1155</v>
      </c>
      <c r="BF166" t="s">
        <v>81</v>
      </c>
      <c r="BG166" t="s">
        <v>555</v>
      </c>
      <c r="BH166" t="s">
        <v>79</v>
      </c>
      <c r="BI166" t="s">
        <v>83</v>
      </c>
    </row>
    <row r="167" spans="1:61" x14ac:dyDescent="0.35">
      <c r="A167">
        <v>166</v>
      </c>
      <c r="B167">
        <v>45840.876238425924</v>
      </c>
      <c r="C167" t="s">
        <v>1156</v>
      </c>
      <c r="D167" t="s">
        <v>1157</v>
      </c>
      <c r="E167" t="s">
        <v>63</v>
      </c>
      <c r="F167" t="s">
        <v>179</v>
      </c>
      <c r="G167" t="s">
        <v>1158</v>
      </c>
      <c r="H167" t="s">
        <v>981</v>
      </c>
      <c r="I167" t="s">
        <v>982</v>
      </c>
      <c r="J167" t="s">
        <v>862</v>
      </c>
      <c r="K167" t="s">
        <v>1159</v>
      </c>
      <c r="L167" t="s">
        <v>69</v>
      </c>
      <c r="M167" t="s">
        <v>69</v>
      </c>
      <c r="N167" t="s">
        <v>69</v>
      </c>
      <c r="O167" t="s">
        <v>69</v>
      </c>
      <c r="P167" t="s">
        <v>106</v>
      </c>
      <c r="Q167" t="s">
        <v>107</v>
      </c>
      <c r="R167" s="3" t="s">
        <v>1160</v>
      </c>
      <c r="S167">
        <v>56</v>
      </c>
      <c r="T167" t="s">
        <v>182</v>
      </c>
      <c r="U167" t="s">
        <v>73</v>
      </c>
      <c r="V167" t="s">
        <v>110</v>
      </c>
      <c r="W167" t="s">
        <v>110</v>
      </c>
      <c r="X167">
        <v>4</v>
      </c>
      <c r="Y167">
        <v>4</v>
      </c>
      <c r="Z167">
        <v>4</v>
      </c>
      <c r="AA167">
        <v>4</v>
      </c>
      <c r="AB167">
        <v>4</v>
      </c>
      <c r="AC167">
        <v>3</v>
      </c>
      <c r="AD167">
        <v>0</v>
      </c>
      <c r="AE167">
        <v>0</v>
      </c>
      <c r="AF167">
        <v>4</v>
      </c>
      <c r="AG167">
        <v>4</v>
      </c>
      <c r="AH167">
        <v>4</v>
      </c>
      <c r="AI167">
        <v>4</v>
      </c>
      <c r="AJ167">
        <v>4</v>
      </c>
      <c r="AK167">
        <v>4</v>
      </c>
      <c r="AL167">
        <v>4</v>
      </c>
      <c r="AM167">
        <v>4</v>
      </c>
      <c r="AN167">
        <v>4</v>
      </c>
      <c r="AO167">
        <v>4</v>
      </c>
      <c r="AQ167">
        <v>0</v>
      </c>
      <c r="AR167" t="s">
        <v>69</v>
      </c>
      <c r="AT167">
        <v>0</v>
      </c>
      <c r="AU167" t="s">
        <v>69</v>
      </c>
      <c r="AW167">
        <v>0</v>
      </c>
      <c r="AX167" t="s">
        <v>69</v>
      </c>
      <c r="AY167" t="s">
        <v>1161</v>
      </c>
      <c r="AZ167" t="s">
        <v>1162</v>
      </c>
      <c r="BA167">
        <v>4</v>
      </c>
      <c r="BB167">
        <v>0</v>
      </c>
      <c r="BC167" t="s">
        <v>1163</v>
      </c>
      <c r="BD167" t="s">
        <v>79</v>
      </c>
      <c r="BE167" t="s">
        <v>985</v>
      </c>
      <c r="BF167" t="s">
        <v>79</v>
      </c>
      <c r="BG167" t="s">
        <v>985</v>
      </c>
      <c r="BH167" t="s">
        <v>79</v>
      </c>
      <c r="BI167" t="s">
        <v>83</v>
      </c>
    </row>
    <row r="168" spans="1:61" x14ac:dyDescent="0.35">
      <c r="A168">
        <v>167</v>
      </c>
      <c r="B168">
        <v>45840.880069444444</v>
      </c>
      <c r="C168" t="s">
        <v>1164</v>
      </c>
      <c r="D168" t="s">
        <v>1165</v>
      </c>
      <c r="E168" t="s">
        <v>63</v>
      </c>
      <c r="F168" t="s">
        <v>757</v>
      </c>
      <c r="G168" t="s">
        <v>1166</v>
      </c>
      <c r="H168" t="s">
        <v>578</v>
      </c>
      <c r="I168" t="s">
        <v>596</v>
      </c>
      <c r="J168" t="s">
        <v>971</v>
      </c>
      <c r="K168" t="s">
        <v>1167</v>
      </c>
      <c r="L168" t="s">
        <v>69</v>
      </c>
      <c r="M168" t="s">
        <v>69</v>
      </c>
      <c r="N168" t="s">
        <v>69</v>
      </c>
      <c r="O168" t="s">
        <v>69</v>
      </c>
      <c r="P168" t="s">
        <v>70</v>
      </c>
      <c r="Q168" t="s">
        <v>1168</v>
      </c>
      <c r="R168" s="3">
        <v>40</v>
      </c>
      <c r="S168">
        <v>40</v>
      </c>
      <c r="T168" t="s">
        <v>153</v>
      </c>
      <c r="U168" t="s">
        <v>254</v>
      </c>
      <c r="V168" t="s">
        <v>154</v>
      </c>
      <c r="W168" t="s">
        <v>154</v>
      </c>
      <c r="X168">
        <v>3</v>
      </c>
      <c r="Y168">
        <v>4</v>
      </c>
      <c r="Z168">
        <v>3</v>
      </c>
      <c r="AA168">
        <v>3</v>
      </c>
      <c r="AB168">
        <v>3</v>
      </c>
      <c r="AC168">
        <v>4</v>
      </c>
      <c r="AD168">
        <v>0</v>
      </c>
      <c r="AE168">
        <v>0</v>
      </c>
      <c r="AF168">
        <v>3</v>
      </c>
      <c r="AG168">
        <v>4</v>
      </c>
      <c r="AH168">
        <v>3</v>
      </c>
      <c r="AI168">
        <v>4</v>
      </c>
      <c r="AJ168">
        <v>4</v>
      </c>
      <c r="AK168">
        <v>4</v>
      </c>
      <c r="AL168">
        <v>3</v>
      </c>
      <c r="AM168">
        <v>4</v>
      </c>
      <c r="AN168">
        <v>4</v>
      </c>
      <c r="AO168">
        <v>4</v>
      </c>
      <c r="AQ168">
        <v>0</v>
      </c>
      <c r="AR168" t="s">
        <v>69</v>
      </c>
      <c r="AT168">
        <v>0</v>
      </c>
      <c r="AU168" t="s">
        <v>69</v>
      </c>
      <c r="AW168">
        <v>0</v>
      </c>
      <c r="AX168" t="s">
        <v>69</v>
      </c>
      <c r="AY168" t="s">
        <v>1170</v>
      </c>
      <c r="AZ168" t="s">
        <v>144</v>
      </c>
      <c r="BA168">
        <v>1</v>
      </c>
      <c r="BB168">
        <v>4</v>
      </c>
      <c r="BC168" t="s">
        <v>1171</v>
      </c>
      <c r="BD168" t="s">
        <v>486</v>
      </c>
      <c r="BE168" t="s">
        <v>1172</v>
      </c>
      <c r="BF168" t="s">
        <v>112</v>
      </c>
      <c r="BG168" t="s">
        <v>1173</v>
      </c>
      <c r="BH168" t="s">
        <v>685</v>
      </c>
      <c r="BI168" t="s">
        <v>1174</v>
      </c>
    </row>
    <row r="169" spans="1:61" x14ac:dyDescent="0.35">
      <c r="A169">
        <v>168</v>
      </c>
      <c r="B169">
        <v>45840.887743055559</v>
      </c>
      <c r="C169" t="s">
        <v>1175</v>
      </c>
      <c r="D169" t="s">
        <v>1176</v>
      </c>
      <c r="E169" t="s">
        <v>904</v>
      </c>
      <c r="F169" t="s">
        <v>1177</v>
      </c>
      <c r="G169" t="s">
        <v>1178</v>
      </c>
      <c r="H169" t="s">
        <v>578</v>
      </c>
      <c r="I169" t="s">
        <v>596</v>
      </c>
      <c r="J169" t="s">
        <v>971</v>
      </c>
      <c r="K169" t="s">
        <v>1179</v>
      </c>
      <c r="L169" t="s">
        <v>69</v>
      </c>
      <c r="M169" t="s">
        <v>69</v>
      </c>
      <c r="N169" t="s">
        <v>69</v>
      </c>
      <c r="O169" t="s">
        <v>69</v>
      </c>
      <c r="P169" t="s">
        <v>70</v>
      </c>
      <c r="Q169" t="s">
        <v>1180</v>
      </c>
      <c r="R169" s="3">
        <v>44</v>
      </c>
      <c r="S169">
        <v>44</v>
      </c>
      <c r="T169" t="s">
        <v>197</v>
      </c>
      <c r="U169" t="s">
        <v>93</v>
      </c>
      <c r="V169" t="s">
        <v>74</v>
      </c>
      <c r="W169" t="s">
        <v>74</v>
      </c>
      <c r="X169">
        <v>3</v>
      </c>
      <c r="Y169">
        <v>3</v>
      </c>
      <c r="Z169">
        <v>3</v>
      </c>
      <c r="AA169">
        <v>4</v>
      </c>
      <c r="AB169">
        <v>3</v>
      </c>
      <c r="AC169">
        <v>4</v>
      </c>
      <c r="AD169">
        <v>0</v>
      </c>
      <c r="AE169">
        <v>0</v>
      </c>
      <c r="AF169">
        <v>3</v>
      </c>
      <c r="AG169">
        <v>3</v>
      </c>
      <c r="AH169">
        <v>3</v>
      </c>
      <c r="AI169">
        <v>3</v>
      </c>
      <c r="AJ169">
        <v>3</v>
      </c>
      <c r="AK169">
        <v>3</v>
      </c>
      <c r="AL169">
        <v>3</v>
      </c>
      <c r="AM169">
        <v>3</v>
      </c>
      <c r="AN169">
        <v>4</v>
      </c>
      <c r="AO169">
        <v>3</v>
      </c>
      <c r="AQ169">
        <v>0</v>
      </c>
      <c r="AR169" t="s">
        <v>69</v>
      </c>
      <c r="AT169">
        <v>0</v>
      </c>
      <c r="AU169" t="s">
        <v>69</v>
      </c>
      <c r="AV169">
        <v>1</v>
      </c>
      <c r="AW169">
        <v>4</v>
      </c>
      <c r="AX169" t="s">
        <v>75</v>
      </c>
      <c r="AY169" t="s">
        <v>83</v>
      </c>
      <c r="AZ169" t="s">
        <v>96</v>
      </c>
      <c r="BA169">
        <v>0</v>
      </c>
      <c r="BB169">
        <v>0</v>
      </c>
      <c r="BC169" t="s">
        <v>1182</v>
      </c>
      <c r="BD169" t="s">
        <v>79</v>
      </c>
      <c r="BE169" t="s">
        <v>624</v>
      </c>
      <c r="BF169" t="s">
        <v>79</v>
      </c>
      <c r="BG169" t="s">
        <v>1183</v>
      </c>
      <c r="BH169" t="s">
        <v>1184</v>
      </c>
      <c r="BI169" t="s">
        <v>1185</v>
      </c>
    </row>
    <row r="170" spans="1:61" x14ac:dyDescent="0.35">
      <c r="A170">
        <v>169</v>
      </c>
      <c r="B170">
        <v>45840.920486111114</v>
      </c>
      <c r="C170" t="s">
        <v>1186</v>
      </c>
      <c r="D170" t="s">
        <v>1187</v>
      </c>
      <c r="E170" t="s">
        <v>63</v>
      </c>
      <c r="F170" t="s">
        <v>179</v>
      </c>
      <c r="G170" t="s">
        <v>1188</v>
      </c>
      <c r="H170" t="s">
        <v>242</v>
      </c>
      <c r="I170" t="s">
        <v>243</v>
      </c>
      <c r="J170" t="s">
        <v>1189</v>
      </c>
      <c r="K170" t="s">
        <v>440</v>
      </c>
      <c r="L170" t="s">
        <v>69</v>
      </c>
      <c r="M170" t="s">
        <v>69</v>
      </c>
      <c r="N170" t="s">
        <v>69</v>
      </c>
      <c r="O170" t="s">
        <v>69</v>
      </c>
      <c r="P170" t="s">
        <v>106</v>
      </c>
      <c r="Q170" t="s">
        <v>71</v>
      </c>
      <c r="R170" s="3" t="s">
        <v>671</v>
      </c>
      <c r="S170">
        <v>49</v>
      </c>
      <c r="T170" t="s">
        <v>225</v>
      </c>
      <c r="U170" t="s">
        <v>73</v>
      </c>
      <c r="V170" t="s">
        <v>74</v>
      </c>
      <c r="W170" t="s">
        <v>74</v>
      </c>
      <c r="X170">
        <v>4</v>
      </c>
      <c r="Y170">
        <v>4</v>
      </c>
      <c r="Z170">
        <v>4</v>
      </c>
      <c r="AA170">
        <v>4</v>
      </c>
      <c r="AB170">
        <v>4</v>
      </c>
      <c r="AC170">
        <v>4</v>
      </c>
      <c r="AD170">
        <v>4</v>
      </c>
      <c r="AE170">
        <v>4</v>
      </c>
      <c r="AF170">
        <v>4</v>
      </c>
      <c r="AG170">
        <v>4</v>
      </c>
      <c r="AH170">
        <v>4</v>
      </c>
      <c r="AI170">
        <v>4</v>
      </c>
      <c r="AJ170">
        <v>4</v>
      </c>
      <c r="AK170">
        <v>4</v>
      </c>
      <c r="AL170">
        <v>4</v>
      </c>
      <c r="AM170">
        <v>4</v>
      </c>
      <c r="AN170">
        <v>4</v>
      </c>
      <c r="AO170">
        <v>4</v>
      </c>
      <c r="AQ170">
        <v>0</v>
      </c>
      <c r="AR170" t="s">
        <v>69</v>
      </c>
      <c r="AS170">
        <v>1</v>
      </c>
      <c r="AT170">
        <v>4</v>
      </c>
      <c r="AU170" t="s">
        <v>69</v>
      </c>
      <c r="AW170">
        <v>0</v>
      </c>
      <c r="AX170" t="s">
        <v>69</v>
      </c>
      <c r="AY170" t="s">
        <v>83</v>
      </c>
      <c r="AZ170" t="s">
        <v>96</v>
      </c>
      <c r="BA170">
        <v>0</v>
      </c>
      <c r="BB170">
        <v>0</v>
      </c>
      <c r="BC170" t="s">
        <v>1190</v>
      </c>
      <c r="BD170" t="s">
        <v>79</v>
      </c>
      <c r="BE170" t="s">
        <v>248</v>
      </c>
      <c r="BF170" t="s">
        <v>79</v>
      </c>
      <c r="BG170" t="s">
        <v>248</v>
      </c>
      <c r="BH170" t="s">
        <v>79</v>
      </c>
      <c r="BI170" t="s">
        <v>278</v>
      </c>
    </row>
    <row r="171" spans="1:61" x14ac:dyDescent="0.35">
      <c r="A171">
        <v>170</v>
      </c>
      <c r="B171">
        <v>45840.923159722224</v>
      </c>
      <c r="C171" t="s">
        <v>1191</v>
      </c>
      <c r="D171" t="s">
        <v>1192</v>
      </c>
      <c r="E171" t="s">
        <v>63</v>
      </c>
      <c r="F171" t="s">
        <v>63</v>
      </c>
      <c r="G171" t="s">
        <v>1193</v>
      </c>
      <c r="H171" t="s">
        <v>242</v>
      </c>
      <c r="I171" t="s">
        <v>243</v>
      </c>
      <c r="J171" t="s">
        <v>1189</v>
      </c>
      <c r="K171" t="s">
        <v>951</v>
      </c>
      <c r="L171" t="s">
        <v>69</v>
      </c>
      <c r="M171" t="s">
        <v>69</v>
      </c>
      <c r="N171" t="s">
        <v>69</v>
      </c>
      <c r="O171" t="s">
        <v>69</v>
      </c>
      <c r="P171" t="s">
        <v>70</v>
      </c>
      <c r="Q171" t="s">
        <v>71</v>
      </c>
      <c r="R171" s="3" t="s">
        <v>441</v>
      </c>
      <c r="S171">
        <v>23</v>
      </c>
      <c r="T171" t="s">
        <v>72</v>
      </c>
      <c r="U171" t="s">
        <v>93</v>
      </c>
      <c r="V171" t="s">
        <v>74</v>
      </c>
      <c r="W171" t="s">
        <v>74</v>
      </c>
      <c r="X171">
        <v>4</v>
      </c>
      <c r="Y171">
        <v>4</v>
      </c>
      <c r="Z171">
        <v>4</v>
      </c>
      <c r="AA171">
        <v>4</v>
      </c>
      <c r="AB171">
        <v>4</v>
      </c>
      <c r="AC171">
        <v>4</v>
      </c>
      <c r="AD171">
        <v>4</v>
      </c>
      <c r="AE171">
        <v>4</v>
      </c>
      <c r="AF171">
        <v>4</v>
      </c>
      <c r="AG171">
        <v>4</v>
      </c>
      <c r="AH171">
        <v>4</v>
      </c>
      <c r="AI171">
        <v>4</v>
      </c>
      <c r="AJ171">
        <v>4</v>
      </c>
      <c r="AK171">
        <v>4</v>
      </c>
      <c r="AL171">
        <v>4</v>
      </c>
      <c r="AM171">
        <v>4</v>
      </c>
      <c r="AN171">
        <v>4</v>
      </c>
      <c r="AO171">
        <v>4</v>
      </c>
      <c r="AQ171">
        <v>0</v>
      </c>
      <c r="AR171" t="s">
        <v>69</v>
      </c>
      <c r="AS171">
        <v>1</v>
      </c>
      <c r="AT171">
        <v>4</v>
      </c>
      <c r="AU171" t="s">
        <v>75</v>
      </c>
      <c r="AW171">
        <v>0</v>
      </c>
      <c r="AX171" t="s">
        <v>69</v>
      </c>
      <c r="AY171" t="s">
        <v>83</v>
      </c>
      <c r="AZ171" t="s">
        <v>96</v>
      </c>
      <c r="BA171">
        <v>0</v>
      </c>
      <c r="BB171">
        <v>0</v>
      </c>
      <c r="BC171" t="s">
        <v>278</v>
      </c>
      <c r="BD171" t="s">
        <v>79</v>
      </c>
      <c r="BE171" t="s">
        <v>278</v>
      </c>
      <c r="BF171" t="s">
        <v>79</v>
      </c>
      <c r="BG171" t="s">
        <v>278</v>
      </c>
      <c r="BH171" t="s">
        <v>79</v>
      </c>
      <c r="BI171" t="s">
        <v>1194</v>
      </c>
    </row>
    <row r="172" spans="1:61" x14ac:dyDescent="0.35">
      <c r="A172">
        <v>171</v>
      </c>
      <c r="B172">
        <v>45840.926168981481</v>
      </c>
      <c r="C172" t="s">
        <v>1195</v>
      </c>
      <c r="D172" t="s">
        <v>1196</v>
      </c>
      <c r="E172" t="s">
        <v>63</v>
      </c>
      <c r="F172" t="s">
        <v>397</v>
      </c>
      <c r="G172" t="s">
        <v>1197</v>
      </c>
      <c r="H172" t="s">
        <v>242</v>
      </c>
      <c r="I172" t="s">
        <v>243</v>
      </c>
      <c r="J172" t="s">
        <v>639</v>
      </c>
      <c r="K172" t="s">
        <v>1198</v>
      </c>
      <c r="L172" t="s">
        <v>69</v>
      </c>
      <c r="M172" t="s">
        <v>69</v>
      </c>
      <c r="N172" t="s">
        <v>69</v>
      </c>
      <c r="O172" t="s">
        <v>69</v>
      </c>
      <c r="P172" t="s">
        <v>70</v>
      </c>
      <c r="Q172" t="s">
        <v>71</v>
      </c>
      <c r="R172" s="3" t="s">
        <v>566</v>
      </c>
      <c r="S172">
        <v>25</v>
      </c>
      <c r="T172" t="s">
        <v>72</v>
      </c>
      <c r="U172" t="s">
        <v>93</v>
      </c>
      <c r="V172" t="s">
        <v>74</v>
      </c>
      <c r="W172" t="s">
        <v>74</v>
      </c>
      <c r="X172">
        <v>4</v>
      </c>
      <c r="Y172">
        <v>3</v>
      </c>
      <c r="Z172">
        <v>4</v>
      </c>
      <c r="AA172">
        <v>4</v>
      </c>
      <c r="AB172">
        <v>4</v>
      </c>
      <c r="AC172">
        <v>4</v>
      </c>
      <c r="AD172">
        <v>4</v>
      </c>
      <c r="AE172">
        <v>4</v>
      </c>
      <c r="AF172">
        <v>4</v>
      </c>
      <c r="AG172">
        <v>4</v>
      </c>
      <c r="AH172">
        <v>4</v>
      </c>
      <c r="AI172">
        <v>4</v>
      </c>
      <c r="AJ172">
        <v>4</v>
      </c>
      <c r="AK172">
        <v>4</v>
      </c>
      <c r="AL172">
        <v>4</v>
      </c>
      <c r="AM172">
        <v>4</v>
      </c>
      <c r="AN172">
        <v>4</v>
      </c>
      <c r="AO172">
        <v>4</v>
      </c>
      <c r="AQ172">
        <v>0</v>
      </c>
      <c r="AR172" t="s">
        <v>69</v>
      </c>
      <c r="AS172">
        <v>1</v>
      </c>
      <c r="AT172">
        <v>4</v>
      </c>
      <c r="AU172" t="s">
        <v>75</v>
      </c>
      <c r="AW172">
        <v>0</v>
      </c>
      <c r="AX172" t="s">
        <v>69</v>
      </c>
      <c r="AY172" t="s">
        <v>83</v>
      </c>
      <c r="AZ172" t="s">
        <v>96</v>
      </c>
      <c r="BA172">
        <v>0</v>
      </c>
      <c r="BB172">
        <v>0</v>
      </c>
      <c r="BC172" t="s">
        <v>802</v>
      </c>
      <c r="BD172" t="s">
        <v>79</v>
      </c>
      <c r="BE172" t="s">
        <v>278</v>
      </c>
      <c r="BF172" t="s">
        <v>79</v>
      </c>
      <c r="BG172" t="s">
        <v>278</v>
      </c>
      <c r="BH172" t="s">
        <v>79</v>
      </c>
      <c r="BI172" t="s">
        <v>96</v>
      </c>
    </row>
    <row r="173" spans="1:61" x14ac:dyDescent="0.35">
      <c r="A173">
        <v>172</v>
      </c>
      <c r="B173">
        <v>45840.929988425924</v>
      </c>
      <c r="C173" t="s">
        <v>1199</v>
      </c>
      <c r="D173" t="s">
        <v>1200</v>
      </c>
      <c r="E173" t="s">
        <v>63</v>
      </c>
      <c r="F173" t="s">
        <v>149</v>
      </c>
      <c r="G173" t="s">
        <v>1201</v>
      </c>
      <c r="H173" t="s">
        <v>242</v>
      </c>
      <c r="I173" t="s">
        <v>243</v>
      </c>
      <c r="J173" t="s">
        <v>1189</v>
      </c>
      <c r="K173" t="s">
        <v>1202</v>
      </c>
      <c r="L173" t="s">
        <v>69</v>
      </c>
      <c r="M173" t="s">
        <v>69</v>
      </c>
      <c r="N173" t="s">
        <v>69</v>
      </c>
      <c r="O173" t="s">
        <v>69</v>
      </c>
      <c r="P173" t="s">
        <v>106</v>
      </c>
      <c r="Q173" t="s">
        <v>71</v>
      </c>
      <c r="R173" s="3" t="s">
        <v>1045</v>
      </c>
      <c r="S173">
        <v>29</v>
      </c>
      <c r="T173" t="s">
        <v>92</v>
      </c>
      <c r="U173" t="s">
        <v>93</v>
      </c>
      <c r="V173" t="s">
        <v>74</v>
      </c>
      <c r="W173" t="s">
        <v>74</v>
      </c>
      <c r="X173">
        <v>4</v>
      </c>
      <c r="Y173">
        <v>4</v>
      </c>
      <c r="Z173">
        <v>4</v>
      </c>
      <c r="AA173">
        <v>4</v>
      </c>
      <c r="AB173">
        <v>4</v>
      </c>
      <c r="AC173">
        <v>4</v>
      </c>
      <c r="AD173">
        <v>4</v>
      </c>
      <c r="AE173">
        <v>4</v>
      </c>
      <c r="AF173">
        <v>4</v>
      </c>
      <c r="AG173">
        <v>4</v>
      </c>
      <c r="AH173">
        <v>4</v>
      </c>
      <c r="AI173">
        <v>4</v>
      </c>
      <c r="AJ173">
        <v>4</v>
      </c>
      <c r="AK173">
        <v>4</v>
      </c>
      <c r="AL173">
        <v>4</v>
      </c>
      <c r="AM173">
        <v>4</v>
      </c>
      <c r="AN173">
        <v>4</v>
      </c>
      <c r="AO173">
        <v>4</v>
      </c>
      <c r="AQ173">
        <v>0</v>
      </c>
      <c r="AR173" t="s">
        <v>69</v>
      </c>
      <c r="AS173">
        <v>3</v>
      </c>
      <c r="AT173">
        <v>2</v>
      </c>
      <c r="AU173" t="s">
        <v>75</v>
      </c>
      <c r="AW173">
        <v>0</v>
      </c>
      <c r="AX173" t="s">
        <v>69</v>
      </c>
      <c r="AY173" t="s">
        <v>83</v>
      </c>
      <c r="AZ173" t="s">
        <v>96</v>
      </c>
      <c r="BA173">
        <v>0</v>
      </c>
      <c r="BB173">
        <v>0</v>
      </c>
      <c r="BC173" t="s">
        <v>248</v>
      </c>
      <c r="BD173" t="s">
        <v>79</v>
      </c>
      <c r="BE173" t="s">
        <v>248</v>
      </c>
      <c r="BF173" t="s">
        <v>79</v>
      </c>
      <c r="BG173" t="s">
        <v>248</v>
      </c>
      <c r="BH173" t="s">
        <v>79</v>
      </c>
      <c r="BI173" t="s">
        <v>1203</v>
      </c>
    </row>
    <row r="174" spans="1:61" x14ac:dyDescent="0.35">
      <c r="A174">
        <v>173</v>
      </c>
      <c r="B174">
        <v>45840.93644675926</v>
      </c>
      <c r="C174" t="s">
        <v>1204</v>
      </c>
      <c r="D174" t="s">
        <v>1205</v>
      </c>
      <c r="E174" t="s">
        <v>63</v>
      </c>
      <c r="F174" t="s">
        <v>63</v>
      </c>
      <c r="G174" t="s">
        <v>1206</v>
      </c>
      <c r="H174" t="s">
        <v>242</v>
      </c>
      <c r="I174" t="s">
        <v>243</v>
      </c>
      <c r="J174" t="s">
        <v>1189</v>
      </c>
      <c r="K174" t="s">
        <v>1207</v>
      </c>
      <c r="L174" t="s">
        <v>69</v>
      </c>
      <c r="M174" t="s">
        <v>69</v>
      </c>
      <c r="N174" t="s">
        <v>69</v>
      </c>
      <c r="O174" t="s">
        <v>69</v>
      </c>
      <c r="P174" t="s">
        <v>106</v>
      </c>
      <c r="Q174" t="s">
        <v>107</v>
      </c>
      <c r="R174" s="3" t="s">
        <v>1208</v>
      </c>
      <c r="S174">
        <v>55</v>
      </c>
      <c r="T174" t="s">
        <v>383</v>
      </c>
      <c r="U174" t="s">
        <v>73</v>
      </c>
      <c r="V174" t="s">
        <v>1209</v>
      </c>
      <c r="W174" t="s">
        <v>232</v>
      </c>
      <c r="X174">
        <v>4</v>
      </c>
      <c r="Y174">
        <v>4</v>
      </c>
      <c r="Z174">
        <v>4</v>
      </c>
      <c r="AA174">
        <v>4</v>
      </c>
      <c r="AB174">
        <v>4</v>
      </c>
      <c r="AC174">
        <v>4</v>
      </c>
      <c r="AD174">
        <v>4</v>
      </c>
      <c r="AE174">
        <v>4</v>
      </c>
      <c r="AF174">
        <v>4</v>
      </c>
      <c r="AG174">
        <v>4</v>
      </c>
      <c r="AH174">
        <v>4</v>
      </c>
      <c r="AI174">
        <v>4</v>
      </c>
      <c r="AJ174">
        <v>4</v>
      </c>
      <c r="AK174">
        <v>4</v>
      </c>
      <c r="AL174">
        <v>4</v>
      </c>
      <c r="AM174">
        <v>4</v>
      </c>
      <c r="AN174">
        <v>4</v>
      </c>
      <c r="AO174">
        <v>4</v>
      </c>
      <c r="AQ174">
        <v>0</v>
      </c>
      <c r="AR174" t="s">
        <v>69</v>
      </c>
      <c r="AT174">
        <v>0</v>
      </c>
      <c r="AU174" t="s">
        <v>69</v>
      </c>
      <c r="AV174">
        <v>1</v>
      </c>
      <c r="AW174">
        <v>4</v>
      </c>
      <c r="AX174" t="s">
        <v>75</v>
      </c>
      <c r="AY174" t="s">
        <v>83</v>
      </c>
      <c r="AZ174" t="s">
        <v>96</v>
      </c>
      <c r="BA174">
        <v>0</v>
      </c>
      <c r="BB174">
        <v>0</v>
      </c>
      <c r="BC174" t="s">
        <v>248</v>
      </c>
      <c r="BD174" t="s">
        <v>79</v>
      </c>
      <c r="BE174" t="s">
        <v>248</v>
      </c>
      <c r="BF174" t="s">
        <v>79</v>
      </c>
      <c r="BG174" t="s">
        <v>248</v>
      </c>
      <c r="BH174" t="s">
        <v>79</v>
      </c>
      <c r="BI174" t="s">
        <v>96</v>
      </c>
    </row>
    <row r="175" spans="1:61" x14ac:dyDescent="0.35">
      <c r="A175">
        <v>174</v>
      </c>
      <c r="B175">
        <v>45841.107870370368</v>
      </c>
      <c r="C175" t="s">
        <v>1210</v>
      </c>
      <c r="D175" t="s">
        <v>1211</v>
      </c>
      <c r="E175" t="s">
        <v>63</v>
      </c>
      <c r="F175" t="s">
        <v>179</v>
      </c>
      <c r="G175" t="s">
        <v>1212</v>
      </c>
      <c r="H175" t="s">
        <v>517</v>
      </c>
      <c r="I175" t="s">
        <v>518</v>
      </c>
      <c r="J175" t="s">
        <v>1213</v>
      </c>
      <c r="K175" t="s">
        <v>474</v>
      </c>
      <c r="L175" t="s">
        <v>69</v>
      </c>
      <c r="M175" t="s">
        <v>69</v>
      </c>
      <c r="N175" t="s">
        <v>69</v>
      </c>
      <c r="O175" t="s">
        <v>69</v>
      </c>
      <c r="P175" t="s">
        <v>70</v>
      </c>
      <c r="Q175" t="s">
        <v>107</v>
      </c>
      <c r="R175" s="3" t="s">
        <v>404</v>
      </c>
      <c r="S175">
        <v>42</v>
      </c>
      <c r="T175" t="s">
        <v>197</v>
      </c>
      <c r="U175" t="s">
        <v>73</v>
      </c>
      <c r="V175" t="s">
        <v>232</v>
      </c>
      <c r="W175" t="s">
        <v>232</v>
      </c>
      <c r="X175">
        <v>4</v>
      </c>
      <c r="Y175">
        <v>4</v>
      </c>
      <c r="Z175">
        <v>4</v>
      </c>
      <c r="AA175">
        <v>4</v>
      </c>
      <c r="AB175">
        <v>4</v>
      </c>
      <c r="AC175">
        <v>4</v>
      </c>
      <c r="AD175">
        <v>0</v>
      </c>
      <c r="AE175">
        <v>0</v>
      </c>
      <c r="AF175">
        <v>4</v>
      </c>
      <c r="AG175">
        <v>4</v>
      </c>
      <c r="AH175">
        <v>4</v>
      </c>
      <c r="AI175">
        <v>4</v>
      </c>
      <c r="AJ175">
        <v>4</v>
      </c>
      <c r="AK175">
        <v>4</v>
      </c>
      <c r="AL175">
        <v>4</v>
      </c>
      <c r="AM175">
        <v>4</v>
      </c>
      <c r="AN175">
        <v>4</v>
      </c>
      <c r="AO175">
        <v>4</v>
      </c>
      <c r="AP175">
        <v>2</v>
      </c>
      <c r="AQ175">
        <v>3</v>
      </c>
      <c r="AR175" t="s">
        <v>75</v>
      </c>
      <c r="AS175">
        <v>2</v>
      </c>
      <c r="AT175">
        <v>3</v>
      </c>
      <c r="AU175" t="s">
        <v>75</v>
      </c>
      <c r="AV175">
        <v>2</v>
      </c>
      <c r="AW175">
        <v>3</v>
      </c>
      <c r="AX175" t="s">
        <v>75</v>
      </c>
      <c r="AY175" t="s">
        <v>83</v>
      </c>
      <c r="AZ175" t="s">
        <v>96</v>
      </c>
      <c r="BA175">
        <v>0</v>
      </c>
      <c r="BB175">
        <v>0</v>
      </c>
      <c r="BC175" t="s">
        <v>248</v>
      </c>
      <c r="BD175" t="s">
        <v>79</v>
      </c>
      <c r="BE175" t="s">
        <v>248</v>
      </c>
      <c r="BF175" t="s">
        <v>79</v>
      </c>
      <c r="BG175" t="s">
        <v>248</v>
      </c>
      <c r="BH175" t="s">
        <v>79</v>
      </c>
      <c r="BI175" t="s">
        <v>83</v>
      </c>
    </row>
    <row r="176" spans="1:61" x14ac:dyDescent="0.35">
      <c r="A176">
        <v>175</v>
      </c>
      <c r="B176">
        <v>45841.112824074073</v>
      </c>
      <c r="C176" t="s">
        <v>1214</v>
      </c>
      <c r="D176" t="s">
        <v>1215</v>
      </c>
      <c r="E176" t="s">
        <v>63</v>
      </c>
      <c r="F176" t="s">
        <v>179</v>
      </c>
      <c r="G176" t="s">
        <v>1216</v>
      </c>
      <c r="H176" t="s">
        <v>517</v>
      </c>
      <c r="I176" t="s">
        <v>518</v>
      </c>
      <c r="J176" t="s">
        <v>1213</v>
      </c>
      <c r="K176" t="s">
        <v>1217</v>
      </c>
      <c r="L176" t="s">
        <v>69</v>
      </c>
      <c r="M176" t="s">
        <v>69</v>
      </c>
      <c r="N176" t="s">
        <v>69</v>
      </c>
      <c r="O176" t="s">
        <v>69</v>
      </c>
      <c r="P176" t="s">
        <v>106</v>
      </c>
      <c r="Q176" t="s">
        <v>71</v>
      </c>
      <c r="R176" s="3" t="s">
        <v>441</v>
      </c>
      <c r="S176">
        <v>23</v>
      </c>
      <c r="T176" t="s">
        <v>72</v>
      </c>
      <c r="U176" t="s">
        <v>73</v>
      </c>
      <c r="V176" t="s">
        <v>1218</v>
      </c>
      <c r="W176" t="s">
        <v>133</v>
      </c>
      <c r="X176">
        <v>3</v>
      </c>
      <c r="Y176">
        <v>4</v>
      </c>
      <c r="Z176">
        <v>3</v>
      </c>
      <c r="AA176">
        <v>3</v>
      </c>
      <c r="AB176">
        <v>4</v>
      </c>
      <c r="AC176">
        <v>4</v>
      </c>
      <c r="AD176">
        <v>3</v>
      </c>
      <c r="AE176">
        <v>3</v>
      </c>
      <c r="AF176">
        <v>3</v>
      </c>
      <c r="AG176">
        <v>3</v>
      </c>
      <c r="AH176">
        <v>4</v>
      </c>
      <c r="AI176">
        <v>4</v>
      </c>
      <c r="AJ176">
        <v>4</v>
      </c>
      <c r="AK176">
        <v>4</v>
      </c>
      <c r="AL176">
        <v>4</v>
      </c>
      <c r="AM176">
        <v>4</v>
      </c>
      <c r="AN176">
        <v>3</v>
      </c>
      <c r="AO176">
        <v>4</v>
      </c>
      <c r="AQ176">
        <v>0</v>
      </c>
      <c r="AR176" t="s">
        <v>69</v>
      </c>
      <c r="AS176">
        <v>2</v>
      </c>
      <c r="AT176">
        <v>3</v>
      </c>
      <c r="AU176" t="s">
        <v>75</v>
      </c>
      <c r="AW176">
        <v>0</v>
      </c>
      <c r="AX176" t="s">
        <v>69</v>
      </c>
      <c r="AY176" t="s">
        <v>83</v>
      </c>
      <c r="AZ176" t="s">
        <v>96</v>
      </c>
      <c r="BA176">
        <v>0</v>
      </c>
      <c r="BB176">
        <v>0</v>
      </c>
      <c r="BC176" t="s">
        <v>248</v>
      </c>
      <c r="BD176" t="s">
        <v>79</v>
      </c>
      <c r="BE176" t="s">
        <v>248</v>
      </c>
      <c r="BF176" t="s">
        <v>79</v>
      </c>
      <c r="BG176" t="s">
        <v>248</v>
      </c>
      <c r="BH176" t="s">
        <v>79</v>
      </c>
      <c r="BI176" t="s">
        <v>83</v>
      </c>
    </row>
    <row r="177" spans="1:61" x14ac:dyDescent="0.35">
      <c r="A177">
        <v>176</v>
      </c>
      <c r="B177">
        <v>45841.117199074077</v>
      </c>
      <c r="C177" t="s">
        <v>1219</v>
      </c>
      <c r="D177" t="s">
        <v>1220</v>
      </c>
      <c r="E177" t="s">
        <v>63</v>
      </c>
      <c r="F177" t="s">
        <v>136</v>
      </c>
      <c r="G177" t="s">
        <v>1221</v>
      </c>
      <c r="H177" t="s">
        <v>517</v>
      </c>
      <c r="I177" t="s">
        <v>518</v>
      </c>
      <c r="J177" t="s">
        <v>1213</v>
      </c>
      <c r="K177" t="s">
        <v>1222</v>
      </c>
      <c r="L177" t="s">
        <v>69</v>
      </c>
      <c r="M177" t="s">
        <v>69</v>
      </c>
      <c r="N177" t="s">
        <v>69</v>
      </c>
      <c r="O177" t="s">
        <v>69</v>
      </c>
      <c r="P177" t="s">
        <v>70</v>
      </c>
      <c r="Q177" t="s">
        <v>107</v>
      </c>
      <c r="R177" s="3" t="s">
        <v>807</v>
      </c>
      <c r="S177">
        <v>36</v>
      </c>
      <c r="T177" t="s">
        <v>153</v>
      </c>
      <c r="U177" t="s">
        <v>254</v>
      </c>
      <c r="V177" t="s">
        <v>74</v>
      </c>
      <c r="W177" t="s">
        <v>74</v>
      </c>
      <c r="X177">
        <v>4</v>
      </c>
      <c r="Y177">
        <v>4</v>
      </c>
      <c r="Z177">
        <v>4</v>
      </c>
      <c r="AA177">
        <v>4</v>
      </c>
      <c r="AB177">
        <v>4</v>
      </c>
      <c r="AC177">
        <v>4</v>
      </c>
      <c r="AD177">
        <v>0</v>
      </c>
      <c r="AE177">
        <v>0</v>
      </c>
      <c r="AF177">
        <v>4</v>
      </c>
      <c r="AG177">
        <v>4</v>
      </c>
      <c r="AH177">
        <v>4</v>
      </c>
      <c r="AI177">
        <v>4</v>
      </c>
      <c r="AJ177">
        <v>4</v>
      </c>
      <c r="AK177">
        <v>4</v>
      </c>
      <c r="AL177">
        <v>4</v>
      </c>
      <c r="AM177">
        <v>4</v>
      </c>
      <c r="AN177">
        <v>4</v>
      </c>
      <c r="AO177">
        <v>4</v>
      </c>
      <c r="AQ177">
        <v>0</v>
      </c>
      <c r="AR177" t="s">
        <v>69</v>
      </c>
      <c r="AT177">
        <v>0</v>
      </c>
      <c r="AU177" t="s">
        <v>69</v>
      </c>
      <c r="AW177">
        <v>0</v>
      </c>
      <c r="AX177" t="s">
        <v>69</v>
      </c>
      <c r="AY177" t="s">
        <v>1223</v>
      </c>
      <c r="AZ177" t="s">
        <v>186</v>
      </c>
      <c r="BA177">
        <v>1</v>
      </c>
      <c r="BB177">
        <v>4</v>
      </c>
      <c r="BC177" t="s">
        <v>248</v>
      </c>
      <c r="BD177" t="s">
        <v>79</v>
      </c>
      <c r="BE177" t="s">
        <v>248</v>
      </c>
      <c r="BF177" t="s">
        <v>79</v>
      </c>
      <c r="BG177" t="s">
        <v>248</v>
      </c>
      <c r="BH177" t="s">
        <v>79</v>
      </c>
      <c r="BI177" t="s">
        <v>83</v>
      </c>
    </row>
    <row r="178" spans="1:61" x14ac:dyDescent="0.35">
      <c r="A178">
        <v>177</v>
      </c>
      <c r="B178">
        <v>45841.12228009259</v>
      </c>
      <c r="C178" t="s">
        <v>1224</v>
      </c>
      <c r="D178" t="s">
        <v>1225</v>
      </c>
      <c r="E178" t="s">
        <v>63</v>
      </c>
      <c r="F178" t="s">
        <v>179</v>
      </c>
      <c r="G178" t="s">
        <v>1226</v>
      </c>
      <c r="H178" t="s">
        <v>517</v>
      </c>
      <c r="I178" t="s">
        <v>518</v>
      </c>
      <c r="J178" t="s">
        <v>1213</v>
      </c>
      <c r="K178" t="s">
        <v>1227</v>
      </c>
      <c r="L178" t="s">
        <v>69</v>
      </c>
      <c r="M178" t="s">
        <v>69</v>
      </c>
      <c r="N178" t="s">
        <v>69</v>
      </c>
      <c r="O178" t="s">
        <v>69</v>
      </c>
      <c r="P178" t="s">
        <v>70</v>
      </c>
      <c r="Q178" t="s">
        <v>71</v>
      </c>
      <c r="R178" s="3" t="s">
        <v>551</v>
      </c>
      <c r="S178">
        <v>34</v>
      </c>
      <c r="T178" t="s">
        <v>109</v>
      </c>
      <c r="U178" t="s">
        <v>93</v>
      </c>
      <c r="V178" t="s">
        <v>74</v>
      </c>
      <c r="W178" t="s">
        <v>74</v>
      </c>
      <c r="X178">
        <v>4</v>
      </c>
      <c r="Y178">
        <v>4</v>
      </c>
      <c r="Z178">
        <v>4</v>
      </c>
      <c r="AA178">
        <v>4</v>
      </c>
      <c r="AB178">
        <v>4</v>
      </c>
      <c r="AC178">
        <v>4</v>
      </c>
      <c r="AD178">
        <v>4</v>
      </c>
      <c r="AE178">
        <v>4</v>
      </c>
      <c r="AF178">
        <v>4</v>
      </c>
      <c r="AG178">
        <v>4</v>
      </c>
      <c r="AH178">
        <v>4</v>
      </c>
      <c r="AI178">
        <v>4</v>
      </c>
      <c r="AJ178">
        <v>4</v>
      </c>
      <c r="AK178">
        <v>4</v>
      </c>
      <c r="AL178">
        <v>4</v>
      </c>
      <c r="AM178">
        <v>4</v>
      </c>
      <c r="AN178">
        <v>4</v>
      </c>
      <c r="AO178">
        <v>4</v>
      </c>
      <c r="AP178">
        <v>1</v>
      </c>
      <c r="AQ178">
        <v>4</v>
      </c>
      <c r="AR178" t="s">
        <v>75</v>
      </c>
      <c r="AS178">
        <v>1</v>
      </c>
      <c r="AT178">
        <v>4</v>
      </c>
      <c r="AU178" t="s">
        <v>75</v>
      </c>
      <c r="AW178">
        <v>0</v>
      </c>
      <c r="AX178" t="s">
        <v>69</v>
      </c>
      <c r="AY178" t="s">
        <v>83</v>
      </c>
      <c r="AZ178" t="s">
        <v>96</v>
      </c>
      <c r="BA178">
        <v>0</v>
      </c>
      <c r="BB178">
        <v>0</v>
      </c>
      <c r="BC178" t="s">
        <v>554</v>
      </c>
      <c r="BD178" t="s">
        <v>79</v>
      </c>
      <c r="BE178" t="s">
        <v>503</v>
      </c>
      <c r="BF178" t="s">
        <v>79</v>
      </c>
      <c r="BG178" t="s">
        <v>1228</v>
      </c>
      <c r="BH178" t="s">
        <v>190</v>
      </c>
      <c r="BI178" t="s">
        <v>83</v>
      </c>
    </row>
    <row r="179" spans="1:61" x14ac:dyDescent="0.35">
      <c r="A179">
        <v>178</v>
      </c>
      <c r="B179">
        <v>45841.126539351855</v>
      </c>
      <c r="C179" t="s">
        <v>1229</v>
      </c>
      <c r="D179" t="s">
        <v>1230</v>
      </c>
      <c r="E179" t="s">
        <v>63</v>
      </c>
      <c r="F179" t="s">
        <v>312</v>
      </c>
      <c r="G179" t="s">
        <v>1231</v>
      </c>
      <c r="H179" t="s">
        <v>517</v>
      </c>
      <c r="I179" t="s">
        <v>518</v>
      </c>
      <c r="J179" t="s">
        <v>1213</v>
      </c>
      <c r="K179" t="s">
        <v>537</v>
      </c>
      <c r="L179" t="s">
        <v>69</v>
      </c>
      <c r="M179" t="s">
        <v>69</v>
      </c>
      <c r="N179" t="s">
        <v>69</v>
      </c>
      <c r="O179" t="s">
        <v>69</v>
      </c>
      <c r="P179" t="s">
        <v>106</v>
      </c>
      <c r="Q179" t="s">
        <v>107</v>
      </c>
      <c r="R179" s="3" t="s">
        <v>826</v>
      </c>
      <c r="S179">
        <v>44</v>
      </c>
      <c r="T179" t="s">
        <v>197</v>
      </c>
      <c r="U179" t="s">
        <v>73</v>
      </c>
      <c r="V179" t="s">
        <v>74</v>
      </c>
      <c r="W179" t="s">
        <v>74</v>
      </c>
      <c r="X179">
        <v>4</v>
      </c>
      <c r="Y179">
        <v>4</v>
      </c>
      <c r="Z179">
        <v>4</v>
      </c>
      <c r="AA179">
        <v>4</v>
      </c>
      <c r="AB179">
        <v>4</v>
      </c>
      <c r="AC179">
        <v>4</v>
      </c>
      <c r="AD179">
        <v>0</v>
      </c>
      <c r="AE179">
        <v>0</v>
      </c>
      <c r="AF179">
        <v>4</v>
      </c>
      <c r="AG179">
        <v>4</v>
      </c>
      <c r="AH179">
        <v>4</v>
      </c>
      <c r="AI179">
        <v>4</v>
      </c>
      <c r="AJ179">
        <v>4</v>
      </c>
      <c r="AK179">
        <v>4</v>
      </c>
      <c r="AL179">
        <v>4</v>
      </c>
      <c r="AM179">
        <v>4</v>
      </c>
      <c r="AN179">
        <v>4</v>
      </c>
      <c r="AO179">
        <v>4</v>
      </c>
      <c r="AQ179">
        <v>0</v>
      </c>
      <c r="AR179" t="s">
        <v>69</v>
      </c>
      <c r="AT179">
        <v>0</v>
      </c>
      <c r="AU179" t="s">
        <v>69</v>
      </c>
      <c r="AW179">
        <v>0</v>
      </c>
      <c r="AX179" t="s">
        <v>69</v>
      </c>
      <c r="AY179" t="s">
        <v>1232</v>
      </c>
      <c r="AZ179" t="s">
        <v>186</v>
      </c>
      <c r="BA179">
        <v>2</v>
      </c>
      <c r="BB179">
        <v>3</v>
      </c>
      <c r="BC179" t="s">
        <v>248</v>
      </c>
      <c r="BD179" t="s">
        <v>79</v>
      </c>
      <c r="BE179" t="s">
        <v>248</v>
      </c>
      <c r="BF179" t="s">
        <v>79</v>
      </c>
      <c r="BG179" t="s">
        <v>248</v>
      </c>
      <c r="BH179" t="s">
        <v>79</v>
      </c>
      <c r="BI179" t="s">
        <v>83</v>
      </c>
    </row>
    <row r="180" spans="1:61" x14ac:dyDescent="0.35">
      <c r="A180">
        <v>179</v>
      </c>
      <c r="B180">
        <v>45841.130914351852</v>
      </c>
      <c r="C180" t="s">
        <v>1233</v>
      </c>
      <c r="D180" t="s">
        <v>1234</v>
      </c>
      <c r="E180" t="s">
        <v>63</v>
      </c>
      <c r="F180" t="s">
        <v>136</v>
      </c>
      <c r="G180" t="s">
        <v>1235</v>
      </c>
      <c r="H180" t="s">
        <v>517</v>
      </c>
      <c r="I180" t="s">
        <v>518</v>
      </c>
      <c r="J180" t="s">
        <v>1213</v>
      </c>
      <c r="K180" t="s">
        <v>1236</v>
      </c>
      <c r="L180" t="s">
        <v>69</v>
      </c>
      <c r="M180" t="s">
        <v>69</v>
      </c>
      <c r="N180" t="s">
        <v>69</v>
      </c>
      <c r="O180" t="s">
        <v>69</v>
      </c>
      <c r="P180" t="s">
        <v>106</v>
      </c>
      <c r="Q180" t="s">
        <v>71</v>
      </c>
      <c r="R180" s="3" t="s">
        <v>130</v>
      </c>
      <c r="S180">
        <v>18</v>
      </c>
      <c r="T180" t="s">
        <v>131</v>
      </c>
      <c r="U180" t="s">
        <v>73</v>
      </c>
      <c r="V180" t="s">
        <v>133</v>
      </c>
      <c r="W180" t="s">
        <v>133</v>
      </c>
      <c r="X180">
        <v>4</v>
      </c>
      <c r="Y180">
        <v>4</v>
      </c>
      <c r="Z180">
        <v>4</v>
      </c>
      <c r="AA180">
        <v>4</v>
      </c>
      <c r="AB180">
        <v>3</v>
      </c>
      <c r="AC180">
        <v>4</v>
      </c>
      <c r="AD180">
        <v>4</v>
      </c>
      <c r="AE180">
        <v>3</v>
      </c>
      <c r="AF180">
        <v>4</v>
      </c>
      <c r="AG180">
        <v>4</v>
      </c>
      <c r="AH180">
        <v>4</v>
      </c>
      <c r="AI180">
        <v>4</v>
      </c>
      <c r="AJ180">
        <v>3</v>
      </c>
      <c r="AK180">
        <v>3</v>
      </c>
      <c r="AL180">
        <v>4</v>
      </c>
      <c r="AM180">
        <v>4</v>
      </c>
      <c r="AN180">
        <v>4</v>
      </c>
      <c r="AO180">
        <v>4</v>
      </c>
      <c r="AQ180">
        <v>0</v>
      </c>
      <c r="AR180" t="s">
        <v>69</v>
      </c>
      <c r="AT180">
        <v>0</v>
      </c>
      <c r="AU180" t="s">
        <v>69</v>
      </c>
      <c r="AW180">
        <v>0</v>
      </c>
      <c r="AX180" t="s">
        <v>69</v>
      </c>
      <c r="AY180" t="s">
        <v>144</v>
      </c>
      <c r="AZ180" t="s">
        <v>144</v>
      </c>
      <c r="BA180">
        <v>2</v>
      </c>
      <c r="BB180">
        <v>3</v>
      </c>
      <c r="BC180" t="s">
        <v>1237</v>
      </c>
      <c r="BD180" t="s">
        <v>112</v>
      </c>
      <c r="BE180" t="s">
        <v>1238</v>
      </c>
      <c r="BF180" t="s">
        <v>79</v>
      </c>
      <c r="BG180" t="s">
        <v>248</v>
      </c>
      <c r="BH180" t="s">
        <v>79</v>
      </c>
      <c r="BI180" t="s">
        <v>83</v>
      </c>
    </row>
    <row r="181" spans="1:61" x14ac:dyDescent="0.35">
      <c r="A181">
        <v>180</v>
      </c>
      <c r="B181">
        <v>45841.13517361111</v>
      </c>
      <c r="C181" t="s">
        <v>1239</v>
      </c>
      <c r="D181" t="s">
        <v>1240</v>
      </c>
      <c r="E181" t="s">
        <v>63</v>
      </c>
      <c r="F181" t="s">
        <v>179</v>
      </c>
      <c r="G181" t="s">
        <v>1241</v>
      </c>
      <c r="H181" t="s">
        <v>517</v>
      </c>
      <c r="I181" t="s">
        <v>518</v>
      </c>
      <c r="J181" t="s">
        <v>1213</v>
      </c>
      <c r="K181" t="s">
        <v>900</v>
      </c>
      <c r="L181" t="s">
        <v>69</v>
      </c>
      <c r="M181" t="s">
        <v>69</v>
      </c>
      <c r="N181" t="s">
        <v>69</v>
      </c>
      <c r="O181" t="s">
        <v>69</v>
      </c>
      <c r="P181" t="s">
        <v>70</v>
      </c>
      <c r="Q181" t="s">
        <v>107</v>
      </c>
      <c r="R181" s="3" t="s">
        <v>1123</v>
      </c>
      <c r="S181">
        <v>48</v>
      </c>
      <c r="T181" t="s">
        <v>225</v>
      </c>
      <c r="U181" t="s">
        <v>273</v>
      </c>
      <c r="V181" t="s">
        <v>110</v>
      </c>
      <c r="W181" t="s">
        <v>110</v>
      </c>
      <c r="X181">
        <v>4</v>
      </c>
      <c r="Y181">
        <v>4</v>
      </c>
      <c r="Z181">
        <v>4</v>
      </c>
      <c r="AA181">
        <v>4</v>
      </c>
      <c r="AB181">
        <v>4</v>
      </c>
      <c r="AC181">
        <v>4</v>
      </c>
      <c r="AD181">
        <v>0</v>
      </c>
      <c r="AE181">
        <v>0</v>
      </c>
      <c r="AF181">
        <v>4</v>
      </c>
      <c r="AG181">
        <v>4</v>
      </c>
      <c r="AH181">
        <v>4</v>
      </c>
      <c r="AI181">
        <v>4</v>
      </c>
      <c r="AJ181">
        <v>4</v>
      </c>
      <c r="AK181">
        <v>4</v>
      </c>
      <c r="AL181">
        <v>3</v>
      </c>
      <c r="AM181">
        <v>3</v>
      </c>
      <c r="AN181">
        <v>4</v>
      </c>
      <c r="AO181">
        <v>4</v>
      </c>
      <c r="AQ181">
        <v>0</v>
      </c>
      <c r="AR181" t="s">
        <v>69</v>
      </c>
      <c r="AT181">
        <v>0</v>
      </c>
      <c r="AU181" t="s">
        <v>69</v>
      </c>
      <c r="AW181">
        <v>0</v>
      </c>
      <c r="AX181" t="s">
        <v>69</v>
      </c>
      <c r="AY181" t="s">
        <v>1242</v>
      </c>
      <c r="AZ181" t="s">
        <v>144</v>
      </c>
      <c r="BA181">
        <v>2</v>
      </c>
      <c r="BB181">
        <v>3</v>
      </c>
      <c r="BC181" t="s">
        <v>248</v>
      </c>
      <c r="BD181" t="s">
        <v>79</v>
      </c>
      <c r="BE181" t="s">
        <v>1243</v>
      </c>
      <c r="BF181" t="s">
        <v>157</v>
      </c>
      <c r="BG181" t="s">
        <v>248</v>
      </c>
      <c r="BH181" t="s">
        <v>79</v>
      </c>
      <c r="BI181" t="s">
        <v>83</v>
      </c>
    </row>
    <row r="182" spans="1:61" x14ac:dyDescent="0.35">
      <c r="A182">
        <v>181</v>
      </c>
      <c r="B182">
        <v>45841.140335648146</v>
      </c>
      <c r="C182" t="s">
        <v>1244</v>
      </c>
      <c r="D182" t="s">
        <v>1245</v>
      </c>
      <c r="E182" t="s">
        <v>63</v>
      </c>
      <c r="F182" t="s">
        <v>1246</v>
      </c>
      <c r="G182" t="s">
        <v>1247</v>
      </c>
      <c r="H182" t="s">
        <v>517</v>
      </c>
      <c r="I182" t="s">
        <v>518</v>
      </c>
      <c r="J182" t="s">
        <v>1213</v>
      </c>
      <c r="K182" t="s">
        <v>1248</v>
      </c>
      <c r="L182" t="s">
        <v>69</v>
      </c>
      <c r="M182" t="s">
        <v>69</v>
      </c>
      <c r="N182" t="s">
        <v>69</v>
      </c>
      <c r="O182" t="s">
        <v>69</v>
      </c>
      <c r="P182" t="s">
        <v>106</v>
      </c>
      <c r="Q182" t="s">
        <v>271</v>
      </c>
      <c r="R182" s="3" t="s">
        <v>130</v>
      </c>
      <c r="S182">
        <v>18</v>
      </c>
      <c r="T182" t="s">
        <v>131</v>
      </c>
      <c r="U182" t="s">
        <v>73</v>
      </c>
      <c r="V182" t="s">
        <v>94</v>
      </c>
      <c r="W182" t="s">
        <v>95</v>
      </c>
      <c r="X182">
        <v>3</v>
      </c>
      <c r="Y182">
        <v>3</v>
      </c>
      <c r="Z182">
        <v>3</v>
      </c>
      <c r="AA182">
        <v>4</v>
      </c>
      <c r="AB182">
        <v>2</v>
      </c>
      <c r="AC182">
        <v>4</v>
      </c>
      <c r="AD182">
        <v>3</v>
      </c>
      <c r="AE182">
        <v>3</v>
      </c>
      <c r="AF182">
        <v>3</v>
      </c>
      <c r="AG182">
        <v>4</v>
      </c>
      <c r="AH182">
        <v>3</v>
      </c>
      <c r="AI182">
        <v>3</v>
      </c>
      <c r="AJ182">
        <v>3</v>
      </c>
      <c r="AK182">
        <v>3</v>
      </c>
      <c r="AL182">
        <v>4</v>
      </c>
      <c r="AM182">
        <v>4</v>
      </c>
      <c r="AN182">
        <v>4</v>
      </c>
      <c r="AO182">
        <v>4</v>
      </c>
      <c r="AP182">
        <v>1</v>
      </c>
      <c r="AQ182">
        <v>4</v>
      </c>
      <c r="AR182" t="s">
        <v>75</v>
      </c>
      <c r="AT182">
        <v>0</v>
      </c>
      <c r="AU182" t="s">
        <v>69</v>
      </c>
      <c r="AW182">
        <v>0</v>
      </c>
      <c r="AX182" t="s">
        <v>69</v>
      </c>
      <c r="AY182" t="s">
        <v>83</v>
      </c>
      <c r="AZ182" t="s">
        <v>96</v>
      </c>
      <c r="BA182">
        <v>0</v>
      </c>
      <c r="BB182">
        <v>0</v>
      </c>
      <c r="BC182" t="s">
        <v>248</v>
      </c>
      <c r="BD182" t="s">
        <v>79</v>
      </c>
      <c r="BE182" t="s">
        <v>1249</v>
      </c>
      <c r="BF182" t="s">
        <v>112</v>
      </c>
      <c r="BG182" t="s">
        <v>248</v>
      </c>
      <c r="BH182" t="s">
        <v>79</v>
      </c>
      <c r="BI182" t="s">
        <v>83</v>
      </c>
    </row>
    <row r="183" spans="1:61" x14ac:dyDescent="0.35">
      <c r="A183">
        <v>182</v>
      </c>
      <c r="B183">
        <v>45841.144062500003</v>
      </c>
      <c r="C183" t="s">
        <v>1250</v>
      </c>
      <c r="D183" t="s">
        <v>1251</v>
      </c>
      <c r="E183" t="s">
        <v>63</v>
      </c>
      <c r="F183" t="s">
        <v>63</v>
      </c>
      <c r="G183" t="s">
        <v>1252</v>
      </c>
      <c r="H183" t="s">
        <v>517</v>
      </c>
      <c r="I183" t="s">
        <v>518</v>
      </c>
      <c r="J183" t="s">
        <v>1213</v>
      </c>
      <c r="K183" t="s">
        <v>399</v>
      </c>
      <c r="L183" t="s">
        <v>69</v>
      </c>
      <c r="M183" t="s">
        <v>69</v>
      </c>
      <c r="N183" t="s">
        <v>69</v>
      </c>
      <c r="O183" t="s">
        <v>69</v>
      </c>
      <c r="P183" t="s">
        <v>70</v>
      </c>
      <c r="Q183" t="s">
        <v>271</v>
      </c>
      <c r="R183" s="3" t="s">
        <v>130</v>
      </c>
      <c r="S183">
        <v>18</v>
      </c>
      <c r="T183" t="s">
        <v>131</v>
      </c>
      <c r="U183" t="s">
        <v>73</v>
      </c>
      <c r="V183" t="s">
        <v>1218</v>
      </c>
      <c r="W183" t="s">
        <v>133</v>
      </c>
      <c r="X183">
        <v>3</v>
      </c>
      <c r="Y183">
        <v>3</v>
      </c>
      <c r="Z183">
        <v>3</v>
      </c>
      <c r="AA183">
        <v>3</v>
      </c>
      <c r="AB183">
        <v>3</v>
      </c>
      <c r="AC183">
        <v>3</v>
      </c>
      <c r="AD183">
        <v>3</v>
      </c>
      <c r="AE183">
        <v>3</v>
      </c>
      <c r="AF183">
        <v>3</v>
      </c>
      <c r="AG183">
        <v>3</v>
      </c>
      <c r="AH183">
        <v>3</v>
      </c>
      <c r="AI183">
        <v>3</v>
      </c>
      <c r="AJ183">
        <v>3</v>
      </c>
      <c r="AK183">
        <v>4</v>
      </c>
      <c r="AL183">
        <v>3</v>
      </c>
      <c r="AM183">
        <v>4</v>
      </c>
      <c r="AN183">
        <v>3</v>
      </c>
      <c r="AO183">
        <v>4</v>
      </c>
      <c r="AQ183">
        <v>0</v>
      </c>
      <c r="AR183" t="s">
        <v>69</v>
      </c>
      <c r="AT183">
        <v>0</v>
      </c>
      <c r="AU183" t="s">
        <v>69</v>
      </c>
      <c r="AW183">
        <v>0</v>
      </c>
      <c r="AX183" t="s">
        <v>69</v>
      </c>
      <c r="AY183" t="s">
        <v>631</v>
      </c>
      <c r="AZ183" t="s">
        <v>77</v>
      </c>
      <c r="BA183">
        <v>1</v>
      </c>
      <c r="BB183">
        <v>4</v>
      </c>
      <c r="BC183" t="s">
        <v>1253</v>
      </c>
      <c r="BD183" t="s">
        <v>235</v>
      </c>
      <c r="BE183" t="s">
        <v>462</v>
      </c>
      <c r="BF183" t="s">
        <v>79</v>
      </c>
      <c r="BG183" t="s">
        <v>462</v>
      </c>
      <c r="BH183" t="s">
        <v>79</v>
      </c>
      <c r="BI183" t="s">
        <v>83</v>
      </c>
    </row>
    <row r="184" spans="1:61" x14ac:dyDescent="0.35">
      <c r="A184">
        <v>183</v>
      </c>
      <c r="B184">
        <v>45841.147581018522</v>
      </c>
      <c r="C184" t="s">
        <v>1254</v>
      </c>
      <c r="D184" t="s">
        <v>1255</v>
      </c>
      <c r="E184" t="s">
        <v>63</v>
      </c>
      <c r="F184" t="s">
        <v>63</v>
      </c>
      <c r="G184" t="s">
        <v>1256</v>
      </c>
      <c r="H184" t="s">
        <v>517</v>
      </c>
      <c r="I184" t="s">
        <v>518</v>
      </c>
      <c r="J184" t="s">
        <v>1213</v>
      </c>
      <c r="K184" t="s">
        <v>418</v>
      </c>
      <c r="L184" t="s">
        <v>69</v>
      </c>
      <c r="M184" t="s">
        <v>69</v>
      </c>
      <c r="N184" t="s">
        <v>69</v>
      </c>
      <c r="O184" t="s">
        <v>69</v>
      </c>
      <c r="P184" t="s">
        <v>106</v>
      </c>
      <c r="Q184" t="s">
        <v>107</v>
      </c>
      <c r="R184" s="3" t="s">
        <v>272</v>
      </c>
      <c r="S184">
        <v>43</v>
      </c>
      <c r="T184" t="s">
        <v>197</v>
      </c>
      <c r="U184" t="s">
        <v>73</v>
      </c>
      <c r="V184" t="s">
        <v>74</v>
      </c>
      <c r="W184" t="s">
        <v>74</v>
      </c>
      <c r="X184">
        <v>3</v>
      </c>
      <c r="Y184">
        <v>4</v>
      </c>
      <c r="Z184">
        <v>4</v>
      </c>
      <c r="AA184">
        <v>4</v>
      </c>
      <c r="AB184">
        <v>4</v>
      </c>
      <c r="AC184">
        <v>4</v>
      </c>
      <c r="AD184">
        <v>0</v>
      </c>
      <c r="AE184">
        <v>0</v>
      </c>
      <c r="AF184">
        <v>3</v>
      </c>
      <c r="AG184">
        <v>3</v>
      </c>
      <c r="AH184">
        <v>4</v>
      </c>
      <c r="AI184">
        <v>4</v>
      </c>
      <c r="AJ184">
        <v>4</v>
      </c>
      <c r="AK184">
        <v>3</v>
      </c>
      <c r="AL184">
        <v>4</v>
      </c>
      <c r="AM184">
        <v>4</v>
      </c>
      <c r="AN184">
        <v>4</v>
      </c>
      <c r="AO184">
        <v>4</v>
      </c>
      <c r="AQ184">
        <v>0</v>
      </c>
      <c r="AR184" t="s">
        <v>69</v>
      </c>
      <c r="AT184">
        <v>0</v>
      </c>
      <c r="AU184" t="s">
        <v>69</v>
      </c>
      <c r="AW184">
        <v>0</v>
      </c>
      <c r="AX184" t="s">
        <v>69</v>
      </c>
      <c r="AY184" t="s">
        <v>1223</v>
      </c>
      <c r="AZ184" t="s">
        <v>186</v>
      </c>
      <c r="BA184">
        <v>1</v>
      </c>
      <c r="BB184">
        <v>4</v>
      </c>
      <c r="BC184" t="s">
        <v>1257</v>
      </c>
      <c r="BD184" t="s">
        <v>112</v>
      </c>
      <c r="BE184" t="s">
        <v>857</v>
      </c>
      <c r="BF184" t="s">
        <v>79</v>
      </c>
      <c r="BG184" t="s">
        <v>555</v>
      </c>
      <c r="BH184" t="s">
        <v>79</v>
      </c>
      <c r="BI184" t="s">
        <v>83</v>
      </c>
    </row>
    <row r="185" spans="1:61" x14ac:dyDescent="0.35">
      <c r="A185">
        <v>184</v>
      </c>
      <c r="B185">
        <v>45841.241932870369</v>
      </c>
      <c r="C185" t="s">
        <v>1258</v>
      </c>
      <c r="D185" t="s">
        <v>1259</v>
      </c>
      <c r="E185" t="s">
        <v>63</v>
      </c>
      <c r="F185" t="s">
        <v>397</v>
      </c>
      <c r="G185" t="s">
        <v>1260</v>
      </c>
      <c r="H185" t="s">
        <v>459</v>
      </c>
      <c r="I185" t="s">
        <v>439</v>
      </c>
      <c r="J185" t="s">
        <v>971</v>
      </c>
      <c r="K185" t="s">
        <v>1261</v>
      </c>
      <c r="L185" t="s">
        <v>69</v>
      </c>
      <c r="M185" t="s">
        <v>69</v>
      </c>
      <c r="N185" t="s">
        <v>69</v>
      </c>
      <c r="O185" t="s">
        <v>69</v>
      </c>
      <c r="P185" t="s">
        <v>106</v>
      </c>
      <c r="Q185" t="s">
        <v>292</v>
      </c>
      <c r="R185" s="3" t="s">
        <v>130</v>
      </c>
      <c r="S185">
        <v>18</v>
      </c>
      <c r="T185" t="s">
        <v>131</v>
      </c>
      <c r="U185" t="s">
        <v>273</v>
      </c>
      <c r="V185" t="s">
        <v>1262</v>
      </c>
      <c r="W185" t="s">
        <v>133</v>
      </c>
      <c r="X185">
        <v>4</v>
      </c>
      <c r="Y185">
        <v>4</v>
      </c>
      <c r="Z185">
        <v>3</v>
      </c>
      <c r="AA185">
        <v>3</v>
      </c>
      <c r="AB185">
        <v>4</v>
      </c>
      <c r="AC185">
        <v>4</v>
      </c>
      <c r="AD185">
        <v>4</v>
      </c>
      <c r="AE185">
        <v>4</v>
      </c>
      <c r="AF185">
        <v>4</v>
      </c>
      <c r="AG185">
        <v>4</v>
      </c>
      <c r="AH185">
        <v>4</v>
      </c>
      <c r="AI185">
        <v>4</v>
      </c>
      <c r="AJ185">
        <v>4</v>
      </c>
      <c r="AK185">
        <v>4</v>
      </c>
      <c r="AL185">
        <v>4</v>
      </c>
      <c r="AM185">
        <v>4</v>
      </c>
      <c r="AN185">
        <v>4</v>
      </c>
      <c r="AO185">
        <v>4</v>
      </c>
      <c r="AP185">
        <v>1</v>
      </c>
      <c r="AQ185">
        <v>4</v>
      </c>
      <c r="AR185" t="s">
        <v>75</v>
      </c>
      <c r="AT185">
        <v>0</v>
      </c>
      <c r="AU185" t="s">
        <v>69</v>
      </c>
      <c r="AW185">
        <v>0</v>
      </c>
      <c r="AX185" t="s">
        <v>69</v>
      </c>
      <c r="AY185" t="s">
        <v>83</v>
      </c>
      <c r="AZ185" t="s">
        <v>96</v>
      </c>
      <c r="BA185">
        <v>0</v>
      </c>
      <c r="BB185">
        <v>0</v>
      </c>
      <c r="BC185" t="s">
        <v>442</v>
      </c>
      <c r="BD185" t="s">
        <v>79</v>
      </c>
      <c r="BE185" t="s">
        <v>442</v>
      </c>
      <c r="BF185" t="s">
        <v>79</v>
      </c>
      <c r="BG185" t="s">
        <v>442</v>
      </c>
      <c r="BH185" t="s">
        <v>79</v>
      </c>
      <c r="BI185" t="s">
        <v>83</v>
      </c>
    </row>
    <row r="186" spans="1:61" x14ac:dyDescent="0.35">
      <c r="A186">
        <v>185</v>
      </c>
      <c r="B186">
        <v>45841.245937500003</v>
      </c>
      <c r="C186" t="s">
        <v>1263</v>
      </c>
      <c r="D186" t="s">
        <v>1264</v>
      </c>
      <c r="E186" t="s">
        <v>63</v>
      </c>
      <c r="F186" t="s">
        <v>179</v>
      </c>
      <c r="G186" t="s">
        <v>1265</v>
      </c>
      <c r="H186" t="s">
        <v>459</v>
      </c>
      <c r="I186" t="s">
        <v>439</v>
      </c>
      <c r="J186" t="s">
        <v>971</v>
      </c>
      <c r="K186" t="s">
        <v>1266</v>
      </c>
      <c r="L186" t="s">
        <v>69</v>
      </c>
      <c r="M186" t="s">
        <v>69</v>
      </c>
      <c r="N186" t="s">
        <v>69</v>
      </c>
      <c r="O186" t="s">
        <v>69</v>
      </c>
      <c r="P186" t="s">
        <v>106</v>
      </c>
      <c r="Q186" t="s">
        <v>292</v>
      </c>
      <c r="R186" s="3" t="s">
        <v>130</v>
      </c>
      <c r="S186">
        <v>18</v>
      </c>
      <c r="T186" t="s">
        <v>131</v>
      </c>
      <c r="U186" t="s">
        <v>73</v>
      </c>
      <c r="V186" t="s">
        <v>94</v>
      </c>
      <c r="W186" t="s">
        <v>95</v>
      </c>
      <c r="X186">
        <v>3</v>
      </c>
      <c r="Y186">
        <v>3</v>
      </c>
      <c r="Z186">
        <v>3</v>
      </c>
      <c r="AA186">
        <v>3</v>
      </c>
      <c r="AB186">
        <v>3</v>
      </c>
      <c r="AC186">
        <v>3</v>
      </c>
      <c r="AD186">
        <v>3</v>
      </c>
      <c r="AE186">
        <v>3</v>
      </c>
      <c r="AF186">
        <v>3</v>
      </c>
      <c r="AG186">
        <v>3</v>
      </c>
      <c r="AH186">
        <v>4</v>
      </c>
      <c r="AI186">
        <v>4</v>
      </c>
      <c r="AJ186">
        <v>3</v>
      </c>
      <c r="AK186">
        <v>3</v>
      </c>
      <c r="AL186">
        <v>3</v>
      </c>
      <c r="AM186">
        <v>3</v>
      </c>
      <c r="AN186">
        <v>4</v>
      </c>
      <c r="AO186">
        <v>4</v>
      </c>
      <c r="AQ186">
        <v>0</v>
      </c>
      <c r="AR186" t="s">
        <v>69</v>
      </c>
      <c r="AS186">
        <v>2</v>
      </c>
      <c r="AT186">
        <v>3</v>
      </c>
      <c r="AU186" t="s">
        <v>75</v>
      </c>
      <c r="AW186">
        <v>0</v>
      </c>
      <c r="AX186" t="s">
        <v>69</v>
      </c>
      <c r="AY186" t="s">
        <v>83</v>
      </c>
      <c r="AZ186" t="s">
        <v>96</v>
      </c>
      <c r="BA186">
        <v>0</v>
      </c>
      <c r="BB186">
        <v>0</v>
      </c>
      <c r="BC186" t="s">
        <v>503</v>
      </c>
      <c r="BD186" t="s">
        <v>79</v>
      </c>
      <c r="BE186" t="s">
        <v>503</v>
      </c>
      <c r="BF186" t="s">
        <v>79</v>
      </c>
      <c r="BG186" t="s">
        <v>503</v>
      </c>
      <c r="BH186" t="s">
        <v>79</v>
      </c>
      <c r="BI186" t="s">
        <v>83</v>
      </c>
    </row>
    <row r="187" spans="1:61" x14ac:dyDescent="0.35">
      <c r="A187">
        <v>186</v>
      </c>
      <c r="B187">
        <v>45841.250243055554</v>
      </c>
      <c r="C187" t="s">
        <v>1267</v>
      </c>
      <c r="D187" t="s">
        <v>1268</v>
      </c>
      <c r="E187" t="s">
        <v>63</v>
      </c>
      <c r="F187" t="s">
        <v>240</v>
      </c>
      <c r="G187" t="s">
        <v>1269</v>
      </c>
      <c r="H187" t="s">
        <v>459</v>
      </c>
      <c r="I187" t="s">
        <v>439</v>
      </c>
      <c r="J187" t="s">
        <v>971</v>
      </c>
      <c r="K187" t="s">
        <v>1270</v>
      </c>
      <c r="L187" t="s">
        <v>69</v>
      </c>
      <c r="M187" t="s">
        <v>69</v>
      </c>
      <c r="N187" t="s">
        <v>69</v>
      </c>
      <c r="O187" t="s">
        <v>69</v>
      </c>
      <c r="P187" t="s">
        <v>106</v>
      </c>
      <c r="Q187" t="s">
        <v>292</v>
      </c>
      <c r="R187" s="3" t="s">
        <v>108</v>
      </c>
      <c r="S187">
        <v>32</v>
      </c>
      <c r="T187" t="s">
        <v>109</v>
      </c>
      <c r="U187" t="s">
        <v>73</v>
      </c>
      <c r="V187" t="s">
        <v>74</v>
      </c>
      <c r="W187" t="s">
        <v>74</v>
      </c>
      <c r="X187">
        <v>3</v>
      </c>
      <c r="Y187">
        <v>3</v>
      </c>
      <c r="Z187">
        <v>2</v>
      </c>
      <c r="AA187">
        <v>2</v>
      </c>
      <c r="AB187">
        <v>2</v>
      </c>
      <c r="AC187">
        <v>2</v>
      </c>
      <c r="AD187">
        <v>2</v>
      </c>
      <c r="AE187">
        <v>2</v>
      </c>
      <c r="AF187">
        <v>3</v>
      </c>
      <c r="AG187">
        <v>3</v>
      </c>
      <c r="AH187">
        <v>2</v>
      </c>
      <c r="AI187">
        <v>2</v>
      </c>
      <c r="AJ187">
        <v>3</v>
      </c>
      <c r="AK187">
        <v>3</v>
      </c>
      <c r="AL187">
        <v>3</v>
      </c>
      <c r="AM187">
        <v>3</v>
      </c>
      <c r="AN187">
        <v>3</v>
      </c>
      <c r="AO187">
        <v>3</v>
      </c>
      <c r="AP187">
        <v>2</v>
      </c>
      <c r="AQ187">
        <v>3</v>
      </c>
      <c r="AR187" t="s">
        <v>75</v>
      </c>
      <c r="AT187">
        <v>0</v>
      </c>
      <c r="AU187" t="s">
        <v>69</v>
      </c>
      <c r="AW187">
        <v>0</v>
      </c>
      <c r="AX187" t="s">
        <v>69</v>
      </c>
      <c r="AY187" t="s">
        <v>83</v>
      </c>
      <c r="AZ187" t="s">
        <v>96</v>
      </c>
      <c r="BA187">
        <v>0</v>
      </c>
      <c r="BB187">
        <v>0</v>
      </c>
      <c r="BC187" t="s">
        <v>1271</v>
      </c>
      <c r="BD187" t="s">
        <v>235</v>
      </c>
      <c r="BE187" t="s">
        <v>1272</v>
      </c>
      <c r="BF187" t="s">
        <v>157</v>
      </c>
      <c r="BG187" t="s">
        <v>442</v>
      </c>
      <c r="BH187" t="s">
        <v>79</v>
      </c>
      <c r="BI187" t="s">
        <v>83</v>
      </c>
    </row>
    <row r="188" spans="1:61" x14ac:dyDescent="0.35">
      <c r="A188">
        <v>187</v>
      </c>
      <c r="B188">
        <v>45841.256284722222</v>
      </c>
      <c r="C188" t="s">
        <v>1273</v>
      </c>
      <c r="D188" t="s">
        <v>1274</v>
      </c>
      <c r="E188" t="s">
        <v>63</v>
      </c>
      <c r="F188" t="s">
        <v>1275</v>
      </c>
      <c r="G188" t="s">
        <v>1276</v>
      </c>
      <c r="H188" t="s">
        <v>459</v>
      </c>
      <c r="I188" t="s">
        <v>439</v>
      </c>
      <c r="J188" t="s">
        <v>971</v>
      </c>
      <c r="K188" t="s">
        <v>1277</v>
      </c>
      <c r="L188" t="s">
        <v>69</v>
      </c>
      <c r="M188" t="s">
        <v>69</v>
      </c>
      <c r="N188" t="s">
        <v>69</v>
      </c>
      <c r="O188" t="s">
        <v>69</v>
      </c>
      <c r="P188" t="s">
        <v>70</v>
      </c>
      <c r="Q188" t="s">
        <v>271</v>
      </c>
      <c r="R188" s="3" t="s">
        <v>91</v>
      </c>
      <c r="S188">
        <v>27</v>
      </c>
      <c r="T188" t="s">
        <v>92</v>
      </c>
      <c r="U188" t="s">
        <v>254</v>
      </c>
      <c r="V188" t="s">
        <v>74</v>
      </c>
      <c r="W188" t="s">
        <v>74</v>
      </c>
      <c r="X188">
        <v>3</v>
      </c>
      <c r="Y188">
        <v>3</v>
      </c>
      <c r="Z188">
        <v>3</v>
      </c>
      <c r="AA188">
        <v>3</v>
      </c>
      <c r="AB188">
        <v>3</v>
      </c>
      <c r="AC188">
        <v>3</v>
      </c>
      <c r="AD188">
        <v>3</v>
      </c>
      <c r="AE188">
        <v>3</v>
      </c>
      <c r="AF188">
        <v>3</v>
      </c>
      <c r="AG188">
        <v>3</v>
      </c>
      <c r="AH188">
        <v>3</v>
      </c>
      <c r="AI188">
        <v>3</v>
      </c>
      <c r="AJ188">
        <v>3</v>
      </c>
      <c r="AK188">
        <v>3</v>
      </c>
      <c r="AL188">
        <v>3</v>
      </c>
      <c r="AM188">
        <v>3</v>
      </c>
      <c r="AN188">
        <v>3</v>
      </c>
      <c r="AO188">
        <v>3</v>
      </c>
      <c r="AQ188">
        <v>0</v>
      </c>
      <c r="AR188" t="s">
        <v>69</v>
      </c>
      <c r="AT188">
        <v>0</v>
      </c>
      <c r="AU188" t="s">
        <v>69</v>
      </c>
      <c r="AW188">
        <v>0</v>
      </c>
      <c r="AX188" t="s">
        <v>69</v>
      </c>
      <c r="AY188" t="s">
        <v>1278</v>
      </c>
      <c r="AZ188" t="s">
        <v>186</v>
      </c>
      <c r="BA188">
        <v>2</v>
      </c>
      <c r="BB188">
        <v>3</v>
      </c>
      <c r="BC188" t="s">
        <v>442</v>
      </c>
      <c r="BD188" t="s">
        <v>79</v>
      </c>
      <c r="BE188" t="s">
        <v>442</v>
      </c>
      <c r="BF188" t="s">
        <v>79</v>
      </c>
      <c r="BG188" t="s">
        <v>1279</v>
      </c>
      <c r="BH188" t="s">
        <v>146</v>
      </c>
      <c r="BI188" t="s">
        <v>83</v>
      </c>
    </row>
    <row r="189" spans="1:61" x14ac:dyDescent="0.35">
      <c r="A189">
        <v>188</v>
      </c>
      <c r="B189">
        <v>45841.260057870371</v>
      </c>
      <c r="C189" t="s">
        <v>1280</v>
      </c>
      <c r="D189" t="s">
        <v>1281</v>
      </c>
      <c r="E189" t="s">
        <v>63</v>
      </c>
      <c r="F189" t="s">
        <v>397</v>
      </c>
      <c r="G189" t="s">
        <v>1282</v>
      </c>
      <c r="H189" t="s">
        <v>459</v>
      </c>
      <c r="I189" t="s">
        <v>439</v>
      </c>
      <c r="J189" t="s">
        <v>971</v>
      </c>
      <c r="K189" t="s">
        <v>1283</v>
      </c>
      <c r="L189" t="s">
        <v>69</v>
      </c>
      <c r="M189" t="s">
        <v>69</v>
      </c>
      <c r="N189" t="s">
        <v>69</v>
      </c>
      <c r="O189" t="s">
        <v>69</v>
      </c>
      <c r="P189" t="s">
        <v>106</v>
      </c>
      <c r="Q189" t="s">
        <v>271</v>
      </c>
      <c r="R189" s="3" t="s">
        <v>868</v>
      </c>
      <c r="S189">
        <v>33</v>
      </c>
      <c r="T189" t="s">
        <v>109</v>
      </c>
      <c r="U189" t="s">
        <v>73</v>
      </c>
      <c r="V189" t="s">
        <v>74</v>
      </c>
      <c r="W189" t="s">
        <v>74</v>
      </c>
      <c r="X189">
        <v>4</v>
      </c>
      <c r="Y189">
        <v>4</v>
      </c>
      <c r="Z189">
        <v>4</v>
      </c>
      <c r="AA189">
        <v>4</v>
      </c>
      <c r="AB189">
        <v>3</v>
      </c>
      <c r="AC189">
        <v>3</v>
      </c>
      <c r="AD189">
        <v>4</v>
      </c>
      <c r="AE189">
        <v>4</v>
      </c>
      <c r="AF189">
        <v>4</v>
      </c>
      <c r="AG189">
        <v>4</v>
      </c>
      <c r="AH189">
        <v>4</v>
      </c>
      <c r="AI189">
        <v>4</v>
      </c>
      <c r="AJ189">
        <v>4</v>
      </c>
      <c r="AK189">
        <v>4</v>
      </c>
      <c r="AL189">
        <v>3</v>
      </c>
      <c r="AM189">
        <v>3</v>
      </c>
      <c r="AN189">
        <v>4</v>
      </c>
      <c r="AO189">
        <v>4</v>
      </c>
      <c r="AP189">
        <v>2</v>
      </c>
      <c r="AQ189">
        <v>3</v>
      </c>
      <c r="AR189" t="s">
        <v>75</v>
      </c>
      <c r="AT189">
        <v>0</v>
      </c>
      <c r="AU189" t="s">
        <v>69</v>
      </c>
      <c r="AW189">
        <v>0</v>
      </c>
      <c r="AX189" t="s">
        <v>69</v>
      </c>
      <c r="AY189" t="s">
        <v>83</v>
      </c>
      <c r="AZ189" t="s">
        <v>96</v>
      </c>
      <c r="BA189">
        <v>0</v>
      </c>
      <c r="BB189">
        <v>0</v>
      </c>
      <c r="BC189" t="s">
        <v>442</v>
      </c>
      <c r="BD189" t="s">
        <v>79</v>
      </c>
      <c r="BE189" t="s">
        <v>442</v>
      </c>
      <c r="BF189" t="s">
        <v>79</v>
      </c>
      <c r="BG189" t="s">
        <v>442</v>
      </c>
      <c r="BH189" t="s">
        <v>79</v>
      </c>
      <c r="BI189" t="s">
        <v>83</v>
      </c>
    </row>
    <row r="190" spans="1:61" x14ac:dyDescent="0.35">
      <c r="A190">
        <v>189</v>
      </c>
      <c r="B190">
        <v>45841.264062499999</v>
      </c>
      <c r="C190" t="s">
        <v>1284</v>
      </c>
      <c r="D190" t="s">
        <v>1285</v>
      </c>
      <c r="E190" t="s">
        <v>63</v>
      </c>
      <c r="F190" t="s">
        <v>63</v>
      </c>
      <c r="G190" t="s">
        <v>1286</v>
      </c>
      <c r="H190" t="s">
        <v>459</v>
      </c>
      <c r="I190" t="s">
        <v>439</v>
      </c>
      <c r="J190" t="s">
        <v>971</v>
      </c>
      <c r="K190" t="s">
        <v>1287</v>
      </c>
      <c r="L190" t="s">
        <v>69</v>
      </c>
      <c r="M190" t="s">
        <v>69</v>
      </c>
      <c r="N190" t="s">
        <v>69</v>
      </c>
      <c r="O190" t="s">
        <v>69</v>
      </c>
      <c r="P190" t="s">
        <v>70</v>
      </c>
      <c r="Q190" t="s">
        <v>271</v>
      </c>
      <c r="R190" s="3" t="s">
        <v>130</v>
      </c>
      <c r="S190">
        <v>18</v>
      </c>
      <c r="T190" t="s">
        <v>131</v>
      </c>
      <c r="U190" t="s">
        <v>73</v>
      </c>
      <c r="V190" t="s">
        <v>94</v>
      </c>
      <c r="W190" t="s">
        <v>95</v>
      </c>
      <c r="X190">
        <v>3</v>
      </c>
      <c r="Y190">
        <v>3</v>
      </c>
      <c r="Z190">
        <v>4</v>
      </c>
      <c r="AA190">
        <v>4</v>
      </c>
      <c r="AB190">
        <v>3</v>
      </c>
      <c r="AC190">
        <v>3</v>
      </c>
      <c r="AD190">
        <v>4</v>
      </c>
      <c r="AE190">
        <v>4</v>
      </c>
      <c r="AF190">
        <v>4</v>
      </c>
      <c r="AG190">
        <v>4</v>
      </c>
      <c r="AH190">
        <v>4</v>
      </c>
      <c r="AI190">
        <v>4</v>
      </c>
      <c r="AJ190">
        <v>4</v>
      </c>
      <c r="AK190">
        <v>4</v>
      </c>
      <c r="AL190">
        <v>4</v>
      </c>
      <c r="AM190">
        <v>4</v>
      </c>
      <c r="AN190">
        <v>4</v>
      </c>
      <c r="AO190">
        <v>4</v>
      </c>
      <c r="AQ190">
        <v>0</v>
      </c>
      <c r="AR190" t="s">
        <v>69</v>
      </c>
      <c r="AT190">
        <v>0</v>
      </c>
      <c r="AU190" t="s">
        <v>69</v>
      </c>
      <c r="AV190">
        <v>2</v>
      </c>
      <c r="AW190">
        <v>3</v>
      </c>
      <c r="AX190" t="s">
        <v>69</v>
      </c>
      <c r="AY190" t="s">
        <v>83</v>
      </c>
      <c r="AZ190" t="s">
        <v>96</v>
      </c>
      <c r="BA190">
        <v>0</v>
      </c>
      <c r="BB190">
        <v>0</v>
      </c>
      <c r="BC190" t="s">
        <v>442</v>
      </c>
      <c r="BD190" t="s">
        <v>79</v>
      </c>
      <c r="BE190" t="s">
        <v>442</v>
      </c>
      <c r="BF190" t="s">
        <v>79</v>
      </c>
      <c r="BG190" t="s">
        <v>442</v>
      </c>
      <c r="BH190" t="s">
        <v>79</v>
      </c>
      <c r="BI190" t="s">
        <v>83</v>
      </c>
    </row>
    <row r="191" spans="1:61" x14ac:dyDescent="0.35">
      <c r="A191">
        <v>190</v>
      </c>
      <c r="B191">
        <v>45841.267500000002</v>
      </c>
      <c r="C191" t="s">
        <v>1288</v>
      </c>
      <c r="D191" t="s">
        <v>1289</v>
      </c>
      <c r="E191" t="s">
        <v>63</v>
      </c>
      <c r="F191" t="s">
        <v>149</v>
      </c>
      <c r="G191" t="s">
        <v>1290</v>
      </c>
      <c r="H191" t="s">
        <v>459</v>
      </c>
      <c r="I191" t="s">
        <v>439</v>
      </c>
      <c r="J191" t="s">
        <v>971</v>
      </c>
      <c r="K191" t="s">
        <v>1248</v>
      </c>
      <c r="L191" t="s">
        <v>69</v>
      </c>
      <c r="M191" t="s">
        <v>69</v>
      </c>
      <c r="N191" t="s">
        <v>69</v>
      </c>
      <c r="O191" t="s">
        <v>69</v>
      </c>
      <c r="P191" t="s">
        <v>106</v>
      </c>
      <c r="Q191" t="s">
        <v>271</v>
      </c>
      <c r="R191" s="3" t="s">
        <v>546</v>
      </c>
      <c r="S191">
        <v>31</v>
      </c>
      <c r="T191" t="s">
        <v>109</v>
      </c>
      <c r="U191" t="s">
        <v>73</v>
      </c>
      <c r="V191" t="s">
        <v>110</v>
      </c>
      <c r="W191" t="s">
        <v>110</v>
      </c>
      <c r="X191">
        <v>4</v>
      </c>
      <c r="Y191">
        <v>3</v>
      </c>
      <c r="Z191">
        <v>3</v>
      </c>
      <c r="AA191">
        <v>3</v>
      </c>
      <c r="AB191">
        <v>4</v>
      </c>
      <c r="AC191">
        <v>4</v>
      </c>
      <c r="AD191">
        <v>3</v>
      </c>
      <c r="AE191">
        <v>3</v>
      </c>
      <c r="AF191">
        <v>3</v>
      </c>
      <c r="AG191">
        <v>3</v>
      </c>
      <c r="AH191">
        <v>4</v>
      </c>
      <c r="AI191">
        <v>4</v>
      </c>
      <c r="AJ191">
        <v>4</v>
      </c>
      <c r="AK191">
        <v>4</v>
      </c>
      <c r="AL191">
        <v>3</v>
      </c>
      <c r="AM191">
        <v>3</v>
      </c>
      <c r="AN191">
        <v>4</v>
      </c>
      <c r="AO191">
        <v>4</v>
      </c>
      <c r="AP191">
        <v>1</v>
      </c>
      <c r="AQ191">
        <v>4</v>
      </c>
      <c r="AR191" t="s">
        <v>75</v>
      </c>
      <c r="AT191">
        <v>0</v>
      </c>
      <c r="AU191" t="s">
        <v>69</v>
      </c>
      <c r="AW191">
        <v>0</v>
      </c>
      <c r="AX191" t="s">
        <v>69</v>
      </c>
      <c r="AY191" t="s">
        <v>83</v>
      </c>
      <c r="AZ191" t="s">
        <v>96</v>
      </c>
      <c r="BA191">
        <v>0</v>
      </c>
      <c r="BB191">
        <v>0</v>
      </c>
      <c r="BC191" t="s">
        <v>442</v>
      </c>
      <c r="BD191" t="s">
        <v>79</v>
      </c>
      <c r="BE191" t="s">
        <v>442</v>
      </c>
      <c r="BF191" t="s">
        <v>79</v>
      </c>
      <c r="BG191" t="s">
        <v>442</v>
      </c>
      <c r="BH191" t="s">
        <v>79</v>
      </c>
      <c r="BI191" t="s">
        <v>83</v>
      </c>
    </row>
    <row r="192" spans="1:61" x14ac:dyDescent="0.35">
      <c r="A192">
        <v>191</v>
      </c>
      <c r="B192">
        <v>45841.271805555552</v>
      </c>
      <c r="C192" t="s">
        <v>1291</v>
      </c>
      <c r="D192" t="s">
        <v>1292</v>
      </c>
      <c r="E192" t="s">
        <v>63</v>
      </c>
      <c r="F192" t="s">
        <v>86</v>
      </c>
      <c r="G192" t="s">
        <v>1293</v>
      </c>
      <c r="H192" t="s">
        <v>459</v>
      </c>
      <c r="I192" t="s">
        <v>439</v>
      </c>
      <c r="J192" t="s">
        <v>971</v>
      </c>
      <c r="K192" t="s">
        <v>1294</v>
      </c>
      <c r="L192" t="s">
        <v>69</v>
      </c>
      <c r="M192" t="s">
        <v>69</v>
      </c>
      <c r="N192" t="s">
        <v>69</v>
      </c>
      <c r="O192" t="s">
        <v>69</v>
      </c>
      <c r="P192" t="s">
        <v>70</v>
      </c>
      <c r="Q192" t="s">
        <v>292</v>
      </c>
      <c r="R192" s="3" t="s">
        <v>130</v>
      </c>
      <c r="S192">
        <v>18</v>
      </c>
      <c r="T192" t="s">
        <v>131</v>
      </c>
      <c r="U192" t="s">
        <v>73</v>
      </c>
      <c r="V192" t="s">
        <v>94</v>
      </c>
      <c r="W192" t="s">
        <v>95</v>
      </c>
      <c r="X192">
        <v>4</v>
      </c>
      <c r="Y192">
        <v>3</v>
      </c>
      <c r="Z192">
        <v>3</v>
      </c>
      <c r="AA192">
        <v>3</v>
      </c>
      <c r="AB192">
        <v>3</v>
      </c>
      <c r="AC192">
        <v>3</v>
      </c>
      <c r="AD192">
        <v>3</v>
      </c>
      <c r="AE192">
        <v>3</v>
      </c>
      <c r="AF192">
        <v>3</v>
      </c>
      <c r="AG192">
        <v>3</v>
      </c>
      <c r="AH192">
        <v>3</v>
      </c>
      <c r="AI192">
        <v>3</v>
      </c>
      <c r="AJ192">
        <v>4</v>
      </c>
      <c r="AK192">
        <v>4</v>
      </c>
      <c r="AL192">
        <v>3</v>
      </c>
      <c r="AM192">
        <v>3</v>
      </c>
      <c r="AN192">
        <v>4</v>
      </c>
      <c r="AO192">
        <v>4</v>
      </c>
      <c r="AQ192">
        <v>0</v>
      </c>
      <c r="AR192" t="s">
        <v>69</v>
      </c>
      <c r="AT192">
        <v>0</v>
      </c>
      <c r="AU192" t="s">
        <v>69</v>
      </c>
      <c r="AW192">
        <v>0</v>
      </c>
      <c r="AX192" t="s">
        <v>69</v>
      </c>
      <c r="AY192" t="s">
        <v>532</v>
      </c>
      <c r="AZ192" t="s">
        <v>77</v>
      </c>
      <c r="BA192">
        <v>2</v>
      </c>
      <c r="BB192">
        <v>3</v>
      </c>
      <c r="BC192" t="s">
        <v>442</v>
      </c>
      <c r="BD192" t="s">
        <v>79</v>
      </c>
      <c r="BE192" t="s">
        <v>1295</v>
      </c>
      <c r="BF192" t="s">
        <v>157</v>
      </c>
      <c r="BG192" t="s">
        <v>503</v>
      </c>
      <c r="BH192" t="s">
        <v>79</v>
      </c>
      <c r="BI192" t="s">
        <v>83</v>
      </c>
    </row>
    <row r="193" spans="1:61" x14ac:dyDescent="0.35">
      <c r="A193">
        <v>192</v>
      </c>
      <c r="B193">
        <v>45841.276261574072</v>
      </c>
      <c r="C193" t="s">
        <v>1296</v>
      </c>
      <c r="D193" t="s">
        <v>1297</v>
      </c>
      <c r="E193" t="s">
        <v>63</v>
      </c>
      <c r="F193" t="s">
        <v>466</v>
      </c>
      <c r="G193" t="s">
        <v>1298</v>
      </c>
      <c r="H193" t="s">
        <v>459</v>
      </c>
      <c r="I193" t="s">
        <v>439</v>
      </c>
      <c r="J193" t="s">
        <v>971</v>
      </c>
      <c r="K193" t="s">
        <v>1299</v>
      </c>
      <c r="L193" t="s">
        <v>69</v>
      </c>
      <c r="M193" t="s">
        <v>69</v>
      </c>
      <c r="N193" t="s">
        <v>69</v>
      </c>
      <c r="O193" t="s">
        <v>69</v>
      </c>
      <c r="P193" t="s">
        <v>106</v>
      </c>
      <c r="Q193" t="s">
        <v>271</v>
      </c>
      <c r="R193" s="3" t="s">
        <v>130</v>
      </c>
      <c r="S193">
        <v>18</v>
      </c>
      <c r="T193" t="s">
        <v>131</v>
      </c>
      <c r="U193" t="s">
        <v>73</v>
      </c>
      <c r="V193" t="s">
        <v>94</v>
      </c>
      <c r="W193" t="s">
        <v>95</v>
      </c>
      <c r="X193">
        <v>3</v>
      </c>
      <c r="Y193">
        <v>3</v>
      </c>
      <c r="Z193">
        <v>3</v>
      </c>
      <c r="AA193">
        <v>3</v>
      </c>
      <c r="AB193">
        <v>3</v>
      </c>
      <c r="AC193">
        <v>3</v>
      </c>
      <c r="AD193">
        <v>3</v>
      </c>
      <c r="AE193">
        <v>3</v>
      </c>
      <c r="AF193">
        <v>3</v>
      </c>
      <c r="AG193">
        <v>3</v>
      </c>
      <c r="AH193">
        <v>3</v>
      </c>
      <c r="AI193">
        <v>3</v>
      </c>
      <c r="AJ193">
        <v>4</v>
      </c>
      <c r="AK193">
        <v>4</v>
      </c>
      <c r="AL193">
        <v>3</v>
      </c>
      <c r="AM193">
        <v>3</v>
      </c>
      <c r="AN193">
        <v>4</v>
      </c>
      <c r="AO193">
        <v>4</v>
      </c>
      <c r="AQ193">
        <v>0</v>
      </c>
      <c r="AR193" t="s">
        <v>69</v>
      </c>
      <c r="AS193">
        <v>2</v>
      </c>
      <c r="AT193">
        <v>3</v>
      </c>
      <c r="AU193" t="s">
        <v>75</v>
      </c>
      <c r="AW193">
        <v>0</v>
      </c>
      <c r="AX193" t="s">
        <v>69</v>
      </c>
      <c r="AY193" t="s">
        <v>83</v>
      </c>
      <c r="AZ193" t="s">
        <v>96</v>
      </c>
      <c r="BA193">
        <v>0</v>
      </c>
      <c r="BB193">
        <v>0</v>
      </c>
      <c r="BC193" t="s">
        <v>442</v>
      </c>
      <c r="BD193" t="s">
        <v>79</v>
      </c>
      <c r="BE193" t="s">
        <v>1300</v>
      </c>
      <c r="BF193" t="s">
        <v>81</v>
      </c>
      <c r="BG193" t="s">
        <v>442</v>
      </c>
      <c r="BH193" t="s">
        <v>79</v>
      </c>
      <c r="BI193" t="s">
        <v>83</v>
      </c>
    </row>
    <row r="194" spans="1:61" x14ac:dyDescent="0.35">
      <c r="A194">
        <v>193</v>
      </c>
      <c r="B194">
        <v>45841.281423611108</v>
      </c>
      <c r="C194" t="s">
        <v>1301</v>
      </c>
      <c r="D194" t="s">
        <v>1302</v>
      </c>
      <c r="E194" t="s">
        <v>63</v>
      </c>
      <c r="F194" t="s">
        <v>149</v>
      </c>
      <c r="G194" t="s">
        <v>1303</v>
      </c>
      <c r="H194" t="s">
        <v>459</v>
      </c>
      <c r="I194" t="s">
        <v>439</v>
      </c>
      <c r="J194" t="s">
        <v>971</v>
      </c>
      <c r="K194" t="s">
        <v>1304</v>
      </c>
      <c r="L194" t="s">
        <v>69</v>
      </c>
      <c r="M194" t="s">
        <v>69</v>
      </c>
      <c r="N194" t="s">
        <v>69</v>
      </c>
      <c r="O194" t="s">
        <v>69</v>
      </c>
      <c r="P194" t="s">
        <v>106</v>
      </c>
      <c r="Q194" t="s">
        <v>292</v>
      </c>
      <c r="R194" s="3" t="s">
        <v>431</v>
      </c>
      <c r="S194">
        <v>19</v>
      </c>
      <c r="T194" t="s">
        <v>131</v>
      </c>
      <c r="U194" t="s">
        <v>73</v>
      </c>
      <c r="V194" t="s">
        <v>94</v>
      </c>
      <c r="W194" t="s">
        <v>95</v>
      </c>
      <c r="X194">
        <v>3</v>
      </c>
      <c r="Y194">
        <v>3</v>
      </c>
      <c r="Z194">
        <v>4</v>
      </c>
      <c r="AA194">
        <v>4</v>
      </c>
      <c r="AB194">
        <v>4</v>
      </c>
      <c r="AC194">
        <v>4</v>
      </c>
      <c r="AD194">
        <v>3</v>
      </c>
      <c r="AE194">
        <v>3</v>
      </c>
      <c r="AF194">
        <v>4</v>
      </c>
      <c r="AG194">
        <v>4</v>
      </c>
      <c r="AH194">
        <v>3</v>
      </c>
      <c r="AI194">
        <v>3</v>
      </c>
      <c r="AJ194">
        <v>4</v>
      </c>
      <c r="AK194">
        <v>4</v>
      </c>
      <c r="AL194">
        <v>3</v>
      </c>
      <c r="AM194">
        <v>3</v>
      </c>
      <c r="AN194">
        <v>3</v>
      </c>
      <c r="AO194">
        <v>3</v>
      </c>
      <c r="AP194">
        <v>1</v>
      </c>
      <c r="AQ194">
        <v>4</v>
      </c>
      <c r="AR194" t="s">
        <v>75</v>
      </c>
      <c r="AT194">
        <v>0</v>
      </c>
      <c r="AU194" t="s">
        <v>69</v>
      </c>
      <c r="AW194">
        <v>0</v>
      </c>
      <c r="AX194" t="s">
        <v>69</v>
      </c>
      <c r="AY194" t="s">
        <v>83</v>
      </c>
      <c r="AZ194" t="s">
        <v>96</v>
      </c>
      <c r="BA194">
        <v>0</v>
      </c>
      <c r="BB194">
        <v>0</v>
      </c>
      <c r="BC194" t="s">
        <v>503</v>
      </c>
      <c r="BD194" t="s">
        <v>79</v>
      </c>
      <c r="BE194" t="s">
        <v>1305</v>
      </c>
      <c r="BF194" t="s">
        <v>81</v>
      </c>
      <c r="BG194" t="s">
        <v>555</v>
      </c>
      <c r="BH194" t="s">
        <v>79</v>
      </c>
      <c r="BI194" t="s">
        <v>83</v>
      </c>
    </row>
    <row r="195" spans="1:61" x14ac:dyDescent="0.35">
      <c r="A195">
        <v>194</v>
      </c>
      <c r="B195">
        <v>45841.284363425926</v>
      </c>
      <c r="C195" t="s">
        <v>1306</v>
      </c>
      <c r="D195" t="s">
        <v>1307</v>
      </c>
      <c r="E195" t="s">
        <v>63</v>
      </c>
      <c r="F195" t="s">
        <v>63</v>
      </c>
      <c r="G195" t="s">
        <v>1308</v>
      </c>
      <c r="H195" t="s">
        <v>459</v>
      </c>
      <c r="I195" t="s">
        <v>439</v>
      </c>
      <c r="J195" t="s">
        <v>971</v>
      </c>
      <c r="K195" t="s">
        <v>1309</v>
      </c>
      <c r="L195" t="s">
        <v>69</v>
      </c>
      <c r="M195" t="s">
        <v>69</v>
      </c>
      <c r="N195" t="s">
        <v>69</v>
      </c>
      <c r="O195" t="s">
        <v>69</v>
      </c>
      <c r="P195" t="s">
        <v>106</v>
      </c>
      <c r="Q195" t="s">
        <v>271</v>
      </c>
      <c r="R195" s="3" t="s">
        <v>1006</v>
      </c>
      <c r="S195">
        <v>26</v>
      </c>
      <c r="T195" t="s">
        <v>92</v>
      </c>
      <c r="U195" t="s">
        <v>73</v>
      </c>
      <c r="V195" t="s">
        <v>74</v>
      </c>
      <c r="W195" t="s">
        <v>74</v>
      </c>
      <c r="X195">
        <v>3</v>
      </c>
      <c r="Y195">
        <v>3</v>
      </c>
      <c r="Z195">
        <v>3</v>
      </c>
      <c r="AA195">
        <v>3</v>
      </c>
      <c r="AB195">
        <v>4</v>
      </c>
      <c r="AC195">
        <v>4</v>
      </c>
      <c r="AD195">
        <v>3</v>
      </c>
      <c r="AE195">
        <v>3</v>
      </c>
      <c r="AF195">
        <v>3</v>
      </c>
      <c r="AG195">
        <v>3</v>
      </c>
      <c r="AH195">
        <v>4</v>
      </c>
      <c r="AI195">
        <v>4</v>
      </c>
      <c r="AJ195">
        <v>4</v>
      </c>
      <c r="AK195">
        <v>4</v>
      </c>
      <c r="AL195">
        <v>3</v>
      </c>
      <c r="AM195">
        <v>3</v>
      </c>
      <c r="AN195">
        <v>4</v>
      </c>
      <c r="AO195">
        <v>4</v>
      </c>
      <c r="AP195">
        <v>2</v>
      </c>
      <c r="AQ195">
        <v>3</v>
      </c>
      <c r="AR195" t="s">
        <v>75</v>
      </c>
      <c r="AT195">
        <v>0</v>
      </c>
      <c r="AU195" t="s">
        <v>69</v>
      </c>
      <c r="AW195">
        <v>0</v>
      </c>
      <c r="AX195" t="s">
        <v>69</v>
      </c>
      <c r="AY195" t="s">
        <v>83</v>
      </c>
      <c r="AZ195" t="s">
        <v>96</v>
      </c>
      <c r="BA195">
        <v>0</v>
      </c>
      <c r="BB195">
        <v>0</v>
      </c>
      <c r="BC195" t="s">
        <v>442</v>
      </c>
      <c r="BD195" t="s">
        <v>79</v>
      </c>
      <c r="BE195" t="s">
        <v>442</v>
      </c>
      <c r="BF195" t="s">
        <v>79</v>
      </c>
      <c r="BG195" t="s">
        <v>442</v>
      </c>
      <c r="BH195" t="s">
        <v>79</v>
      </c>
      <c r="BI195" t="s">
        <v>83</v>
      </c>
    </row>
    <row r="196" spans="1:61" x14ac:dyDescent="0.35">
      <c r="A196">
        <v>195</v>
      </c>
      <c r="B196">
        <v>45841.286979166667</v>
      </c>
      <c r="C196" t="s">
        <v>1310</v>
      </c>
      <c r="D196" t="s">
        <v>1311</v>
      </c>
      <c r="E196" t="s">
        <v>63</v>
      </c>
      <c r="F196" t="s">
        <v>1312</v>
      </c>
      <c r="G196" t="s">
        <v>1313</v>
      </c>
      <c r="H196" t="s">
        <v>459</v>
      </c>
      <c r="I196" t="s">
        <v>439</v>
      </c>
      <c r="J196" t="s">
        <v>971</v>
      </c>
      <c r="K196" t="s">
        <v>1314</v>
      </c>
      <c r="L196" t="s">
        <v>69</v>
      </c>
      <c r="M196" t="s">
        <v>69</v>
      </c>
      <c r="N196" t="s">
        <v>69</v>
      </c>
      <c r="O196" t="s">
        <v>69</v>
      </c>
      <c r="P196" t="s">
        <v>106</v>
      </c>
      <c r="Q196" t="s">
        <v>292</v>
      </c>
      <c r="R196" s="3" t="s">
        <v>441</v>
      </c>
      <c r="S196">
        <v>23</v>
      </c>
      <c r="T196" t="s">
        <v>72</v>
      </c>
      <c r="U196" t="s">
        <v>93</v>
      </c>
      <c r="V196" t="s">
        <v>74</v>
      </c>
      <c r="W196" t="s">
        <v>74</v>
      </c>
      <c r="X196">
        <v>4</v>
      </c>
      <c r="Y196">
        <v>4</v>
      </c>
      <c r="Z196">
        <v>4</v>
      </c>
      <c r="AA196">
        <v>4</v>
      </c>
      <c r="AB196">
        <v>4</v>
      </c>
      <c r="AC196">
        <v>4</v>
      </c>
      <c r="AD196">
        <v>4</v>
      </c>
      <c r="AE196">
        <v>4</v>
      </c>
      <c r="AF196">
        <v>4</v>
      </c>
      <c r="AG196">
        <v>4</v>
      </c>
      <c r="AH196">
        <v>4</v>
      </c>
      <c r="AI196">
        <v>4</v>
      </c>
      <c r="AJ196">
        <v>4</v>
      </c>
      <c r="AK196">
        <v>4</v>
      </c>
      <c r="AL196">
        <v>4</v>
      </c>
      <c r="AM196">
        <v>4</v>
      </c>
      <c r="AN196">
        <v>4</v>
      </c>
      <c r="AO196">
        <v>4</v>
      </c>
      <c r="AQ196">
        <v>0</v>
      </c>
      <c r="AR196" t="s">
        <v>69</v>
      </c>
      <c r="AT196">
        <v>0</v>
      </c>
      <c r="AU196" t="s">
        <v>69</v>
      </c>
      <c r="AV196">
        <v>1</v>
      </c>
      <c r="AW196">
        <v>4</v>
      </c>
      <c r="AX196" t="s">
        <v>75</v>
      </c>
      <c r="AY196" t="s">
        <v>83</v>
      </c>
      <c r="AZ196" t="s">
        <v>96</v>
      </c>
      <c r="BA196">
        <v>0</v>
      </c>
      <c r="BB196">
        <v>0</v>
      </c>
      <c r="BC196" t="s">
        <v>442</v>
      </c>
      <c r="BD196" t="s">
        <v>79</v>
      </c>
      <c r="BE196" t="s">
        <v>442</v>
      </c>
      <c r="BF196" t="s">
        <v>79</v>
      </c>
      <c r="BG196" t="s">
        <v>442</v>
      </c>
      <c r="BH196" t="s">
        <v>79</v>
      </c>
      <c r="BI196" t="s">
        <v>83</v>
      </c>
    </row>
    <row r="197" spans="1:61" x14ac:dyDescent="0.35">
      <c r="A197">
        <v>196</v>
      </c>
      <c r="B197">
        <v>45841.472858796296</v>
      </c>
      <c r="C197" t="s">
        <v>1315</v>
      </c>
      <c r="D197" t="s">
        <v>1316</v>
      </c>
      <c r="E197" t="s">
        <v>63</v>
      </c>
      <c r="F197" t="s">
        <v>765</v>
      </c>
      <c r="G197" t="s">
        <v>1317</v>
      </c>
      <c r="H197" t="s">
        <v>65</v>
      </c>
      <c r="I197" t="s">
        <v>66</v>
      </c>
      <c r="J197" t="s">
        <v>1189</v>
      </c>
      <c r="K197" t="s">
        <v>1318</v>
      </c>
      <c r="L197" t="s">
        <v>69</v>
      </c>
      <c r="M197" t="s">
        <v>69</v>
      </c>
      <c r="N197" t="s">
        <v>69</v>
      </c>
      <c r="O197" t="s">
        <v>69</v>
      </c>
      <c r="P197" t="s">
        <v>70</v>
      </c>
      <c r="Q197" t="s">
        <v>107</v>
      </c>
      <c r="R197" s="3" t="s">
        <v>431</v>
      </c>
      <c r="S197">
        <v>19</v>
      </c>
      <c r="T197" t="s">
        <v>131</v>
      </c>
      <c r="U197" t="s">
        <v>73</v>
      </c>
      <c r="V197" t="s">
        <v>94</v>
      </c>
      <c r="W197" t="s">
        <v>95</v>
      </c>
      <c r="X197">
        <v>4</v>
      </c>
      <c r="Y197">
        <v>4</v>
      </c>
      <c r="Z197">
        <v>4</v>
      </c>
      <c r="AA197">
        <v>4</v>
      </c>
      <c r="AB197">
        <v>4</v>
      </c>
      <c r="AC197">
        <v>4</v>
      </c>
      <c r="AD197">
        <v>0</v>
      </c>
      <c r="AE197">
        <v>0</v>
      </c>
      <c r="AF197">
        <v>4</v>
      </c>
      <c r="AG197">
        <v>4</v>
      </c>
      <c r="AH197">
        <v>4</v>
      </c>
      <c r="AI197">
        <v>4</v>
      </c>
      <c r="AJ197">
        <v>4</v>
      </c>
      <c r="AK197">
        <v>4</v>
      </c>
      <c r="AL197">
        <v>4</v>
      </c>
      <c r="AM197">
        <v>4</v>
      </c>
      <c r="AN197">
        <v>4</v>
      </c>
      <c r="AO197">
        <v>4</v>
      </c>
      <c r="AP197">
        <v>1</v>
      </c>
      <c r="AQ197">
        <v>4</v>
      </c>
      <c r="AR197" t="s">
        <v>75</v>
      </c>
      <c r="AT197">
        <v>0</v>
      </c>
      <c r="AU197" t="s">
        <v>69</v>
      </c>
      <c r="AW197">
        <v>0</v>
      </c>
      <c r="AX197" t="s">
        <v>69</v>
      </c>
      <c r="AY197" t="s">
        <v>83</v>
      </c>
      <c r="AZ197" t="s">
        <v>96</v>
      </c>
      <c r="BA197">
        <v>0</v>
      </c>
      <c r="BB197">
        <v>0</v>
      </c>
      <c r="BC197" t="s">
        <v>1319</v>
      </c>
      <c r="BD197" t="s">
        <v>99</v>
      </c>
      <c r="BE197" t="s">
        <v>1320</v>
      </c>
      <c r="BF197" t="s">
        <v>79</v>
      </c>
      <c r="BG197" t="s">
        <v>503</v>
      </c>
      <c r="BH197" t="s">
        <v>79</v>
      </c>
      <c r="BI197" t="s">
        <v>83</v>
      </c>
    </row>
    <row r="198" spans="1:61" x14ac:dyDescent="0.35">
      <c r="A198">
        <v>197</v>
      </c>
      <c r="B198">
        <v>45841.481469907405</v>
      </c>
      <c r="C198" t="s">
        <v>1321</v>
      </c>
      <c r="D198" t="s">
        <v>1322</v>
      </c>
      <c r="E198" t="s">
        <v>63</v>
      </c>
      <c r="F198" t="s">
        <v>63</v>
      </c>
      <c r="G198" t="s">
        <v>1323</v>
      </c>
      <c r="H198" t="s">
        <v>65</v>
      </c>
      <c r="I198" t="s">
        <v>66</v>
      </c>
      <c r="J198" t="s">
        <v>1189</v>
      </c>
      <c r="K198" t="s">
        <v>1324</v>
      </c>
      <c r="L198" t="s">
        <v>69</v>
      </c>
      <c r="M198" t="s">
        <v>69</v>
      </c>
      <c r="N198" t="s">
        <v>69</v>
      </c>
      <c r="O198" t="s">
        <v>69</v>
      </c>
      <c r="P198" t="s">
        <v>70</v>
      </c>
      <c r="Q198" t="s">
        <v>107</v>
      </c>
      <c r="R198" s="3" t="s">
        <v>1325</v>
      </c>
      <c r="S198">
        <v>50</v>
      </c>
      <c r="T198" t="s">
        <v>225</v>
      </c>
      <c r="U198" t="s">
        <v>73</v>
      </c>
      <c r="V198" t="s">
        <v>74</v>
      </c>
      <c r="W198" t="s">
        <v>74</v>
      </c>
      <c r="X198">
        <v>3</v>
      </c>
      <c r="Y198">
        <v>3</v>
      </c>
      <c r="Z198">
        <v>3</v>
      </c>
      <c r="AA198">
        <v>3</v>
      </c>
      <c r="AB198">
        <v>3</v>
      </c>
      <c r="AC198">
        <v>3</v>
      </c>
      <c r="AD198">
        <v>0</v>
      </c>
      <c r="AE198">
        <v>0</v>
      </c>
      <c r="AF198">
        <v>4</v>
      </c>
      <c r="AG198">
        <v>4</v>
      </c>
      <c r="AH198">
        <v>3</v>
      </c>
      <c r="AI198">
        <v>3</v>
      </c>
      <c r="AJ198">
        <v>3</v>
      </c>
      <c r="AK198">
        <v>3</v>
      </c>
      <c r="AL198">
        <v>3</v>
      </c>
      <c r="AM198">
        <v>3</v>
      </c>
      <c r="AN198">
        <v>4</v>
      </c>
      <c r="AO198">
        <v>4</v>
      </c>
      <c r="AQ198">
        <v>0</v>
      </c>
      <c r="AR198" t="s">
        <v>69</v>
      </c>
      <c r="AT198">
        <v>0</v>
      </c>
      <c r="AU198" t="s">
        <v>69</v>
      </c>
      <c r="AW198">
        <v>0</v>
      </c>
      <c r="AX198" t="s">
        <v>69</v>
      </c>
      <c r="AY198" t="s">
        <v>144</v>
      </c>
      <c r="AZ198" t="s">
        <v>144</v>
      </c>
      <c r="BA198">
        <v>1</v>
      </c>
      <c r="BB198">
        <v>4</v>
      </c>
      <c r="BC198" t="s">
        <v>1326</v>
      </c>
      <c r="BD198" t="s">
        <v>235</v>
      </c>
      <c r="BE198" t="s">
        <v>442</v>
      </c>
      <c r="BF198" t="s">
        <v>79</v>
      </c>
      <c r="BG198" t="s">
        <v>503</v>
      </c>
      <c r="BH198" t="s">
        <v>79</v>
      </c>
      <c r="BI198" t="s">
        <v>83</v>
      </c>
    </row>
    <row r="199" spans="1:61" x14ac:dyDescent="0.35">
      <c r="A199">
        <v>198</v>
      </c>
      <c r="B199">
        <v>45841.484664351854</v>
      </c>
      <c r="C199" t="s">
        <v>1327</v>
      </c>
      <c r="D199" t="s">
        <v>1328</v>
      </c>
      <c r="E199" t="s">
        <v>63</v>
      </c>
      <c r="F199" t="s">
        <v>338</v>
      </c>
      <c r="G199" t="s">
        <v>1329</v>
      </c>
      <c r="H199" t="s">
        <v>65</v>
      </c>
      <c r="I199" t="s">
        <v>66</v>
      </c>
      <c r="J199" t="s">
        <v>1189</v>
      </c>
      <c r="K199" t="s">
        <v>1330</v>
      </c>
      <c r="L199" t="s">
        <v>69</v>
      </c>
      <c r="M199" t="s">
        <v>69</v>
      </c>
      <c r="N199" t="s">
        <v>69</v>
      </c>
      <c r="O199" t="s">
        <v>69</v>
      </c>
      <c r="P199" t="s">
        <v>106</v>
      </c>
      <c r="Q199" t="s">
        <v>107</v>
      </c>
      <c r="R199" s="3" t="s">
        <v>253</v>
      </c>
      <c r="S199">
        <v>60</v>
      </c>
      <c r="T199" t="s">
        <v>182</v>
      </c>
      <c r="U199" t="s">
        <v>93</v>
      </c>
      <c r="V199" t="s">
        <v>1331</v>
      </c>
      <c r="W199" t="s">
        <v>246</v>
      </c>
      <c r="X199">
        <v>4</v>
      </c>
      <c r="Y199">
        <v>4</v>
      </c>
      <c r="Z199">
        <v>4</v>
      </c>
      <c r="AA199">
        <v>4</v>
      </c>
      <c r="AB199">
        <v>4</v>
      </c>
      <c r="AC199">
        <v>4</v>
      </c>
      <c r="AD199">
        <v>0</v>
      </c>
      <c r="AE199">
        <v>0</v>
      </c>
      <c r="AF199">
        <v>4</v>
      </c>
      <c r="AG199">
        <v>4</v>
      </c>
      <c r="AH199">
        <v>4</v>
      </c>
      <c r="AI199">
        <v>4</v>
      </c>
      <c r="AJ199">
        <v>4</v>
      </c>
      <c r="AK199">
        <v>4</v>
      </c>
      <c r="AL199">
        <v>4</v>
      </c>
      <c r="AM199">
        <v>4</v>
      </c>
      <c r="AN199">
        <v>4</v>
      </c>
      <c r="AO199">
        <v>4</v>
      </c>
      <c r="AQ199">
        <v>0</v>
      </c>
      <c r="AR199" t="s">
        <v>69</v>
      </c>
      <c r="AS199">
        <v>1</v>
      </c>
      <c r="AT199">
        <v>4</v>
      </c>
      <c r="AU199" t="s">
        <v>75</v>
      </c>
      <c r="AW199">
        <v>0</v>
      </c>
      <c r="AX199" t="s">
        <v>69</v>
      </c>
      <c r="AY199" t="s">
        <v>83</v>
      </c>
      <c r="AZ199" t="s">
        <v>96</v>
      </c>
      <c r="BA199">
        <v>0</v>
      </c>
      <c r="BB199">
        <v>0</v>
      </c>
      <c r="BC199" t="s">
        <v>442</v>
      </c>
      <c r="BD199" t="s">
        <v>79</v>
      </c>
      <c r="BE199" t="s">
        <v>1332</v>
      </c>
      <c r="BF199" t="s">
        <v>79</v>
      </c>
      <c r="BG199" t="s">
        <v>248</v>
      </c>
      <c r="BH199" t="s">
        <v>79</v>
      </c>
      <c r="BI199" t="s">
        <v>83</v>
      </c>
    </row>
    <row r="200" spans="1:61" x14ac:dyDescent="0.35">
      <c r="A200">
        <v>199</v>
      </c>
      <c r="B200">
        <v>45841.490879629629</v>
      </c>
      <c r="C200" t="s">
        <v>1333</v>
      </c>
      <c r="D200" t="s">
        <v>1334</v>
      </c>
      <c r="E200" t="s">
        <v>63</v>
      </c>
      <c r="F200" t="s">
        <v>63</v>
      </c>
      <c r="G200" t="s">
        <v>1335</v>
      </c>
      <c r="H200" t="s">
        <v>65</v>
      </c>
      <c r="I200" t="s">
        <v>66</v>
      </c>
      <c r="J200" t="s">
        <v>1189</v>
      </c>
      <c r="K200" t="s">
        <v>1336</v>
      </c>
      <c r="L200" t="s">
        <v>69</v>
      </c>
      <c r="M200" t="s">
        <v>69</v>
      </c>
      <c r="N200" t="s">
        <v>69</v>
      </c>
      <c r="O200" t="s">
        <v>69</v>
      </c>
      <c r="P200" t="s">
        <v>70</v>
      </c>
      <c r="Q200" t="s">
        <v>107</v>
      </c>
      <c r="R200" s="3" t="s">
        <v>431</v>
      </c>
      <c r="S200">
        <v>19</v>
      </c>
      <c r="T200" t="s">
        <v>131</v>
      </c>
      <c r="U200" t="s">
        <v>73</v>
      </c>
      <c r="V200" t="s">
        <v>1337</v>
      </c>
      <c r="W200" t="s">
        <v>110</v>
      </c>
      <c r="X200">
        <v>3</v>
      </c>
      <c r="Y200">
        <v>3</v>
      </c>
      <c r="Z200">
        <v>4</v>
      </c>
      <c r="AA200">
        <v>4</v>
      </c>
      <c r="AB200">
        <v>4</v>
      </c>
      <c r="AC200">
        <v>4</v>
      </c>
      <c r="AD200">
        <v>0</v>
      </c>
      <c r="AE200">
        <v>0</v>
      </c>
      <c r="AF200">
        <v>4</v>
      </c>
      <c r="AG200">
        <v>4</v>
      </c>
      <c r="AH200">
        <v>3</v>
      </c>
      <c r="AI200">
        <v>3</v>
      </c>
      <c r="AJ200">
        <v>3</v>
      </c>
      <c r="AK200">
        <v>3</v>
      </c>
      <c r="AL200">
        <v>3</v>
      </c>
      <c r="AM200">
        <v>3</v>
      </c>
      <c r="AN200">
        <v>3</v>
      </c>
      <c r="AO200">
        <v>3</v>
      </c>
      <c r="AQ200">
        <v>0</v>
      </c>
      <c r="AR200" t="s">
        <v>75</v>
      </c>
      <c r="AS200">
        <v>1</v>
      </c>
      <c r="AT200">
        <v>4</v>
      </c>
      <c r="AU200" t="s">
        <v>75</v>
      </c>
      <c r="AW200">
        <v>0</v>
      </c>
      <c r="AX200" t="s">
        <v>75</v>
      </c>
      <c r="AY200" t="s">
        <v>83</v>
      </c>
      <c r="AZ200" t="s">
        <v>96</v>
      </c>
      <c r="BA200">
        <v>0</v>
      </c>
      <c r="BB200">
        <v>0</v>
      </c>
      <c r="BC200" t="s">
        <v>442</v>
      </c>
      <c r="BD200" t="s">
        <v>79</v>
      </c>
      <c r="BE200" t="s">
        <v>442</v>
      </c>
      <c r="BF200" t="s">
        <v>79</v>
      </c>
      <c r="BG200" t="s">
        <v>442</v>
      </c>
      <c r="BH200" t="s">
        <v>79</v>
      </c>
      <c r="BI200" t="s">
        <v>83</v>
      </c>
    </row>
    <row r="201" spans="1:61" x14ac:dyDescent="0.35">
      <c r="A201">
        <v>200</v>
      </c>
      <c r="B201">
        <v>45841.50986111111</v>
      </c>
      <c r="C201" t="s">
        <v>1338</v>
      </c>
      <c r="D201" t="s">
        <v>1339</v>
      </c>
      <c r="E201" t="s">
        <v>63</v>
      </c>
      <c r="F201" t="s">
        <v>86</v>
      </c>
      <c r="G201" t="s">
        <v>1340</v>
      </c>
      <c r="H201" t="s">
        <v>657</v>
      </c>
      <c r="I201" t="s">
        <v>83</v>
      </c>
      <c r="J201" t="s">
        <v>66</v>
      </c>
      <c r="K201" t="s">
        <v>1341</v>
      </c>
      <c r="L201" t="s">
        <v>69</v>
      </c>
      <c r="M201" t="s">
        <v>69</v>
      </c>
      <c r="N201" t="s">
        <v>69</v>
      </c>
      <c r="O201" t="s">
        <v>69</v>
      </c>
      <c r="P201" t="s">
        <v>70</v>
      </c>
      <c r="Q201" t="s">
        <v>292</v>
      </c>
      <c r="R201" s="3" t="s">
        <v>1342</v>
      </c>
      <c r="S201">
        <v>30</v>
      </c>
      <c r="T201" t="s">
        <v>92</v>
      </c>
      <c r="U201" t="s">
        <v>1343</v>
      </c>
      <c r="V201" t="s">
        <v>142</v>
      </c>
      <c r="W201" t="s">
        <v>143</v>
      </c>
      <c r="X201">
        <v>3</v>
      </c>
      <c r="Y201">
        <v>3</v>
      </c>
      <c r="Z201">
        <v>3</v>
      </c>
      <c r="AA201">
        <v>3</v>
      </c>
      <c r="AB201">
        <v>3</v>
      </c>
      <c r="AC201">
        <v>3</v>
      </c>
      <c r="AD201">
        <v>3</v>
      </c>
      <c r="AE201">
        <v>3</v>
      </c>
      <c r="AF201">
        <v>3</v>
      </c>
      <c r="AG201">
        <v>3</v>
      </c>
      <c r="AH201">
        <v>3</v>
      </c>
      <c r="AI201">
        <v>3</v>
      </c>
      <c r="AJ201">
        <v>4</v>
      </c>
      <c r="AK201">
        <v>4</v>
      </c>
      <c r="AL201">
        <v>2</v>
      </c>
      <c r="AM201">
        <v>3</v>
      </c>
      <c r="AN201">
        <v>4</v>
      </c>
      <c r="AO201">
        <v>4</v>
      </c>
      <c r="AP201">
        <v>1</v>
      </c>
      <c r="AQ201">
        <v>4</v>
      </c>
      <c r="AR201" t="s">
        <v>69</v>
      </c>
      <c r="AT201">
        <v>0</v>
      </c>
      <c r="AU201" t="s">
        <v>69</v>
      </c>
      <c r="AW201">
        <v>0</v>
      </c>
      <c r="AX201" t="s">
        <v>69</v>
      </c>
      <c r="AY201" t="s">
        <v>83</v>
      </c>
      <c r="AZ201" t="s">
        <v>96</v>
      </c>
      <c r="BA201">
        <v>0</v>
      </c>
      <c r="BB201">
        <v>0</v>
      </c>
      <c r="BC201" t="s">
        <v>1344</v>
      </c>
      <c r="BD201" t="s">
        <v>112</v>
      </c>
      <c r="BE201" t="s">
        <v>1345</v>
      </c>
      <c r="BF201" t="s">
        <v>157</v>
      </c>
      <c r="BG201" t="s">
        <v>624</v>
      </c>
      <c r="BH201" t="s">
        <v>79</v>
      </c>
      <c r="BI201" t="s">
        <v>83</v>
      </c>
    </row>
    <row r="202" spans="1:61" x14ac:dyDescent="0.35">
      <c r="A202">
        <v>201</v>
      </c>
      <c r="B202">
        <v>45841.514652777776</v>
      </c>
      <c r="C202" t="s">
        <v>1346</v>
      </c>
      <c r="D202" t="s">
        <v>1347</v>
      </c>
      <c r="E202" t="s">
        <v>63</v>
      </c>
      <c r="F202" t="s">
        <v>757</v>
      </c>
      <c r="G202" t="s">
        <v>1348</v>
      </c>
      <c r="H202" t="s">
        <v>657</v>
      </c>
      <c r="I202" t="s">
        <v>66</v>
      </c>
      <c r="J202" t="s">
        <v>1189</v>
      </c>
      <c r="K202" t="s">
        <v>1349</v>
      </c>
      <c r="L202" t="s">
        <v>69</v>
      </c>
      <c r="M202" t="s">
        <v>69</v>
      </c>
      <c r="N202" t="s">
        <v>69</v>
      </c>
      <c r="O202" t="s">
        <v>69</v>
      </c>
      <c r="P202" t="s">
        <v>106</v>
      </c>
      <c r="Q202" t="s">
        <v>271</v>
      </c>
      <c r="R202" s="3" t="s">
        <v>868</v>
      </c>
      <c r="S202">
        <v>33</v>
      </c>
      <c r="T202" t="s">
        <v>109</v>
      </c>
      <c r="U202" t="s">
        <v>73</v>
      </c>
      <c r="V202" t="s">
        <v>74</v>
      </c>
      <c r="W202" t="s">
        <v>74</v>
      </c>
      <c r="X202">
        <v>4</v>
      </c>
      <c r="Y202">
        <v>4</v>
      </c>
      <c r="Z202">
        <v>3</v>
      </c>
      <c r="AA202">
        <v>3</v>
      </c>
      <c r="AB202">
        <v>4</v>
      </c>
      <c r="AC202">
        <v>4</v>
      </c>
      <c r="AD202">
        <v>3</v>
      </c>
      <c r="AE202">
        <v>3</v>
      </c>
      <c r="AF202">
        <v>4</v>
      </c>
      <c r="AG202">
        <v>4</v>
      </c>
      <c r="AH202">
        <v>4</v>
      </c>
      <c r="AI202">
        <v>4</v>
      </c>
      <c r="AJ202">
        <v>4</v>
      </c>
      <c r="AK202">
        <v>4</v>
      </c>
      <c r="AL202">
        <v>4</v>
      </c>
      <c r="AM202">
        <v>4</v>
      </c>
      <c r="AN202">
        <v>4</v>
      </c>
      <c r="AO202">
        <v>4</v>
      </c>
      <c r="AQ202">
        <v>0</v>
      </c>
      <c r="AR202" t="s">
        <v>69</v>
      </c>
      <c r="AT202">
        <v>0</v>
      </c>
      <c r="AU202" t="s">
        <v>69</v>
      </c>
      <c r="AW202">
        <v>0</v>
      </c>
      <c r="AX202" t="s">
        <v>69</v>
      </c>
      <c r="AY202" t="s">
        <v>1350</v>
      </c>
      <c r="AZ202" t="s">
        <v>77</v>
      </c>
      <c r="BA202">
        <v>1</v>
      </c>
      <c r="BB202">
        <v>4</v>
      </c>
      <c r="BC202" t="s">
        <v>1351</v>
      </c>
      <c r="BD202" t="s">
        <v>540</v>
      </c>
      <c r="BE202" t="s">
        <v>1352</v>
      </c>
      <c r="BF202" t="s">
        <v>112</v>
      </c>
      <c r="BG202" t="s">
        <v>442</v>
      </c>
      <c r="BH202" t="s">
        <v>79</v>
      </c>
      <c r="BI202" t="s">
        <v>83</v>
      </c>
    </row>
    <row r="203" spans="1:61" x14ac:dyDescent="0.35">
      <c r="A203">
        <v>202</v>
      </c>
      <c r="B203">
        <v>45841.524988425925</v>
      </c>
      <c r="C203" t="s">
        <v>1353</v>
      </c>
      <c r="D203" t="s">
        <v>1354</v>
      </c>
      <c r="E203" t="s">
        <v>63</v>
      </c>
      <c r="F203" t="s">
        <v>397</v>
      </c>
      <c r="G203" t="s">
        <v>1355</v>
      </c>
      <c r="H203" t="s">
        <v>657</v>
      </c>
      <c r="I203" t="s">
        <v>66</v>
      </c>
      <c r="J203" t="s">
        <v>971</v>
      </c>
      <c r="K203" t="s">
        <v>1356</v>
      </c>
      <c r="L203" t="s">
        <v>69</v>
      </c>
      <c r="M203" t="s">
        <v>69</v>
      </c>
      <c r="N203" t="s">
        <v>69</v>
      </c>
      <c r="O203" t="s">
        <v>69</v>
      </c>
      <c r="P203" t="s">
        <v>106</v>
      </c>
      <c r="Q203" t="s">
        <v>292</v>
      </c>
      <c r="R203" s="3" t="s">
        <v>431</v>
      </c>
      <c r="S203">
        <v>19</v>
      </c>
      <c r="T203" t="s">
        <v>131</v>
      </c>
      <c r="U203" t="s">
        <v>73</v>
      </c>
      <c r="V203" t="s">
        <v>94</v>
      </c>
      <c r="W203" t="s">
        <v>95</v>
      </c>
      <c r="X203">
        <v>3</v>
      </c>
      <c r="Y203">
        <v>3</v>
      </c>
      <c r="Z203">
        <v>4</v>
      </c>
      <c r="AA203">
        <v>4</v>
      </c>
      <c r="AB203">
        <v>3</v>
      </c>
      <c r="AC203">
        <v>3</v>
      </c>
      <c r="AD203">
        <v>4</v>
      </c>
      <c r="AE203">
        <v>4</v>
      </c>
      <c r="AF203">
        <v>4</v>
      </c>
      <c r="AG203">
        <v>4</v>
      </c>
      <c r="AH203">
        <v>3</v>
      </c>
      <c r="AI203">
        <v>4</v>
      </c>
      <c r="AJ203">
        <v>4</v>
      </c>
      <c r="AK203">
        <v>4</v>
      </c>
      <c r="AL203">
        <v>3</v>
      </c>
      <c r="AM203">
        <v>3</v>
      </c>
      <c r="AN203">
        <v>4</v>
      </c>
      <c r="AO203">
        <v>4</v>
      </c>
      <c r="AQ203">
        <v>0</v>
      </c>
      <c r="AR203" t="s">
        <v>69</v>
      </c>
      <c r="AT203">
        <v>0</v>
      </c>
      <c r="AU203" t="s">
        <v>69</v>
      </c>
      <c r="AW203">
        <v>0</v>
      </c>
      <c r="AX203" t="s">
        <v>69</v>
      </c>
      <c r="AY203" t="s">
        <v>532</v>
      </c>
      <c r="AZ203" t="s">
        <v>77</v>
      </c>
      <c r="BA203">
        <v>1</v>
      </c>
      <c r="BB203">
        <v>4</v>
      </c>
      <c r="BC203" t="s">
        <v>1357</v>
      </c>
      <c r="BD203" t="s">
        <v>227</v>
      </c>
      <c r="BE203" t="s">
        <v>442</v>
      </c>
      <c r="BF203" t="s">
        <v>79</v>
      </c>
      <c r="BG203" t="s">
        <v>1358</v>
      </c>
      <c r="BH203" t="s">
        <v>146</v>
      </c>
      <c r="BI203" t="s">
        <v>83</v>
      </c>
    </row>
    <row r="204" spans="1:61" x14ac:dyDescent="0.35">
      <c r="A204">
        <v>203</v>
      </c>
      <c r="B204">
        <v>45841.530636574076</v>
      </c>
      <c r="C204" t="s">
        <v>1359</v>
      </c>
      <c r="D204" t="s">
        <v>1360</v>
      </c>
      <c r="E204" t="s">
        <v>63</v>
      </c>
      <c r="F204" t="s">
        <v>125</v>
      </c>
      <c r="G204" t="s">
        <v>1361</v>
      </c>
      <c r="H204" t="s">
        <v>657</v>
      </c>
      <c r="I204" t="s">
        <v>66</v>
      </c>
      <c r="J204" t="s">
        <v>989</v>
      </c>
      <c r="K204" t="s">
        <v>1362</v>
      </c>
      <c r="L204" t="s">
        <v>69</v>
      </c>
      <c r="M204" t="s">
        <v>69</v>
      </c>
      <c r="N204" t="s">
        <v>69</v>
      </c>
      <c r="O204" t="s">
        <v>69</v>
      </c>
      <c r="P204" t="s">
        <v>106</v>
      </c>
      <c r="Q204" t="s">
        <v>271</v>
      </c>
      <c r="R204" s="3">
        <v>26</v>
      </c>
      <c r="S204">
        <v>26</v>
      </c>
      <c r="T204" t="s">
        <v>92</v>
      </c>
      <c r="U204" t="s">
        <v>73</v>
      </c>
      <c r="V204" t="s">
        <v>74</v>
      </c>
      <c r="W204" t="s">
        <v>74</v>
      </c>
      <c r="X204">
        <v>4</v>
      </c>
      <c r="Y204">
        <v>4</v>
      </c>
      <c r="Z204">
        <v>4</v>
      </c>
      <c r="AA204">
        <v>4</v>
      </c>
      <c r="AB204">
        <v>3</v>
      </c>
      <c r="AC204">
        <v>3</v>
      </c>
      <c r="AD204">
        <v>4</v>
      </c>
      <c r="AE204">
        <v>4</v>
      </c>
      <c r="AF204">
        <v>4</v>
      </c>
      <c r="AG204">
        <v>4</v>
      </c>
      <c r="AH204">
        <v>4</v>
      </c>
      <c r="AI204">
        <v>4</v>
      </c>
      <c r="AJ204">
        <v>4</v>
      </c>
      <c r="AK204">
        <v>4</v>
      </c>
      <c r="AL204">
        <v>3</v>
      </c>
      <c r="AM204">
        <v>3</v>
      </c>
      <c r="AN204">
        <v>4</v>
      </c>
      <c r="AO204">
        <v>4</v>
      </c>
      <c r="AQ204">
        <v>0</v>
      </c>
      <c r="AR204" t="s">
        <v>69</v>
      </c>
      <c r="AT204">
        <v>0</v>
      </c>
      <c r="AU204" t="s">
        <v>69</v>
      </c>
      <c r="AW204">
        <v>0</v>
      </c>
      <c r="AX204" t="s">
        <v>69</v>
      </c>
      <c r="AY204" t="s">
        <v>1363</v>
      </c>
      <c r="AZ204" t="s">
        <v>77</v>
      </c>
      <c r="BA204">
        <v>2</v>
      </c>
      <c r="BB204">
        <v>3</v>
      </c>
      <c r="BC204" t="s">
        <v>682</v>
      </c>
      <c r="BD204" t="s">
        <v>79</v>
      </c>
      <c r="BE204" t="s">
        <v>682</v>
      </c>
      <c r="BF204" t="s">
        <v>79</v>
      </c>
      <c r="BG204" t="s">
        <v>682</v>
      </c>
      <c r="BH204" t="s">
        <v>79</v>
      </c>
      <c r="BI204" t="s">
        <v>83</v>
      </c>
    </row>
    <row r="205" spans="1:61" x14ac:dyDescent="0.35">
      <c r="A205">
        <v>204</v>
      </c>
      <c r="B205">
        <v>45841.534259259257</v>
      </c>
      <c r="C205" t="s">
        <v>1364</v>
      </c>
      <c r="D205" t="s">
        <v>1365</v>
      </c>
      <c r="E205" t="s">
        <v>63</v>
      </c>
      <c r="F205" t="s">
        <v>179</v>
      </c>
      <c r="G205" t="s">
        <v>1366</v>
      </c>
      <c r="H205" t="s">
        <v>657</v>
      </c>
      <c r="I205" t="s">
        <v>66</v>
      </c>
      <c r="J205" t="s">
        <v>971</v>
      </c>
      <c r="K205" t="s">
        <v>1367</v>
      </c>
      <c r="L205" t="s">
        <v>69</v>
      </c>
      <c r="M205" t="s">
        <v>69</v>
      </c>
      <c r="N205" t="s">
        <v>69</v>
      </c>
      <c r="O205" t="s">
        <v>69</v>
      </c>
      <c r="P205" t="s">
        <v>106</v>
      </c>
      <c r="Q205" t="s">
        <v>292</v>
      </c>
      <c r="R205" s="3">
        <v>19</v>
      </c>
      <c r="S205">
        <v>19</v>
      </c>
      <c r="T205" t="s">
        <v>131</v>
      </c>
      <c r="U205" t="s">
        <v>73</v>
      </c>
      <c r="V205" t="s">
        <v>94</v>
      </c>
      <c r="W205" t="s">
        <v>95</v>
      </c>
      <c r="X205">
        <v>4</v>
      </c>
      <c r="Y205">
        <v>4</v>
      </c>
      <c r="Z205">
        <v>4</v>
      </c>
      <c r="AA205">
        <v>4</v>
      </c>
      <c r="AB205">
        <v>3</v>
      </c>
      <c r="AC205">
        <v>3</v>
      </c>
      <c r="AD205">
        <v>4</v>
      </c>
      <c r="AE205">
        <v>4</v>
      </c>
      <c r="AF205">
        <v>4</v>
      </c>
      <c r="AG205">
        <v>4</v>
      </c>
      <c r="AH205">
        <v>4</v>
      </c>
      <c r="AI205">
        <v>4</v>
      </c>
      <c r="AJ205">
        <v>4</v>
      </c>
      <c r="AK205">
        <v>4</v>
      </c>
      <c r="AL205">
        <v>4</v>
      </c>
      <c r="AM205">
        <v>4</v>
      </c>
      <c r="AN205">
        <v>3</v>
      </c>
      <c r="AO205">
        <v>3</v>
      </c>
      <c r="AQ205">
        <v>0</v>
      </c>
      <c r="AR205" t="s">
        <v>75</v>
      </c>
      <c r="AT205">
        <v>0</v>
      </c>
      <c r="AU205" t="s">
        <v>69</v>
      </c>
      <c r="AW205">
        <v>0</v>
      </c>
      <c r="AX205" t="s">
        <v>69</v>
      </c>
      <c r="AY205" t="s">
        <v>76</v>
      </c>
      <c r="AZ205" t="s">
        <v>77</v>
      </c>
      <c r="BA205">
        <v>2</v>
      </c>
      <c r="BB205">
        <v>3</v>
      </c>
      <c r="BC205" t="s">
        <v>682</v>
      </c>
      <c r="BD205" t="s">
        <v>79</v>
      </c>
      <c r="BE205" t="s">
        <v>1368</v>
      </c>
      <c r="BF205" t="s">
        <v>112</v>
      </c>
      <c r="BG205" t="s">
        <v>248</v>
      </c>
      <c r="BH205" t="s">
        <v>79</v>
      </c>
      <c r="BI205" t="s">
        <v>83</v>
      </c>
    </row>
    <row r="206" spans="1:61" x14ac:dyDescent="0.35">
      <c r="A206">
        <v>205</v>
      </c>
      <c r="B206">
        <v>45841.540439814817</v>
      </c>
      <c r="C206" t="s">
        <v>1369</v>
      </c>
      <c r="D206" t="s">
        <v>1370</v>
      </c>
      <c r="E206" t="s">
        <v>1371</v>
      </c>
      <c r="F206" t="s">
        <v>1372</v>
      </c>
      <c r="G206" t="s">
        <v>1373</v>
      </c>
      <c r="H206" t="s">
        <v>657</v>
      </c>
      <c r="I206" t="s">
        <v>66</v>
      </c>
      <c r="J206" t="s">
        <v>971</v>
      </c>
      <c r="K206" t="s">
        <v>1374</v>
      </c>
      <c r="L206" t="s">
        <v>69</v>
      </c>
      <c r="M206" t="s">
        <v>69</v>
      </c>
      <c r="N206" t="s">
        <v>69</v>
      </c>
      <c r="O206" t="s">
        <v>69</v>
      </c>
      <c r="P206" t="s">
        <v>70</v>
      </c>
      <c r="Q206" t="s">
        <v>292</v>
      </c>
      <c r="R206" s="3">
        <v>18</v>
      </c>
      <c r="S206">
        <v>18</v>
      </c>
      <c r="T206" t="s">
        <v>131</v>
      </c>
      <c r="U206" t="s">
        <v>73</v>
      </c>
      <c r="V206" t="s">
        <v>94</v>
      </c>
      <c r="W206" t="s">
        <v>95</v>
      </c>
      <c r="X206">
        <v>3</v>
      </c>
      <c r="Y206">
        <v>4</v>
      </c>
      <c r="Z206">
        <v>4</v>
      </c>
      <c r="AA206">
        <v>3</v>
      </c>
      <c r="AB206">
        <v>4</v>
      </c>
      <c r="AC206">
        <v>3</v>
      </c>
      <c r="AD206">
        <v>3</v>
      </c>
      <c r="AE206">
        <v>3</v>
      </c>
      <c r="AF206">
        <v>4</v>
      </c>
      <c r="AG206">
        <v>4</v>
      </c>
      <c r="AH206">
        <v>4</v>
      </c>
      <c r="AI206">
        <v>4</v>
      </c>
      <c r="AJ206">
        <v>4</v>
      </c>
      <c r="AK206">
        <v>4</v>
      </c>
      <c r="AL206">
        <v>4</v>
      </c>
      <c r="AM206">
        <v>4</v>
      </c>
      <c r="AN206">
        <v>3</v>
      </c>
      <c r="AO206">
        <v>3</v>
      </c>
      <c r="AQ206">
        <v>0</v>
      </c>
      <c r="AR206" t="s">
        <v>69</v>
      </c>
      <c r="AT206">
        <v>0</v>
      </c>
      <c r="AU206" t="s">
        <v>69</v>
      </c>
      <c r="AW206">
        <v>0</v>
      </c>
      <c r="AX206" t="s">
        <v>69</v>
      </c>
      <c r="AY206" t="s">
        <v>76</v>
      </c>
      <c r="AZ206" t="s">
        <v>77</v>
      </c>
      <c r="BA206">
        <v>2</v>
      </c>
      <c r="BB206">
        <v>3</v>
      </c>
      <c r="BC206" t="s">
        <v>624</v>
      </c>
      <c r="BD206" t="s">
        <v>79</v>
      </c>
      <c r="BE206" t="s">
        <v>624</v>
      </c>
      <c r="BF206" t="s">
        <v>79</v>
      </c>
      <c r="BG206" t="s">
        <v>624</v>
      </c>
      <c r="BH206" t="s">
        <v>79</v>
      </c>
      <c r="BI206" t="s">
        <v>83</v>
      </c>
    </row>
    <row r="207" spans="1:61" x14ac:dyDescent="0.35">
      <c r="A207">
        <v>206</v>
      </c>
      <c r="B207">
        <v>45841.547013888892</v>
      </c>
      <c r="C207" t="s">
        <v>1375</v>
      </c>
      <c r="D207" t="s">
        <v>1376</v>
      </c>
      <c r="E207" t="s">
        <v>63</v>
      </c>
      <c r="F207" t="s">
        <v>125</v>
      </c>
      <c r="G207" t="s">
        <v>1377</v>
      </c>
      <c r="H207" t="s">
        <v>657</v>
      </c>
      <c r="I207" t="s">
        <v>66</v>
      </c>
      <c r="J207" t="s">
        <v>971</v>
      </c>
      <c r="K207" t="s">
        <v>1378</v>
      </c>
      <c r="L207" t="s">
        <v>69</v>
      </c>
      <c r="M207" t="s">
        <v>69</v>
      </c>
      <c r="N207" t="s">
        <v>69</v>
      </c>
      <c r="O207" t="s">
        <v>69</v>
      </c>
      <c r="P207" t="s">
        <v>106</v>
      </c>
      <c r="Q207" t="s">
        <v>292</v>
      </c>
      <c r="R207" s="3">
        <v>22</v>
      </c>
      <c r="S207">
        <v>22</v>
      </c>
      <c r="T207" t="s">
        <v>72</v>
      </c>
      <c r="U207" t="s">
        <v>73</v>
      </c>
      <c r="V207" t="s">
        <v>74</v>
      </c>
      <c r="W207" t="s">
        <v>74</v>
      </c>
      <c r="X207">
        <v>3</v>
      </c>
      <c r="Y207">
        <v>4</v>
      </c>
      <c r="Z207">
        <v>4</v>
      </c>
      <c r="AA207">
        <v>4</v>
      </c>
      <c r="AB207">
        <v>3</v>
      </c>
      <c r="AC207">
        <v>3</v>
      </c>
      <c r="AD207">
        <v>3</v>
      </c>
      <c r="AE207">
        <v>3</v>
      </c>
      <c r="AF207">
        <v>4</v>
      </c>
      <c r="AG207">
        <v>4</v>
      </c>
      <c r="AH207">
        <v>4</v>
      </c>
      <c r="AI207">
        <v>4</v>
      </c>
      <c r="AJ207">
        <v>4</v>
      </c>
      <c r="AK207">
        <v>4</v>
      </c>
      <c r="AL207">
        <v>4</v>
      </c>
      <c r="AM207">
        <v>4</v>
      </c>
      <c r="AN207">
        <v>4</v>
      </c>
      <c r="AO207">
        <v>4</v>
      </c>
      <c r="AP207">
        <v>1</v>
      </c>
      <c r="AQ207">
        <v>4</v>
      </c>
      <c r="AR207" t="s">
        <v>69</v>
      </c>
      <c r="AS207">
        <v>2</v>
      </c>
      <c r="AT207">
        <v>3</v>
      </c>
      <c r="AU207" t="s">
        <v>69</v>
      </c>
      <c r="AW207">
        <v>0</v>
      </c>
      <c r="AX207" t="s">
        <v>69</v>
      </c>
      <c r="AY207" t="s">
        <v>83</v>
      </c>
      <c r="AZ207" t="s">
        <v>96</v>
      </c>
      <c r="BA207">
        <v>0</v>
      </c>
      <c r="BB207">
        <v>0</v>
      </c>
      <c r="BC207" t="s">
        <v>624</v>
      </c>
      <c r="BD207" t="s">
        <v>79</v>
      </c>
      <c r="BE207" t="s">
        <v>1379</v>
      </c>
      <c r="BF207" t="s">
        <v>157</v>
      </c>
      <c r="BG207" t="s">
        <v>248</v>
      </c>
      <c r="BH207" t="s">
        <v>79</v>
      </c>
      <c r="BI207" t="s">
        <v>83</v>
      </c>
    </row>
    <row r="208" spans="1:61" x14ac:dyDescent="0.35">
      <c r="A208">
        <v>207</v>
      </c>
      <c r="B208">
        <v>45841.555706018517</v>
      </c>
      <c r="C208" t="s">
        <v>1380</v>
      </c>
      <c r="D208" t="s">
        <v>1381</v>
      </c>
      <c r="E208" t="s">
        <v>466</v>
      </c>
      <c r="F208" t="s">
        <v>63</v>
      </c>
      <c r="G208" t="s">
        <v>1382</v>
      </c>
      <c r="H208" t="s">
        <v>657</v>
      </c>
      <c r="I208" t="s">
        <v>66</v>
      </c>
      <c r="J208" t="s">
        <v>971</v>
      </c>
      <c r="K208" t="s">
        <v>1383</v>
      </c>
      <c r="L208" t="s">
        <v>69</v>
      </c>
      <c r="M208" t="s">
        <v>69</v>
      </c>
      <c r="N208" t="s">
        <v>69</v>
      </c>
      <c r="O208" t="s">
        <v>69</v>
      </c>
      <c r="P208" t="s">
        <v>70</v>
      </c>
      <c r="Q208" t="s">
        <v>271</v>
      </c>
      <c r="R208" s="3">
        <v>23</v>
      </c>
      <c r="S208">
        <v>23</v>
      </c>
      <c r="T208" t="s">
        <v>72</v>
      </c>
      <c r="U208" t="s">
        <v>93</v>
      </c>
      <c r="V208" t="s">
        <v>133</v>
      </c>
      <c r="W208" t="s">
        <v>133</v>
      </c>
      <c r="X208">
        <v>3</v>
      </c>
      <c r="Y208">
        <v>3</v>
      </c>
      <c r="Z208">
        <v>3</v>
      </c>
      <c r="AA208">
        <v>4</v>
      </c>
      <c r="AB208">
        <v>3</v>
      </c>
      <c r="AC208">
        <v>3</v>
      </c>
      <c r="AD208">
        <v>3</v>
      </c>
      <c r="AE208">
        <v>3</v>
      </c>
      <c r="AF208">
        <v>3</v>
      </c>
      <c r="AG208">
        <v>3</v>
      </c>
      <c r="AH208">
        <v>4</v>
      </c>
      <c r="AI208">
        <v>3</v>
      </c>
      <c r="AJ208">
        <v>4</v>
      </c>
      <c r="AK208">
        <v>4</v>
      </c>
      <c r="AL208">
        <v>3</v>
      </c>
      <c r="AM208">
        <v>3</v>
      </c>
      <c r="AN208">
        <v>4</v>
      </c>
      <c r="AO208">
        <v>4</v>
      </c>
      <c r="AP208">
        <v>2</v>
      </c>
      <c r="AQ208">
        <v>3</v>
      </c>
      <c r="AR208" t="s">
        <v>69</v>
      </c>
      <c r="AT208">
        <v>0</v>
      </c>
      <c r="AU208" t="s">
        <v>69</v>
      </c>
      <c r="AW208">
        <v>0</v>
      </c>
      <c r="AX208" t="s">
        <v>69</v>
      </c>
      <c r="AY208" t="s">
        <v>83</v>
      </c>
      <c r="AZ208" t="s">
        <v>96</v>
      </c>
      <c r="BA208">
        <v>0</v>
      </c>
      <c r="BB208">
        <v>0</v>
      </c>
      <c r="BC208" t="s">
        <v>248</v>
      </c>
      <c r="BD208" t="s">
        <v>79</v>
      </c>
      <c r="BE208" t="s">
        <v>1384</v>
      </c>
      <c r="BF208" t="s">
        <v>81</v>
      </c>
      <c r="BG208" t="s">
        <v>248</v>
      </c>
      <c r="BH208" t="s">
        <v>79</v>
      </c>
      <c r="BI208" t="s">
        <v>83</v>
      </c>
    </row>
    <row r="209" spans="1:61" x14ac:dyDescent="0.35">
      <c r="A209">
        <v>208</v>
      </c>
      <c r="B209">
        <v>45841.556296296294</v>
      </c>
      <c r="C209" t="s">
        <v>1385</v>
      </c>
      <c r="D209" t="s">
        <v>1386</v>
      </c>
      <c r="E209" t="s">
        <v>63</v>
      </c>
      <c r="F209" t="s">
        <v>86</v>
      </c>
      <c r="G209" t="s">
        <v>1387</v>
      </c>
      <c r="H209" t="s">
        <v>981</v>
      </c>
      <c r="I209" t="s">
        <v>982</v>
      </c>
      <c r="J209" t="s">
        <v>1388</v>
      </c>
      <c r="K209" t="s">
        <v>1389</v>
      </c>
      <c r="L209" t="s">
        <v>69</v>
      </c>
      <c r="M209" t="s">
        <v>69</v>
      </c>
      <c r="N209" t="s">
        <v>69</v>
      </c>
      <c r="O209" t="s">
        <v>69</v>
      </c>
      <c r="P209" t="s">
        <v>70</v>
      </c>
      <c r="Q209" t="s">
        <v>107</v>
      </c>
      <c r="R209" s="3" t="s">
        <v>868</v>
      </c>
      <c r="S209">
        <v>33</v>
      </c>
      <c r="T209" t="s">
        <v>109</v>
      </c>
      <c r="U209" t="s">
        <v>1343</v>
      </c>
      <c r="V209" t="s">
        <v>1007</v>
      </c>
      <c r="W209" t="s">
        <v>143</v>
      </c>
      <c r="X209">
        <v>4</v>
      </c>
      <c r="Y209">
        <v>4</v>
      </c>
      <c r="Z209">
        <v>4</v>
      </c>
      <c r="AA209">
        <v>4</v>
      </c>
      <c r="AB209">
        <v>4</v>
      </c>
      <c r="AC209">
        <v>4</v>
      </c>
      <c r="AD209">
        <v>0</v>
      </c>
      <c r="AE209">
        <v>0</v>
      </c>
      <c r="AF209">
        <v>4</v>
      </c>
      <c r="AG209">
        <v>4</v>
      </c>
      <c r="AH209">
        <v>4</v>
      </c>
      <c r="AI209">
        <v>4</v>
      </c>
      <c r="AJ209">
        <v>4</v>
      </c>
      <c r="AK209">
        <v>4</v>
      </c>
      <c r="AL209">
        <v>4</v>
      </c>
      <c r="AM209">
        <v>4</v>
      </c>
      <c r="AN209">
        <v>4</v>
      </c>
      <c r="AO209">
        <v>4</v>
      </c>
      <c r="AQ209">
        <v>0</v>
      </c>
      <c r="AR209" t="s">
        <v>69</v>
      </c>
      <c r="AT209">
        <v>0</v>
      </c>
      <c r="AU209" t="s">
        <v>75</v>
      </c>
      <c r="AW209">
        <v>0</v>
      </c>
      <c r="AX209" t="s">
        <v>69</v>
      </c>
      <c r="AY209" t="s">
        <v>1390</v>
      </c>
      <c r="AZ209" t="s">
        <v>1162</v>
      </c>
      <c r="BA209">
        <v>1</v>
      </c>
      <c r="BB209">
        <v>4</v>
      </c>
      <c r="BC209" t="s">
        <v>278</v>
      </c>
      <c r="BD209" t="s">
        <v>79</v>
      </c>
      <c r="BE209" t="s">
        <v>985</v>
      </c>
      <c r="BF209" t="s">
        <v>79</v>
      </c>
      <c r="BG209" t="s">
        <v>985</v>
      </c>
      <c r="BH209" t="s">
        <v>79</v>
      </c>
      <c r="BI209" t="s">
        <v>83</v>
      </c>
    </row>
    <row r="210" spans="1:61" x14ac:dyDescent="0.35">
      <c r="A210">
        <v>209</v>
      </c>
      <c r="B210">
        <v>45841.559074074074</v>
      </c>
      <c r="C210" t="s">
        <v>1391</v>
      </c>
      <c r="D210" t="s">
        <v>1392</v>
      </c>
      <c r="E210" t="s">
        <v>63</v>
      </c>
      <c r="F210" t="s">
        <v>125</v>
      </c>
      <c r="G210" t="s">
        <v>1393</v>
      </c>
      <c r="H210" t="s">
        <v>657</v>
      </c>
      <c r="I210" t="s">
        <v>66</v>
      </c>
      <c r="J210" t="s">
        <v>971</v>
      </c>
      <c r="K210" t="s">
        <v>1394</v>
      </c>
      <c r="L210" t="s">
        <v>69</v>
      </c>
      <c r="M210" t="s">
        <v>69</v>
      </c>
      <c r="N210" t="s">
        <v>69</v>
      </c>
      <c r="O210" t="s">
        <v>69</v>
      </c>
      <c r="P210" t="s">
        <v>106</v>
      </c>
      <c r="Q210" t="s">
        <v>271</v>
      </c>
      <c r="R210" s="3">
        <v>23</v>
      </c>
      <c r="S210">
        <v>23</v>
      </c>
      <c r="T210" t="s">
        <v>72</v>
      </c>
      <c r="U210" t="s">
        <v>73</v>
      </c>
      <c r="V210" t="s">
        <v>74</v>
      </c>
      <c r="W210" t="s">
        <v>74</v>
      </c>
      <c r="X210">
        <v>3</v>
      </c>
      <c r="Y210">
        <v>3</v>
      </c>
      <c r="Z210">
        <v>3</v>
      </c>
      <c r="AA210">
        <v>3</v>
      </c>
      <c r="AB210">
        <v>3</v>
      </c>
      <c r="AC210">
        <v>3</v>
      </c>
      <c r="AD210">
        <v>3</v>
      </c>
      <c r="AE210">
        <v>3</v>
      </c>
      <c r="AF210">
        <v>3</v>
      </c>
      <c r="AG210">
        <v>3</v>
      </c>
      <c r="AH210">
        <v>3</v>
      </c>
      <c r="AI210">
        <v>3</v>
      </c>
      <c r="AJ210">
        <v>3</v>
      </c>
      <c r="AK210">
        <v>3</v>
      </c>
      <c r="AL210">
        <v>3</v>
      </c>
      <c r="AM210">
        <v>3</v>
      </c>
      <c r="AN210">
        <v>3</v>
      </c>
      <c r="AO210">
        <v>3</v>
      </c>
      <c r="AP210">
        <v>1</v>
      </c>
      <c r="AQ210">
        <v>4</v>
      </c>
      <c r="AR210" t="s">
        <v>69</v>
      </c>
      <c r="AT210">
        <v>0</v>
      </c>
      <c r="AU210" t="s">
        <v>69</v>
      </c>
      <c r="AW210">
        <v>0</v>
      </c>
      <c r="AX210" t="s">
        <v>69</v>
      </c>
      <c r="AY210" t="s">
        <v>83</v>
      </c>
      <c r="AZ210" t="s">
        <v>96</v>
      </c>
      <c r="BA210">
        <v>0</v>
      </c>
      <c r="BB210">
        <v>0</v>
      </c>
      <c r="BC210" t="s">
        <v>442</v>
      </c>
      <c r="BD210" t="s">
        <v>79</v>
      </c>
      <c r="BE210" t="s">
        <v>1305</v>
      </c>
      <c r="BF210" t="s">
        <v>81</v>
      </c>
      <c r="BG210" t="s">
        <v>248</v>
      </c>
      <c r="BH210" t="s">
        <v>79</v>
      </c>
      <c r="BI210" t="s">
        <v>83</v>
      </c>
    </row>
    <row r="211" spans="1:61" x14ac:dyDescent="0.35">
      <c r="A211">
        <v>210</v>
      </c>
      <c r="B211">
        <v>45841.56050925926</v>
      </c>
      <c r="C211" t="s">
        <v>1395</v>
      </c>
      <c r="D211" t="s">
        <v>1396</v>
      </c>
      <c r="E211" t="s">
        <v>63</v>
      </c>
      <c r="F211" t="s">
        <v>63</v>
      </c>
      <c r="G211" t="s">
        <v>1397</v>
      </c>
      <c r="H211" t="s">
        <v>981</v>
      </c>
      <c r="I211" t="s">
        <v>982</v>
      </c>
      <c r="J211" t="s">
        <v>1398</v>
      </c>
      <c r="K211" t="s">
        <v>1399</v>
      </c>
      <c r="L211" t="s">
        <v>69</v>
      </c>
      <c r="M211" t="s">
        <v>69</v>
      </c>
      <c r="N211" t="s">
        <v>69</v>
      </c>
      <c r="O211" t="s">
        <v>69</v>
      </c>
      <c r="P211" t="s">
        <v>70</v>
      </c>
      <c r="Q211" t="s">
        <v>107</v>
      </c>
      <c r="R211" s="3" t="s">
        <v>561</v>
      </c>
      <c r="S211">
        <v>45</v>
      </c>
      <c r="T211" t="s">
        <v>197</v>
      </c>
      <c r="U211" t="s">
        <v>273</v>
      </c>
      <c r="V211" t="s">
        <v>232</v>
      </c>
      <c r="W211" t="s">
        <v>232</v>
      </c>
      <c r="X211">
        <v>4</v>
      </c>
      <c r="Y211">
        <v>4</v>
      </c>
      <c r="Z211">
        <v>4</v>
      </c>
      <c r="AA211">
        <v>4</v>
      </c>
      <c r="AB211">
        <v>4</v>
      </c>
      <c r="AC211">
        <v>4</v>
      </c>
      <c r="AD211">
        <v>0</v>
      </c>
      <c r="AE211">
        <v>0</v>
      </c>
      <c r="AF211">
        <v>4</v>
      </c>
      <c r="AG211">
        <v>4</v>
      </c>
      <c r="AH211">
        <v>4</v>
      </c>
      <c r="AI211">
        <v>4</v>
      </c>
      <c r="AJ211">
        <v>4</v>
      </c>
      <c r="AK211">
        <v>4</v>
      </c>
      <c r="AL211">
        <v>4</v>
      </c>
      <c r="AM211">
        <v>4</v>
      </c>
      <c r="AN211">
        <v>4</v>
      </c>
      <c r="AO211">
        <v>4</v>
      </c>
      <c r="AQ211">
        <v>0</v>
      </c>
      <c r="AR211" t="s">
        <v>69</v>
      </c>
      <c r="AT211">
        <v>0</v>
      </c>
      <c r="AU211" t="s">
        <v>69</v>
      </c>
      <c r="AW211">
        <v>0</v>
      </c>
      <c r="AX211" t="s">
        <v>69</v>
      </c>
      <c r="AY211" t="s">
        <v>144</v>
      </c>
      <c r="AZ211" t="s">
        <v>144</v>
      </c>
      <c r="BA211">
        <v>1</v>
      </c>
      <c r="BB211">
        <v>4</v>
      </c>
      <c r="BC211" t="s">
        <v>985</v>
      </c>
      <c r="BD211" t="s">
        <v>79</v>
      </c>
      <c r="BE211" t="s">
        <v>985</v>
      </c>
      <c r="BF211" t="s">
        <v>79</v>
      </c>
      <c r="BG211" t="s">
        <v>985</v>
      </c>
      <c r="BH211" t="s">
        <v>79</v>
      </c>
      <c r="BI211" t="s">
        <v>83</v>
      </c>
    </row>
    <row r="212" spans="1:61" x14ac:dyDescent="0.35">
      <c r="A212">
        <v>211</v>
      </c>
      <c r="B212">
        <v>45841.564513888887</v>
      </c>
      <c r="C212" t="s">
        <v>1400</v>
      </c>
      <c r="D212" t="s">
        <v>1401</v>
      </c>
      <c r="E212" t="s">
        <v>63</v>
      </c>
      <c r="F212" t="s">
        <v>1402</v>
      </c>
      <c r="G212" t="s">
        <v>1403</v>
      </c>
      <c r="H212" t="s">
        <v>981</v>
      </c>
      <c r="I212" t="s">
        <v>1404</v>
      </c>
      <c r="J212" t="s">
        <v>1388</v>
      </c>
      <c r="K212" t="s">
        <v>1116</v>
      </c>
      <c r="L212" t="s">
        <v>69</v>
      </c>
      <c r="M212" t="s">
        <v>69</v>
      </c>
      <c r="N212" t="s">
        <v>69</v>
      </c>
      <c r="O212" t="s">
        <v>69</v>
      </c>
      <c r="P212" t="s">
        <v>106</v>
      </c>
      <c r="Q212" t="s">
        <v>107</v>
      </c>
      <c r="R212" s="3" t="s">
        <v>1045</v>
      </c>
      <c r="S212">
        <v>29</v>
      </c>
      <c r="T212" t="s">
        <v>92</v>
      </c>
      <c r="U212" t="s">
        <v>93</v>
      </c>
      <c r="V212" t="s">
        <v>110</v>
      </c>
      <c r="W212" t="s">
        <v>110</v>
      </c>
      <c r="X212">
        <v>4</v>
      </c>
      <c r="Y212">
        <v>4</v>
      </c>
      <c r="Z212">
        <v>4</v>
      </c>
      <c r="AA212">
        <v>4</v>
      </c>
      <c r="AB212">
        <v>4</v>
      </c>
      <c r="AC212">
        <v>4</v>
      </c>
      <c r="AD212">
        <v>0</v>
      </c>
      <c r="AE212">
        <v>0</v>
      </c>
      <c r="AF212">
        <v>4</v>
      </c>
      <c r="AG212">
        <v>4</v>
      </c>
      <c r="AH212">
        <v>4</v>
      </c>
      <c r="AI212">
        <v>4</v>
      </c>
      <c r="AJ212">
        <v>4</v>
      </c>
      <c r="AK212">
        <v>4</v>
      </c>
      <c r="AL212">
        <v>4</v>
      </c>
      <c r="AM212">
        <v>4</v>
      </c>
      <c r="AN212">
        <v>4</v>
      </c>
      <c r="AO212">
        <v>4</v>
      </c>
      <c r="AQ212">
        <v>0</v>
      </c>
      <c r="AR212" t="s">
        <v>69</v>
      </c>
      <c r="AT212">
        <v>0</v>
      </c>
      <c r="AU212" t="s">
        <v>69</v>
      </c>
      <c r="AW212">
        <v>0</v>
      </c>
      <c r="AX212" t="s">
        <v>69</v>
      </c>
      <c r="AY212" t="s">
        <v>1405</v>
      </c>
      <c r="AZ212" t="s">
        <v>1162</v>
      </c>
      <c r="BA212">
        <v>1</v>
      </c>
      <c r="BB212">
        <v>4</v>
      </c>
      <c r="BC212" t="s">
        <v>985</v>
      </c>
      <c r="BD212" t="s">
        <v>79</v>
      </c>
      <c r="BE212" t="s">
        <v>985</v>
      </c>
      <c r="BF212" t="s">
        <v>79</v>
      </c>
      <c r="BG212" t="s">
        <v>1406</v>
      </c>
      <c r="BH212" t="s">
        <v>79</v>
      </c>
      <c r="BI212" t="s">
        <v>83</v>
      </c>
    </row>
    <row r="213" spans="1:61" x14ac:dyDescent="0.35">
      <c r="A213">
        <v>212</v>
      </c>
      <c r="B213">
        <v>45841.566250000003</v>
      </c>
      <c r="C213" t="s">
        <v>1407</v>
      </c>
      <c r="D213" t="s">
        <v>1408</v>
      </c>
      <c r="E213" t="s">
        <v>352</v>
      </c>
      <c r="F213" t="s">
        <v>1409</v>
      </c>
      <c r="G213" t="s">
        <v>1410</v>
      </c>
      <c r="H213" t="s">
        <v>657</v>
      </c>
      <c r="I213" t="s">
        <v>66</v>
      </c>
      <c r="J213" t="s">
        <v>989</v>
      </c>
      <c r="K213" t="s">
        <v>1411</v>
      </c>
      <c r="L213" t="s">
        <v>69</v>
      </c>
      <c r="M213" t="s">
        <v>69</v>
      </c>
      <c r="N213" t="s">
        <v>69</v>
      </c>
      <c r="O213" t="s">
        <v>69</v>
      </c>
      <c r="P213" t="s">
        <v>70</v>
      </c>
      <c r="Q213" t="s">
        <v>271</v>
      </c>
      <c r="R213" s="3">
        <v>20</v>
      </c>
      <c r="S213">
        <v>20</v>
      </c>
      <c r="T213" t="s">
        <v>131</v>
      </c>
      <c r="U213" t="s">
        <v>73</v>
      </c>
      <c r="V213" t="s">
        <v>94</v>
      </c>
      <c r="W213" t="s">
        <v>95</v>
      </c>
      <c r="X213">
        <v>4</v>
      </c>
      <c r="Y213">
        <v>4</v>
      </c>
      <c r="Z213">
        <v>3</v>
      </c>
      <c r="AA213">
        <v>4</v>
      </c>
      <c r="AB213">
        <v>3</v>
      </c>
      <c r="AC213">
        <v>4</v>
      </c>
      <c r="AD213">
        <v>4</v>
      </c>
      <c r="AE213">
        <v>4</v>
      </c>
      <c r="AF213">
        <v>4</v>
      </c>
      <c r="AG213">
        <v>4</v>
      </c>
      <c r="AH213">
        <v>4</v>
      </c>
      <c r="AI213">
        <v>4</v>
      </c>
      <c r="AJ213">
        <v>4</v>
      </c>
      <c r="AK213">
        <v>4</v>
      </c>
      <c r="AL213">
        <v>4</v>
      </c>
      <c r="AM213">
        <v>4</v>
      </c>
      <c r="AN213">
        <v>4</v>
      </c>
      <c r="AO213">
        <v>4</v>
      </c>
      <c r="AQ213">
        <v>0</v>
      </c>
      <c r="AR213" t="s">
        <v>69</v>
      </c>
      <c r="AT213">
        <v>0</v>
      </c>
      <c r="AU213" t="s">
        <v>69</v>
      </c>
      <c r="AW213">
        <v>0</v>
      </c>
      <c r="AX213" t="s">
        <v>69</v>
      </c>
      <c r="AY213" t="s">
        <v>532</v>
      </c>
      <c r="AZ213" t="s">
        <v>77</v>
      </c>
      <c r="BA213">
        <v>1</v>
      </c>
      <c r="BB213">
        <v>4</v>
      </c>
      <c r="BC213" t="s">
        <v>827</v>
      </c>
      <c r="BD213" t="s">
        <v>235</v>
      </c>
      <c r="BE213" t="s">
        <v>96</v>
      </c>
      <c r="BF213" t="s">
        <v>99</v>
      </c>
      <c r="BG213" t="s">
        <v>96</v>
      </c>
      <c r="BH213" t="s">
        <v>99</v>
      </c>
      <c r="BI213" t="s">
        <v>83</v>
      </c>
    </row>
    <row r="214" spans="1:61" x14ac:dyDescent="0.35">
      <c r="A214">
        <v>213</v>
      </c>
      <c r="B214">
        <v>45841.568553240744</v>
      </c>
      <c r="C214" t="s">
        <v>1412</v>
      </c>
      <c r="D214" t="s">
        <v>1413</v>
      </c>
      <c r="E214" t="s">
        <v>63</v>
      </c>
      <c r="F214" t="s">
        <v>63</v>
      </c>
      <c r="G214" t="s">
        <v>1414</v>
      </c>
      <c r="H214" t="s">
        <v>981</v>
      </c>
      <c r="I214" t="s">
        <v>982</v>
      </c>
      <c r="J214" t="s">
        <v>1388</v>
      </c>
      <c r="K214" t="s">
        <v>867</v>
      </c>
      <c r="L214" t="s">
        <v>69</v>
      </c>
      <c r="M214" t="s">
        <v>69</v>
      </c>
      <c r="N214" t="s">
        <v>69</v>
      </c>
      <c r="O214" t="s">
        <v>69</v>
      </c>
      <c r="P214" t="s">
        <v>70</v>
      </c>
      <c r="Q214" t="s">
        <v>107</v>
      </c>
      <c r="R214" s="3" t="s">
        <v>1342</v>
      </c>
      <c r="S214">
        <v>30</v>
      </c>
      <c r="T214" t="s">
        <v>92</v>
      </c>
      <c r="U214" t="s">
        <v>73</v>
      </c>
      <c r="V214" t="s">
        <v>110</v>
      </c>
      <c r="W214" t="s">
        <v>110</v>
      </c>
      <c r="X214">
        <v>4</v>
      </c>
      <c r="Y214">
        <v>4</v>
      </c>
      <c r="Z214">
        <v>4</v>
      </c>
      <c r="AA214">
        <v>4</v>
      </c>
      <c r="AB214">
        <v>4</v>
      </c>
      <c r="AC214">
        <v>4</v>
      </c>
      <c r="AD214">
        <v>0</v>
      </c>
      <c r="AE214">
        <v>0</v>
      </c>
      <c r="AF214">
        <v>4</v>
      </c>
      <c r="AG214">
        <v>4</v>
      </c>
      <c r="AH214">
        <v>4</v>
      </c>
      <c r="AI214">
        <v>4</v>
      </c>
      <c r="AJ214">
        <v>4</v>
      </c>
      <c r="AK214">
        <v>4</v>
      </c>
      <c r="AL214">
        <v>4</v>
      </c>
      <c r="AM214">
        <v>4</v>
      </c>
      <c r="AN214">
        <v>3</v>
      </c>
      <c r="AO214">
        <v>4</v>
      </c>
      <c r="AQ214">
        <v>0</v>
      </c>
      <c r="AR214" t="s">
        <v>69</v>
      </c>
      <c r="AT214">
        <v>0</v>
      </c>
      <c r="AU214" t="s">
        <v>69</v>
      </c>
      <c r="AV214">
        <v>1</v>
      </c>
      <c r="AW214">
        <v>4</v>
      </c>
      <c r="AX214" t="s">
        <v>75</v>
      </c>
      <c r="AY214" t="s">
        <v>83</v>
      </c>
      <c r="AZ214" t="s">
        <v>96</v>
      </c>
      <c r="BA214">
        <v>0</v>
      </c>
      <c r="BB214">
        <v>0</v>
      </c>
      <c r="BC214" t="s">
        <v>985</v>
      </c>
      <c r="BD214" t="s">
        <v>79</v>
      </c>
      <c r="BE214" t="s">
        <v>985</v>
      </c>
      <c r="BF214" t="s">
        <v>79</v>
      </c>
      <c r="BG214" t="s">
        <v>1415</v>
      </c>
      <c r="BH214" t="s">
        <v>190</v>
      </c>
      <c r="BI214" t="s">
        <v>83</v>
      </c>
    </row>
    <row r="215" spans="1:61" x14ac:dyDescent="0.35">
      <c r="A215">
        <v>214</v>
      </c>
      <c r="B215">
        <v>45841.572210648148</v>
      </c>
      <c r="C215" t="s">
        <v>1416</v>
      </c>
      <c r="D215" t="s">
        <v>1417</v>
      </c>
      <c r="E215" t="s">
        <v>63</v>
      </c>
      <c r="F215" t="s">
        <v>63</v>
      </c>
      <c r="G215" t="s">
        <v>1418</v>
      </c>
      <c r="H215" t="s">
        <v>981</v>
      </c>
      <c r="I215" t="s">
        <v>982</v>
      </c>
      <c r="J215" t="s">
        <v>1419</v>
      </c>
      <c r="K215" t="s">
        <v>1085</v>
      </c>
      <c r="L215" t="s">
        <v>69</v>
      </c>
      <c r="M215" t="s">
        <v>69</v>
      </c>
      <c r="N215" t="s">
        <v>69</v>
      </c>
      <c r="O215" t="s">
        <v>69</v>
      </c>
      <c r="P215" t="s">
        <v>106</v>
      </c>
      <c r="Q215" t="s">
        <v>107</v>
      </c>
      <c r="R215" s="3" t="s">
        <v>1342</v>
      </c>
      <c r="S215">
        <v>30</v>
      </c>
      <c r="T215" t="s">
        <v>92</v>
      </c>
      <c r="U215" t="s">
        <v>73</v>
      </c>
      <c r="V215" t="s">
        <v>74</v>
      </c>
      <c r="W215" t="s">
        <v>74</v>
      </c>
      <c r="X215">
        <v>4</v>
      </c>
      <c r="Y215">
        <v>4</v>
      </c>
      <c r="Z215">
        <v>3</v>
      </c>
      <c r="AA215">
        <v>4</v>
      </c>
      <c r="AB215">
        <v>3</v>
      </c>
      <c r="AC215">
        <v>4</v>
      </c>
      <c r="AD215">
        <v>0</v>
      </c>
      <c r="AE215">
        <v>0</v>
      </c>
      <c r="AF215">
        <v>4</v>
      </c>
      <c r="AG215">
        <v>4</v>
      </c>
      <c r="AH215">
        <v>4</v>
      </c>
      <c r="AI215">
        <v>4</v>
      </c>
      <c r="AJ215">
        <v>4</v>
      </c>
      <c r="AK215">
        <v>4</v>
      </c>
      <c r="AL215">
        <v>4</v>
      </c>
      <c r="AM215">
        <v>4</v>
      </c>
      <c r="AN215">
        <v>3</v>
      </c>
      <c r="AO215">
        <v>3</v>
      </c>
      <c r="AQ215">
        <v>0</v>
      </c>
      <c r="AR215" t="s">
        <v>69</v>
      </c>
      <c r="AT215">
        <v>0</v>
      </c>
      <c r="AU215" t="s">
        <v>69</v>
      </c>
      <c r="AW215">
        <v>0</v>
      </c>
      <c r="AX215" t="s">
        <v>69</v>
      </c>
      <c r="AY215" t="s">
        <v>1405</v>
      </c>
      <c r="AZ215" t="s">
        <v>1162</v>
      </c>
      <c r="BA215">
        <v>1</v>
      </c>
      <c r="BB215">
        <v>4</v>
      </c>
      <c r="BC215" t="s">
        <v>985</v>
      </c>
      <c r="BD215" t="s">
        <v>79</v>
      </c>
      <c r="BE215" t="s">
        <v>985</v>
      </c>
      <c r="BF215" t="s">
        <v>79</v>
      </c>
      <c r="BG215" t="s">
        <v>1420</v>
      </c>
      <c r="BH215" t="s">
        <v>190</v>
      </c>
      <c r="BI215" t="s">
        <v>83</v>
      </c>
    </row>
    <row r="216" spans="1:61" x14ac:dyDescent="0.35">
      <c r="A216">
        <v>215</v>
      </c>
      <c r="B216">
        <v>45841.576655092591</v>
      </c>
      <c r="C216" t="s">
        <v>1421</v>
      </c>
      <c r="D216" t="s">
        <v>1422</v>
      </c>
      <c r="E216" t="s">
        <v>63</v>
      </c>
      <c r="F216" t="s">
        <v>480</v>
      </c>
      <c r="G216" t="s">
        <v>1423</v>
      </c>
      <c r="H216" t="s">
        <v>981</v>
      </c>
      <c r="I216" t="s">
        <v>982</v>
      </c>
      <c r="J216" t="s">
        <v>1419</v>
      </c>
      <c r="K216" t="s">
        <v>1424</v>
      </c>
      <c r="L216" t="s">
        <v>69</v>
      </c>
      <c r="M216" t="s">
        <v>69</v>
      </c>
      <c r="N216" t="s">
        <v>69</v>
      </c>
      <c r="O216" t="s">
        <v>69</v>
      </c>
      <c r="P216" t="s">
        <v>106</v>
      </c>
      <c r="Q216" t="s">
        <v>107</v>
      </c>
      <c r="R216" s="3" t="s">
        <v>1342</v>
      </c>
      <c r="S216">
        <v>30</v>
      </c>
      <c r="T216" t="s">
        <v>92</v>
      </c>
      <c r="U216" t="s">
        <v>93</v>
      </c>
      <c r="V216" t="s">
        <v>74</v>
      </c>
      <c r="W216" t="s">
        <v>74</v>
      </c>
      <c r="X216">
        <v>4</v>
      </c>
      <c r="Y216">
        <v>4</v>
      </c>
      <c r="Z216">
        <v>4</v>
      </c>
      <c r="AA216">
        <v>4</v>
      </c>
      <c r="AB216">
        <v>4</v>
      </c>
      <c r="AC216">
        <v>4</v>
      </c>
      <c r="AD216">
        <v>0</v>
      </c>
      <c r="AE216">
        <v>0</v>
      </c>
      <c r="AF216">
        <v>4</v>
      </c>
      <c r="AG216">
        <v>4</v>
      </c>
      <c r="AH216">
        <v>4</v>
      </c>
      <c r="AI216">
        <v>4</v>
      </c>
      <c r="AJ216">
        <v>4</v>
      </c>
      <c r="AK216">
        <v>4</v>
      </c>
      <c r="AL216">
        <v>4</v>
      </c>
      <c r="AM216">
        <v>4</v>
      </c>
      <c r="AN216">
        <v>4</v>
      </c>
      <c r="AO216">
        <v>4</v>
      </c>
      <c r="AQ216">
        <v>0</v>
      </c>
      <c r="AR216" t="s">
        <v>69</v>
      </c>
      <c r="AT216">
        <v>0</v>
      </c>
      <c r="AU216" t="s">
        <v>69</v>
      </c>
      <c r="AW216">
        <v>0</v>
      </c>
      <c r="AX216" t="s">
        <v>69</v>
      </c>
      <c r="AY216" t="s">
        <v>1405</v>
      </c>
      <c r="AZ216" t="s">
        <v>1162</v>
      </c>
      <c r="BA216">
        <v>1</v>
      </c>
      <c r="BB216">
        <v>4</v>
      </c>
      <c r="BC216" t="s">
        <v>985</v>
      </c>
      <c r="BD216" t="s">
        <v>79</v>
      </c>
      <c r="BE216" t="s">
        <v>985</v>
      </c>
      <c r="BF216" t="s">
        <v>79</v>
      </c>
      <c r="BG216" t="s">
        <v>1425</v>
      </c>
      <c r="BH216" t="s">
        <v>79</v>
      </c>
      <c r="BI216" t="s">
        <v>83</v>
      </c>
    </row>
    <row r="217" spans="1:61" x14ac:dyDescent="0.35">
      <c r="A217">
        <v>216</v>
      </c>
      <c r="B217">
        <v>45841.579953703702</v>
      </c>
      <c r="C217" t="s">
        <v>1426</v>
      </c>
      <c r="D217" t="s">
        <v>1427</v>
      </c>
      <c r="E217" t="s">
        <v>63</v>
      </c>
      <c r="F217" t="s">
        <v>63</v>
      </c>
      <c r="G217" t="s">
        <v>1428</v>
      </c>
      <c r="H217" t="s">
        <v>981</v>
      </c>
      <c r="I217" t="s">
        <v>982</v>
      </c>
      <c r="J217" t="s">
        <v>1419</v>
      </c>
      <c r="K217" t="s">
        <v>1107</v>
      </c>
      <c r="L217" t="s">
        <v>69</v>
      </c>
      <c r="M217" t="s">
        <v>69</v>
      </c>
      <c r="N217" t="s">
        <v>69</v>
      </c>
      <c r="O217" t="s">
        <v>69</v>
      </c>
      <c r="P217" t="s">
        <v>106</v>
      </c>
      <c r="Q217" t="s">
        <v>107</v>
      </c>
      <c r="R217" s="3" t="s">
        <v>538</v>
      </c>
      <c r="S217">
        <v>41</v>
      </c>
      <c r="T217" t="s">
        <v>197</v>
      </c>
      <c r="U217" t="s">
        <v>273</v>
      </c>
      <c r="V217" t="s">
        <v>74</v>
      </c>
      <c r="W217" t="s">
        <v>74</v>
      </c>
      <c r="X217">
        <v>4</v>
      </c>
      <c r="Y217">
        <v>4</v>
      </c>
      <c r="Z217">
        <v>4</v>
      </c>
      <c r="AA217">
        <v>4</v>
      </c>
      <c r="AB217">
        <v>4</v>
      </c>
      <c r="AC217">
        <v>4</v>
      </c>
      <c r="AD217">
        <v>0</v>
      </c>
      <c r="AE217">
        <v>0</v>
      </c>
      <c r="AF217">
        <v>4</v>
      </c>
      <c r="AG217">
        <v>4</v>
      </c>
      <c r="AH217">
        <v>4</v>
      </c>
      <c r="AI217">
        <v>4</v>
      </c>
      <c r="AJ217">
        <v>4</v>
      </c>
      <c r="AK217">
        <v>4</v>
      </c>
      <c r="AL217">
        <v>4</v>
      </c>
      <c r="AM217">
        <v>4</v>
      </c>
      <c r="AN217">
        <v>4</v>
      </c>
      <c r="AO217">
        <v>4</v>
      </c>
      <c r="AQ217">
        <v>0</v>
      </c>
      <c r="AR217" t="s">
        <v>69</v>
      </c>
      <c r="AT217">
        <v>0</v>
      </c>
      <c r="AU217" t="s">
        <v>69</v>
      </c>
      <c r="AW217">
        <v>0</v>
      </c>
      <c r="AX217" t="s">
        <v>69</v>
      </c>
      <c r="AY217" t="s">
        <v>1405</v>
      </c>
      <c r="AZ217" t="s">
        <v>1162</v>
      </c>
      <c r="BA217">
        <v>1</v>
      </c>
      <c r="BB217">
        <v>4</v>
      </c>
      <c r="BC217" t="s">
        <v>985</v>
      </c>
      <c r="BD217" t="s">
        <v>79</v>
      </c>
      <c r="BE217" t="s">
        <v>985</v>
      </c>
      <c r="BF217" t="s">
        <v>79</v>
      </c>
      <c r="BG217" t="s">
        <v>985</v>
      </c>
      <c r="BH217" t="s">
        <v>79</v>
      </c>
      <c r="BI217" t="s">
        <v>83</v>
      </c>
    </row>
    <row r="218" spans="1:61" x14ac:dyDescent="0.35">
      <c r="A218">
        <v>217</v>
      </c>
      <c r="B218">
        <v>45841.79583333333</v>
      </c>
      <c r="C218" t="s">
        <v>1429</v>
      </c>
      <c r="D218" t="s">
        <v>1430</v>
      </c>
      <c r="E218" t="s">
        <v>63</v>
      </c>
      <c r="F218" t="s">
        <v>63</v>
      </c>
      <c r="G218" t="s">
        <v>1431</v>
      </c>
      <c r="H218" t="s">
        <v>578</v>
      </c>
      <c r="I218" t="s">
        <v>588</v>
      </c>
      <c r="J218" t="s">
        <v>1432</v>
      </c>
      <c r="K218" t="s">
        <v>913</v>
      </c>
      <c r="L218" t="s">
        <v>69</v>
      </c>
      <c r="M218" t="s">
        <v>69</v>
      </c>
      <c r="N218" t="s">
        <v>69</v>
      </c>
      <c r="O218" t="s">
        <v>69</v>
      </c>
      <c r="P218" t="s">
        <v>70</v>
      </c>
      <c r="Q218" t="s">
        <v>271</v>
      </c>
      <c r="R218" s="3">
        <v>24</v>
      </c>
      <c r="S218">
        <v>24</v>
      </c>
      <c r="T218" t="s">
        <v>72</v>
      </c>
      <c r="U218" t="s">
        <v>93</v>
      </c>
      <c r="V218" t="s">
        <v>110</v>
      </c>
      <c r="W218" t="s">
        <v>110</v>
      </c>
      <c r="X218">
        <v>4</v>
      </c>
      <c r="Y218">
        <v>4</v>
      </c>
      <c r="Z218">
        <v>3</v>
      </c>
      <c r="AA218">
        <v>3</v>
      </c>
      <c r="AB218">
        <v>4</v>
      </c>
      <c r="AC218">
        <v>4</v>
      </c>
      <c r="AD218">
        <v>4</v>
      </c>
      <c r="AE218">
        <v>4</v>
      </c>
      <c r="AF218">
        <v>4</v>
      </c>
      <c r="AG218">
        <v>4</v>
      </c>
      <c r="AH218">
        <v>4</v>
      </c>
      <c r="AI218">
        <v>4</v>
      </c>
      <c r="AJ218">
        <v>4</v>
      </c>
      <c r="AK218">
        <v>4</v>
      </c>
      <c r="AL218">
        <v>4</v>
      </c>
      <c r="AM218">
        <v>4</v>
      </c>
      <c r="AN218">
        <v>3</v>
      </c>
      <c r="AO218">
        <v>3</v>
      </c>
      <c r="AQ218">
        <v>0</v>
      </c>
      <c r="AR218" t="s">
        <v>69</v>
      </c>
      <c r="AT218">
        <v>0</v>
      </c>
      <c r="AU218" t="s">
        <v>69</v>
      </c>
      <c r="AW218">
        <v>0</v>
      </c>
      <c r="AX218" t="s">
        <v>69</v>
      </c>
      <c r="AY218" t="s">
        <v>76</v>
      </c>
      <c r="AZ218" t="s">
        <v>77</v>
      </c>
      <c r="BA218">
        <v>2</v>
      </c>
      <c r="BB218">
        <v>3</v>
      </c>
      <c r="BC218" t="s">
        <v>98</v>
      </c>
      <c r="BD218" t="s">
        <v>99</v>
      </c>
      <c r="BE218" t="s">
        <v>98</v>
      </c>
      <c r="BF218" t="s">
        <v>99</v>
      </c>
      <c r="BG218" t="s">
        <v>1434</v>
      </c>
      <c r="BH218" t="s">
        <v>190</v>
      </c>
      <c r="BI218" t="s">
        <v>83</v>
      </c>
    </row>
    <row r="219" spans="1:61" x14ac:dyDescent="0.35">
      <c r="A219">
        <v>218</v>
      </c>
      <c r="B219">
        <v>45841.799907407411</v>
      </c>
      <c r="C219" t="s">
        <v>1435</v>
      </c>
      <c r="D219" t="s">
        <v>1436</v>
      </c>
      <c r="E219" t="s">
        <v>63</v>
      </c>
      <c r="F219" t="s">
        <v>86</v>
      </c>
      <c r="G219" t="s">
        <v>1437</v>
      </c>
      <c r="H219" t="s">
        <v>578</v>
      </c>
      <c r="I219" t="s">
        <v>596</v>
      </c>
      <c r="J219" t="s">
        <v>1432</v>
      </c>
      <c r="K219" t="s">
        <v>1438</v>
      </c>
      <c r="L219" t="s">
        <v>69</v>
      </c>
      <c r="M219" t="s">
        <v>69</v>
      </c>
      <c r="N219" t="s">
        <v>69</v>
      </c>
      <c r="O219" t="s">
        <v>69</v>
      </c>
      <c r="P219" t="s">
        <v>106</v>
      </c>
      <c r="Q219" t="s">
        <v>271</v>
      </c>
      <c r="R219" s="3">
        <v>18</v>
      </c>
      <c r="S219">
        <v>18</v>
      </c>
      <c r="T219" t="s">
        <v>131</v>
      </c>
      <c r="U219" t="s">
        <v>73</v>
      </c>
      <c r="V219" t="s">
        <v>94</v>
      </c>
      <c r="W219" t="s">
        <v>95</v>
      </c>
      <c r="X219">
        <v>3</v>
      </c>
      <c r="Y219">
        <v>3</v>
      </c>
      <c r="Z219">
        <v>3</v>
      </c>
      <c r="AA219">
        <v>3</v>
      </c>
      <c r="AB219">
        <v>3</v>
      </c>
      <c r="AC219">
        <v>3</v>
      </c>
      <c r="AD219">
        <v>3</v>
      </c>
      <c r="AE219">
        <v>3</v>
      </c>
      <c r="AF219">
        <v>3</v>
      </c>
      <c r="AG219">
        <v>3</v>
      </c>
      <c r="AH219">
        <v>3</v>
      </c>
      <c r="AI219">
        <v>3</v>
      </c>
      <c r="AJ219">
        <v>3</v>
      </c>
      <c r="AK219">
        <v>3</v>
      </c>
      <c r="AL219">
        <v>3</v>
      </c>
      <c r="AM219">
        <v>3</v>
      </c>
      <c r="AN219">
        <v>3</v>
      </c>
      <c r="AO219">
        <v>3</v>
      </c>
      <c r="AQ219">
        <v>0</v>
      </c>
      <c r="AR219" t="s">
        <v>69</v>
      </c>
      <c r="AT219">
        <v>0</v>
      </c>
      <c r="AU219" t="s">
        <v>69</v>
      </c>
      <c r="AW219">
        <v>0</v>
      </c>
      <c r="AX219" t="s">
        <v>69</v>
      </c>
      <c r="AY219" t="s">
        <v>76</v>
      </c>
      <c r="AZ219" t="s">
        <v>77</v>
      </c>
      <c r="BA219">
        <v>2</v>
      </c>
      <c r="BB219">
        <v>3</v>
      </c>
      <c r="BC219" t="s">
        <v>1439</v>
      </c>
      <c r="BD219" t="s">
        <v>433</v>
      </c>
      <c r="BE219" t="s">
        <v>1440</v>
      </c>
      <c r="BF219" t="s">
        <v>112</v>
      </c>
      <c r="BG219" t="s">
        <v>1441</v>
      </c>
      <c r="BH219" t="s">
        <v>146</v>
      </c>
      <c r="BI219" t="s">
        <v>1442</v>
      </c>
    </row>
    <row r="220" spans="1:61" x14ac:dyDescent="0.35">
      <c r="A220">
        <v>219</v>
      </c>
      <c r="B220">
        <v>45841.804988425924</v>
      </c>
      <c r="C220" t="s">
        <v>1443</v>
      </c>
      <c r="D220" t="s">
        <v>1444</v>
      </c>
      <c r="E220" t="s">
        <v>63</v>
      </c>
      <c r="F220" t="s">
        <v>136</v>
      </c>
      <c r="G220" t="s">
        <v>1445</v>
      </c>
      <c r="H220" t="s">
        <v>578</v>
      </c>
      <c r="I220" t="s">
        <v>596</v>
      </c>
      <c r="J220" t="s">
        <v>1446</v>
      </c>
      <c r="K220" t="s">
        <v>314</v>
      </c>
      <c r="L220" t="s">
        <v>69</v>
      </c>
      <c r="M220" t="s">
        <v>69</v>
      </c>
      <c r="N220" t="s">
        <v>69</v>
      </c>
      <c r="O220" t="s">
        <v>69</v>
      </c>
      <c r="P220" t="s">
        <v>70</v>
      </c>
      <c r="Q220" t="s">
        <v>271</v>
      </c>
      <c r="R220" s="3">
        <v>18</v>
      </c>
      <c r="S220">
        <v>18</v>
      </c>
      <c r="T220" t="s">
        <v>131</v>
      </c>
      <c r="U220" t="s">
        <v>73</v>
      </c>
      <c r="V220" t="s">
        <v>94</v>
      </c>
      <c r="W220" t="s">
        <v>95</v>
      </c>
      <c r="X220">
        <v>3</v>
      </c>
      <c r="Y220">
        <v>3</v>
      </c>
      <c r="Z220">
        <v>3</v>
      </c>
      <c r="AA220">
        <v>3</v>
      </c>
      <c r="AB220">
        <v>3</v>
      </c>
      <c r="AC220">
        <v>3</v>
      </c>
      <c r="AD220">
        <v>3</v>
      </c>
      <c r="AE220">
        <v>3</v>
      </c>
      <c r="AF220">
        <v>4</v>
      </c>
      <c r="AG220">
        <v>4</v>
      </c>
      <c r="AH220">
        <v>4</v>
      </c>
      <c r="AI220">
        <v>4</v>
      </c>
      <c r="AJ220">
        <v>4</v>
      </c>
      <c r="AK220">
        <v>4</v>
      </c>
      <c r="AL220">
        <v>3</v>
      </c>
      <c r="AM220">
        <v>3</v>
      </c>
      <c r="AN220">
        <v>3</v>
      </c>
      <c r="AO220">
        <v>3</v>
      </c>
      <c r="AQ220">
        <v>0</v>
      </c>
      <c r="AR220" t="s">
        <v>69</v>
      </c>
      <c r="AT220">
        <v>0</v>
      </c>
      <c r="AU220" t="s">
        <v>69</v>
      </c>
      <c r="AW220">
        <v>0</v>
      </c>
      <c r="AX220" t="s">
        <v>69</v>
      </c>
      <c r="AY220" t="s">
        <v>631</v>
      </c>
      <c r="AZ220" t="s">
        <v>77</v>
      </c>
      <c r="BA220">
        <v>2</v>
      </c>
      <c r="BB220">
        <v>3</v>
      </c>
      <c r="BC220" t="s">
        <v>1447</v>
      </c>
      <c r="BD220" t="s">
        <v>79</v>
      </c>
      <c r="BE220" t="s">
        <v>1448</v>
      </c>
      <c r="BF220" t="s">
        <v>421</v>
      </c>
      <c r="BG220" t="s">
        <v>503</v>
      </c>
      <c r="BH220" t="s">
        <v>79</v>
      </c>
      <c r="BI220" t="s">
        <v>83</v>
      </c>
    </row>
    <row r="221" spans="1:61" x14ac:dyDescent="0.35">
      <c r="A221">
        <v>220</v>
      </c>
      <c r="B221">
        <v>45841.80704861111</v>
      </c>
      <c r="C221" t="s">
        <v>1449</v>
      </c>
      <c r="D221" t="s">
        <v>1450</v>
      </c>
      <c r="E221" t="s">
        <v>63</v>
      </c>
      <c r="F221" t="s">
        <v>136</v>
      </c>
      <c r="G221" t="s">
        <v>1451</v>
      </c>
      <c r="H221" t="s">
        <v>138</v>
      </c>
      <c r="I221" t="s">
        <v>139</v>
      </c>
      <c r="J221" t="s">
        <v>1213</v>
      </c>
      <c r="K221" t="s">
        <v>141</v>
      </c>
      <c r="L221" t="s">
        <v>69</v>
      </c>
      <c r="M221" t="s">
        <v>69</v>
      </c>
      <c r="N221" t="s">
        <v>69</v>
      </c>
      <c r="O221" t="s">
        <v>69</v>
      </c>
      <c r="P221" t="s">
        <v>70</v>
      </c>
      <c r="Q221" t="s">
        <v>107</v>
      </c>
      <c r="R221" s="3">
        <v>22</v>
      </c>
      <c r="S221">
        <v>22</v>
      </c>
      <c r="T221" t="s">
        <v>72</v>
      </c>
      <c r="U221" t="s">
        <v>73</v>
      </c>
      <c r="V221" t="s">
        <v>94</v>
      </c>
      <c r="W221" t="s">
        <v>95</v>
      </c>
      <c r="X221">
        <v>3</v>
      </c>
      <c r="Y221">
        <v>3</v>
      </c>
      <c r="Z221">
        <v>3</v>
      </c>
      <c r="AA221">
        <v>3</v>
      </c>
      <c r="AB221">
        <v>4</v>
      </c>
      <c r="AC221">
        <v>3</v>
      </c>
      <c r="AD221">
        <v>4</v>
      </c>
      <c r="AE221">
        <v>4</v>
      </c>
      <c r="AF221">
        <v>3</v>
      </c>
      <c r="AG221">
        <v>3</v>
      </c>
      <c r="AH221">
        <v>3</v>
      </c>
      <c r="AI221">
        <v>3</v>
      </c>
      <c r="AJ221">
        <v>3</v>
      </c>
      <c r="AK221">
        <v>3</v>
      </c>
      <c r="AL221">
        <v>3</v>
      </c>
      <c r="AM221">
        <v>3</v>
      </c>
      <c r="AN221">
        <v>3</v>
      </c>
      <c r="AO221">
        <v>3</v>
      </c>
      <c r="AP221">
        <v>1</v>
      </c>
      <c r="AQ221">
        <v>4</v>
      </c>
      <c r="AR221" t="s">
        <v>75</v>
      </c>
      <c r="AT221">
        <v>0</v>
      </c>
      <c r="AU221" t="s">
        <v>69</v>
      </c>
      <c r="AW221">
        <v>0</v>
      </c>
      <c r="AX221" t="s">
        <v>69</v>
      </c>
      <c r="AY221" t="s">
        <v>83</v>
      </c>
      <c r="AZ221" t="s">
        <v>96</v>
      </c>
      <c r="BA221">
        <v>0</v>
      </c>
      <c r="BB221">
        <v>0</v>
      </c>
      <c r="BC221" t="s">
        <v>98</v>
      </c>
      <c r="BD221" t="s">
        <v>99</v>
      </c>
      <c r="BE221" t="s">
        <v>98</v>
      </c>
      <c r="BF221" t="s">
        <v>99</v>
      </c>
      <c r="BG221" t="s">
        <v>98</v>
      </c>
      <c r="BH221" t="s">
        <v>99</v>
      </c>
      <c r="BI221" t="s">
        <v>1452</v>
      </c>
    </row>
    <row r="222" spans="1:61" x14ac:dyDescent="0.35">
      <c r="A222">
        <v>221</v>
      </c>
      <c r="B222">
        <v>45841.808032407411</v>
      </c>
      <c r="C222" t="s">
        <v>1453</v>
      </c>
      <c r="D222" t="s">
        <v>179</v>
      </c>
      <c r="E222" t="s">
        <v>63</v>
      </c>
      <c r="F222" t="s">
        <v>63</v>
      </c>
      <c r="G222" t="s">
        <v>1454</v>
      </c>
      <c r="H222" t="s">
        <v>578</v>
      </c>
      <c r="I222" t="s">
        <v>596</v>
      </c>
      <c r="J222" t="s">
        <v>1432</v>
      </c>
      <c r="K222" t="s">
        <v>818</v>
      </c>
      <c r="L222" t="s">
        <v>69</v>
      </c>
      <c r="M222" t="s">
        <v>69</v>
      </c>
      <c r="N222" t="s">
        <v>69</v>
      </c>
      <c r="O222" t="s">
        <v>69</v>
      </c>
      <c r="P222" t="s">
        <v>106</v>
      </c>
      <c r="Q222" t="s">
        <v>271</v>
      </c>
      <c r="R222" s="3">
        <v>18</v>
      </c>
      <c r="S222">
        <v>18</v>
      </c>
      <c r="T222" t="s">
        <v>131</v>
      </c>
      <c r="U222" t="s">
        <v>73</v>
      </c>
      <c r="V222" t="s">
        <v>94</v>
      </c>
      <c r="W222" t="s">
        <v>95</v>
      </c>
      <c r="X222">
        <v>3</v>
      </c>
      <c r="Y222">
        <v>3</v>
      </c>
      <c r="Z222">
        <v>3</v>
      </c>
      <c r="AA222">
        <v>3</v>
      </c>
      <c r="AB222">
        <v>4</v>
      </c>
      <c r="AC222">
        <v>4</v>
      </c>
      <c r="AD222">
        <v>4</v>
      </c>
      <c r="AE222">
        <v>4</v>
      </c>
      <c r="AF222">
        <v>4</v>
      </c>
      <c r="AG222">
        <v>4</v>
      </c>
      <c r="AH222">
        <v>4</v>
      </c>
      <c r="AI222">
        <v>4</v>
      </c>
      <c r="AJ222">
        <v>4</v>
      </c>
      <c r="AK222">
        <v>4</v>
      </c>
      <c r="AL222">
        <v>3</v>
      </c>
      <c r="AM222">
        <v>3</v>
      </c>
      <c r="AN222">
        <v>3</v>
      </c>
      <c r="AO222">
        <v>3</v>
      </c>
      <c r="AP222">
        <v>2</v>
      </c>
      <c r="AQ222">
        <v>3</v>
      </c>
      <c r="AR222" t="s">
        <v>75</v>
      </c>
      <c r="AT222">
        <v>0</v>
      </c>
      <c r="AU222" t="s">
        <v>69</v>
      </c>
      <c r="AW222">
        <v>0</v>
      </c>
      <c r="AX222" t="s">
        <v>69</v>
      </c>
      <c r="AY222" t="s">
        <v>83</v>
      </c>
      <c r="AZ222" t="s">
        <v>96</v>
      </c>
      <c r="BA222">
        <v>0</v>
      </c>
      <c r="BB222">
        <v>0</v>
      </c>
      <c r="BC222" t="s">
        <v>1455</v>
      </c>
      <c r="BD222" t="s">
        <v>235</v>
      </c>
      <c r="BE222" t="s">
        <v>98</v>
      </c>
      <c r="BF222" t="s">
        <v>99</v>
      </c>
      <c r="BG222" t="s">
        <v>98</v>
      </c>
      <c r="BH222" t="s">
        <v>99</v>
      </c>
      <c r="BI222" t="s">
        <v>83</v>
      </c>
    </row>
    <row r="223" spans="1:61" x14ac:dyDescent="0.35">
      <c r="A223">
        <v>222</v>
      </c>
      <c r="B223">
        <v>45841.81040509259</v>
      </c>
      <c r="C223" t="s">
        <v>1456</v>
      </c>
      <c r="D223" t="s">
        <v>1457</v>
      </c>
      <c r="E223" t="s">
        <v>63</v>
      </c>
      <c r="F223" t="s">
        <v>136</v>
      </c>
      <c r="G223" t="s">
        <v>1458</v>
      </c>
      <c r="H223" t="s">
        <v>210</v>
      </c>
      <c r="I223" t="s">
        <v>211</v>
      </c>
      <c r="J223" t="s">
        <v>1213</v>
      </c>
      <c r="K223" t="s">
        <v>1459</v>
      </c>
      <c r="L223" t="s">
        <v>69</v>
      </c>
      <c r="M223" t="s">
        <v>69</v>
      </c>
      <c r="N223" t="s">
        <v>69</v>
      </c>
      <c r="O223" t="s">
        <v>69</v>
      </c>
      <c r="P223" t="s">
        <v>106</v>
      </c>
      <c r="Q223" t="s">
        <v>107</v>
      </c>
      <c r="R223" s="3">
        <v>26</v>
      </c>
      <c r="S223">
        <v>26</v>
      </c>
      <c r="T223" t="s">
        <v>92</v>
      </c>
      <c r="U223" t="s">
        <v>93</v>
      </c>
      <c r="V223" t="s">
        <v>74</v>
      </c>
      <c r="W223" t="s">
        <v>74</v>
      </c>
      <c r="X223">
        <v>3</v>
      </c>
      <c r="Y223">
        <v>3</v>
      </c>
      <c r="Z223">
        <v>3</v>
      </c>
      <c r="AA223">
        <v>3</v>
      </c>
      <c r="AB223">
        <v>3</v>
      </c>
      <c r="AC223">
        <v>3</v>
      </c>
      <c r="AD223">
        <v>4</v>
      </c>
      <c r="AE223">
        <v>4</v>
      </c>
      <c r="AF223">
        <v>3</v>
      </c>
      <c r="AG223">
        <v>3</v>
      </c>
      <c r="AH223">
        <v>3</v>
      </c>
      <c r="AI223">
        <v>3</v>
      </c>
      <c r="AJ223">
        <v>3</v>
      </c>
      <c r="AK223">
        <v>3</v>
      </c>
      <c r="AL223">
        <v>3</v>
      </c>
      <c r="AM223">
        <v>3</v>
      </c>
      <c r="AN223">
        <v>3</v>
      </c>
      <c r="AO223">
        <v>3</v>
      </c>
      <c r="AQ223">
        <v>0</v>
      </c>
      <c r="AR223" t="s">
        <v>69</v>
      </c>
      <c r="AT223">
        <v>0</v>
      </c>
      <c r="AU223" t="s">
        <v>69</v>
      </c>
      <c r="AW223">
        <v>0</v>
      </c>
      <c r="AX223" t="s">
        <v>69</v>
      </c>
      <c r="AY223" t="s">
        <v>144</v>
      </c>
      <c r="AZ223" t="s">
        <v>144</v>
      </c>
      <c r="BA223">
        <v>2</v>
      </c>
      <c r="BB223">
        <v>3</v>
      </c>
      <c r="BC223" t="s">
        <v>98</v>
      </c>
      <c r="BD223" t="s">
        <v>99</v>
      </c>
      <c r="BE223" t="s">
        <v>98</v>
      </c>
      <c r="BF223" t="s">
        <v>99</v>
      </c>
      <c r="BG223" t="s">
        <v>98</v>
      </c>
      <c r="BH223" t="s">
        <v>99</v>
      </c>
      <c r="BI223" t="s">
        <v>98</v>
      </c>
    </row>
    <row r="224" spans="1:61" x14ac:dyDescent="0.35">
      <c r="A224">
        <v>223</v>
      </c>
      <c r="B224">
        <v>45841.81113425926</v>
      </c>
      <c r="C224" t="s">
        <v>1460</v>
      </c>
      <c r="D224" t="s">
        <v>1461</v>
      </c>
      <c r="E224" t="s">
        <v>63</v>
      </c>
      <c r="F224" t="s">
        <v>338</v>
      </c>
      <c r="G224" t="s">
        <v>1462</v>
      </c>
      <c r="H224" t="s">
        <v>578</v>
      </c>
      <c r="I224" t="s">
        <v>596</v>
      </c>
      <c r="J224" t="s">
        <v>1432</v>
      </c>
      <c r="K224" t="s">
        <v>1463</v>
      </c>
      <c r="L224" t="s">
        <v>69</v>
      </c>
      <c r="M224" t="s">
        <v>69</v>
      </c>
      <c r="N224" t="s">
        <v>69</v>
      </c>
      <c r="O224" t="s">
        <v>69</v>
      </c>
      <c r="P224" t="s">
        <v>106</v>
      </c>
      <c r="Q224" t="s">
        <v>271</v>
      </c>
      <c r="R224" s="3">
        <v>28</v>
      </c>
      <c r="S224">
        <v>28</v>
      </c>
      <c r="T224" t="s">
        <v>92</v>
      </c>
      <c r="U224" t="s">
        <v>73</v>
      </c>
      <c r="V224" t="s">
        <v>74</v>
      </c>
      <c r="W224" t="s">
        <v>74</v>
      </c>
      <c r="X224">
        <v>3</v>
      </c>
      <c r="Y224">
        <v>3</v>
      </c>
      <c r="Z224">
        <v>4</v>
      </c>
      <c r="AA224">
        <v>4</v>
      </c>
      <c r="AB224">
        <v>4</v>
      </c>
      <c r="AC224">
        <v>4</v>
      </c>
      <c r="AD224">
        <v>4</v>
      </c>
      <c r="AE224">
        <v>4</v>
      </c>
      <c r="AF224">
        <v>4</v>
      </c>
      <c r="AG224">
        <v>4</v>
      </c>
      <c r="AH224">
        <v>4</v>
      </c>
      <c r="AI224">
        <v>4</v>
      </c>
      <c r="AJ224">
        <v>4</v>
      </c>
      <c r="AK224">
        <v>4</v>
      </c>
      <c r="AL224">
        <v>4</v>
      </c>
      <c r="AM224">
        <v>4</v>
      </c>
      <c r="AN224">
        <v>3</v>
      </c>
      <c r="AO224">
        <v>4</v>
      </c>
      <c r="AQ224">
        <v>0</v>
      </c>
      <c r="AR224" t="s">
        <v>69</v>
      </c>
      <c r="AS224">
        <v>2</v>
      </c>
      <c r="AT224">
        <v>3</v>
      </c>
      <c r="AU224" t="s">
        <v>75</v>
      </c>
      <c r="AW224">
        <v>0</v>
      </c>
      <c r="AX224" t="s">
        <v>69</v>
      </c>
      <c r="AY224" t="s">
        <v>83</v>
      </c>
      <c r="AZ224" t="s">
        <v>96</v>
      </c>
      <c r="BA224">
        <v>0</v>
      </c>
      <c r="BB224">
        <v>0</v>
      </c>
      <c r="BC224" t="s">
        <v>1465</v>
      </c>
      <c r="BD224" t="s">
        <v>99</v>
      </c>
      <c r="BE224" t="s">
        <v>98</v>
      </c>
      <c r="BF224" t="s">
        <v>99</v>
      </c>
      <c r="BG224" t="s">
        <v>98</v>
      </c>
      <c r="BH224" t="s">
        <v>99</v>
      </c>
      <c r="BI224" t="s">
        <v>83</v>
      </c>
    </row>
    <row r="225" spans="1:61" x14ac:dyDescent="0.35">
      <c r="A225">
        <v>224</v>
      </c>
      <c r="B225">
        <v>45841.82534722222</v>
      </c>
      <c r="C225" t="s">
        <v>1466</v>
      </c>
      <c r="D225" t="s">
        <v>1467</v>
      </c>
      <c r="E225" t="s">
        <v>1468</v>
      </c>
      <c r="F225" t="s">
        <v>1469</v>
      </c>
      <c r="G225" t="s">
        <v>1470</v>
      </c>
      <c r="H225" t="s">
        <v>210</v>
      </c>
      <c r="I225" t="s">
        <v>211</v>
      </c>
      <c r="J225" t="s">
        <v>703</v>
      </c>
      <c r="K225" t="s">
        <v>1471</v>
      </c>
      <c r="L225" t="s">
        <v>69</v>
      </c>
      <c r="M225" t="s">
        <v>69</v>
      </c>
      <c r="N225" t="s">
        <v>69</v>
      </c>
      <c r="O225" t="s">
        <v>69</v>
      </c>
      <c r="P225" t="s">
        <v>106</v>
      </c>
      <c r="Q225" t="s">
        <v>107</v>
      </c>
      <c r="R225" s="3">
        <v>59</v>
      </c>
      <c r="S225">
        <v>59</v>
      </c>
      <c r="T225" t="s">
        <v>182</v>
      </c>
      <c r="U225" t="s">
        <v>273</v>
      </c>
      <c r="V225" t="s">
        <v>74</v>
      </c>
      <c r="W225" t="s">
        <v>74</v>
      </c>
      <c r="X225">
        <v>3</v>
      </c>
      <c r="Y225">
        <v>3</v>
      </c>
      <c r="Z225">
        <v>4</v>
      </c>
      <c r="AA225">
        <v>4</v>
      </c>
      <c r="AB225">
        <v>4</v>
      </c>
      <c r="AC225">
        <v>4</v>
      </c>
      <c r="AD225">
        <v>3</v>
      </c>
      <c r="AE225">
        <v>3</v>
      </c>
      <c r="AF225">
        <v>4</v>
      </c>
      <c r="AG225">
        <v>4</v>
      </c>
      <c r="AH225">
        <v>4</v>
      </c>
      <c r="AI225">
        <v>4</v>
      </c>
      <c r="AJ225">
        <v>4</v>
      </c>
      <c r="AK225">
        <v>4</v>
      </c>
      <c r="AL225">
        <v>4</v>
      </c>
      <c r="AM225">
        <v>4</v>
      </c>
      <c r="AN225">
        <v>4</v>
      </c>
      <c r="AO225">
        <v>4</v>
      </c>
      <c r="AQ225">
        <v>0</v>
      </c>
      <c r="AR225" t="s">
        <v>69</v>
      </c>
      <c r="AT225">
        <v>0</v>
      </c>
      <c r="AU225" t="s">
        <v>69</v>
      </c>
      <c r="AW225">
        <v>0</v>
      </c>
      <c r="AX225" t="s">
        <v>69</v>
      </c>
      <c r="AY225" t="s">
        <v>1472</v>
      </c>
      <c r="AZ225" t="s">
        <v>186</v>
      </c>
      <c r="BA225">
        <v>1</v>
      </c>
      <c r="BB225">
        <v>4</v>
      </c>
      <c r="BC225" t="s">
        <v>98</v>
      </c>
      <c r="BD225" t="s">
        <v>99</v>
      </c>
      <c r="BE225" t="s">
        <v>98</v>
      </c>
      <c r="BF225" t="s">
        <v>99</v>
      </c>
      <c r="BG225" t="s">
        <v>98</v>
      </c>
      <c r="BH225" t="s">
        <v>99</v>
      </c>
      <c r="BI225" t="s">
        <v>98</v>
      </c>
    </row>
    <row r="226" spans="1:61" x14ac:dyDescent="0.35">
      <c r="A226">
        <v>225</v>
      </c>
      <c r="B226">
        <v>45841.829062500001</v>
      </c>
      <c r="C226" t="s">
        <v>1473</v>
      </c>
      <c r="D226" t="s">
        <v>1474</v>
      </c>
      <c r="E226" t="s">
        <v>63</v>
      </c>
      <c r="F226" t="s">
        <v>136</v>
      </c>
      <c r="G226" t="s">
        <v>1475</v>
      </c>
      <c r="H226" t="s">
        <v>210</v>
      </c>
      <c r="I226" t="s">
        <v>211</v>
      </c>
      <c r="J226" t="s">
        <v>1213</v>
      </c>
      <c r="K226" t="s">
        <v>1476</v>
      </c>
      <c r="L226" t="s">
        <v>69</v>
      </c>
      <c r="M226" t="s">
        <v>69</v>
      </c>
      <c r="N226" t="s">
        <v>69</v>
      </c>
      <c r="O226" t="s">
        <v>69</v>
      </c>
      <c r="P226" t="s">
        <v>70</v>
      </c>
      <c r="Q226" t="s">
        <v>107</v>
      </c>
      <c r="R226" s="3">
        <v>25</v>
      </c>
      <c r="S226">
        <v>25</v>
      </c>
      <c r="T226" t="s">
        <v>72</v>
      </c>
      <c r="U226" t="s">
        <v>73</v>
      </c>
      <c r="V226" t="s">
        <v>110</v>
      </c>
      <c r="W226" t="s">
        <v>110</v>
      </c>
      <c r="X226">
        <v>4</v>
      </c>
      <c r="Y226">
        <v>4</v>
      </c>
      <c r="Z226">
        <v>4</v>
      </c>
      <c r="AA226">
        <v>4</v>
      </c>
      <c r="AB226">
        <v>4</v>
      </c>
      <c r="AC226">
        <v>4</v>
      </c>
      <c r="AD226">
        <v>4</v>
      </c>
      <c r="AE226">
        <v>4</v>
      </c>
      <c r="AF226">
        <v>4</v>
      </c>
      <c r="AG226">
        <v>4</v>
      </c>
      <c r="AH226">
        <v>4</v>
      </c>
      <c r="AI226">
        <v>4</v>
      </c>
      <c r="AJ226">
        <v>4</v>
      </c>
      <c r="AK226">
        <v>4</v>
      </c>
      <c r="AL226">
        <v>4</v>
      </c>
      <c r="AM226">
        <v>4</v>
      </c>
      <c r="AN226">
        <v>4</v>
      </c>
      <c r="AO226">
        <v>4</v>
      </c>
      <c r="AQ226">
        <v>0</v>
      </c>
      <c r="AR226" t="s">
        <v>69</v>
      </c>
      <c r="AT226">
        <v>0</v>
      </c>
      <c r="AU226" t="s">
        <v>69</v>
      </c>
      <c r="AW226">
        <v>0</v>
      </c>
      <c r="AX226" t="s">
        <v>69</v>
      </c>
      <c r="AY226" t="s">
        <v>5</v>
      </c>
      <c r="AZ226" t="s">
        <v>450</v>
      </c>
      <c r="BA226">
        <v>2</v>
      </c>
      <c r="BB226">
        <v>3</v>
      </c>
      <c r="BC226" t="s">
        <v>98</v>
      </c>
      <c r="BD226" t="s">
        <v>99</v>
      </c>
      <c r="BE226" t="s">
        <v>98</v>
      </c>
      <c r="BF226" t="s">
        <v>99</v>
      </c>
      <c r="BG226" t="s">
        <v>98</v>
      </c>
      <c r="BH226" t="s">
        <v>99</v>
      </c>
      <c r="BI226" t="s">
        <v>98</v>
      </c>
    </row>
    <row r="227" spans="1:61" x14ac:dyDescent="0.35">
      <c r="A227">
        <v>226</v>
      </c>
      <c r="B227">
        <v>45841.862337962964</v>
      </c>
      <c r="C227" t="s">
        <v>1477</v>
      </c>
      <c r="D227" t="s">
        <v>1478</v>
      </c>
      <c r="E227" t="s">
        <v>63</v>
      </c>
      <c r="F227" t="s">
        <v>136</v>
      </c>
      <c r="G227" t="s">
        <v>1479</v>
      </c>
      <c r="H227" t="s">
        <v>210</v>
      </c>
      <c r="I227" t="s">
        <v>211</v>
      </c>
      <c r="J227" t="s">
        <v>1480</v>
      </c>
      <c r="K227" t="s">
        <v>1481</v>
      </c>
      <c r="L227" t="s">
        <v>69</v>
      </c>
      <c r="M227" t="s">
        <v>69</v>
      </c>
      <c r="N227" t="s">
        <v>69</v>
      </c>
      <c r="O227" t="s">
        <v>69</v>
      </c>
      <c r="P227" t="s">
        <v>106</v>
      </c>
      <c r="Q227" t="s">
        <v>107</v>
      </c>
      <c r="R227" s="3">
        <v>42</v>
      </c>
      <c r="S227">
        <v>42</v>
      </c>
      <c r="T227" t="s">
        <v>197</v>
      </c>
      <c r="U227" t="s">
        <v>73</v>
      </c>
      <c r="V227" t="s">
        <v>74</v>
      </c>
      <c r="W227" t="s">
        <v>74</v>
      </c>
      <c r="X227">
        <v>3</v>
      </c>
      <c r="Y227">
        <v>3</v>
      </c>
      <c r="Z227">
        <v>3</v>
      </c>
      <c r="AA227">
        <v>3</v>
      </c>
      <c r="AB227">
        <v>3</v>
      </c>
      <c r="AC227">
        <v>3</v>
      </c>
      <c r="AD227">
        <v>3</v>
      </c>
      <c r="AE227">
        <v>3</v>
      </c>
      <c r="AF227">
        <v>4</v>
      </c>
      <c r="AG227">
        <v>4</v>
      </c>
      <c r="AH227">
        <v>3</v>
      </c>
      <c r="AI227">
        <v>3</v>
      </c>
      <c r="AJ227">
        <v>3</v>
      </c>
      <c r="AK227">
        <v>3</v>
      </c>
      <c r="AL227">
        <v>3</v>
      </c>
      <c r="AM227">
        <v>3</v>
      </c>
      <c r="AN227">
        <v>3</v>
      </c>
      <c r="AO227">
        <v>3</v>
      </c>
      <c r="AQ227">
        <v>0</v>
      </c>
      <c r="AR227" t="s">
        <v>69</v>
      </c>
      <c r="AT227">
        <v>0</v>
      </c>
      <c r="AU227" t="s">
        <v>69</v>
      </c>
      <c r="AW227">
        <v>0</v>
      </c>
      <c r="AX227" t="s">
        <v>69</v>
      </c>
      <c r="AY227" t="s">
        <v>144</v>
      </c>
      <c r="AZ227" t="s">
        <v>144</v>
      </c>
      <c r="BA227">
        <v>2</v>
      </c>
      <c r="BB227">
        <v>3</v>
      </c>
      <c r="BC227" t="s">
        <v>98</v>
      </c>
      <c r="BD227" t="s">
        <v>99</v>
      </c>
      <c r="BE227" t="s">
        <v>98</v>
      </c>
      <c r="BF227" t="s">
        <v>99</v>
      </c>
      <c r="BG227" t="s">
        <v>1482</v>
      </c>
      <c r="BH227" t="s">
        <v>1483</v>
      </c>
      <c r="BI227" t="s">
        <v>98</v>
      </c>
    </row>
    <row r="228" spans="1:61" x14ac:dyDescent="0.35">
      <c r="A228">
        <v>227</v>
      </c>
      <c r="B228">
        <v>45841.86613425926</v>
      </c>
      <c r="C228" t="s">
        <v>1484</v>
      </c>
      <c r="D228" t="s">
        <v>1485</v>
      </c>
      <c r="E228" t="s">
        <v>1486</v>
      </c>
      <c r="F228" t="s">
        <v>136</v>
      </c>
      <c r="G228" t="s">
        <v>1487</v>
      </c>
      <c r="H228" t="s">
        <v>210</v>
      </c>
      <c r="I228" t="s">
        <v>211</v>
      </c>
      <c r="J228" t="s">
        <v>1480</v>
      </c>
      <c r="K228" t="s">
        <v>1488</v>
      </c>
      <c r="L228" t="s">
        <v>69</v>
      </c>
      <c r="M228" t="s">
        <v>69</v>
      </c>
      <c r="N228" t="s">
        <v>69</v>
      </c>
      <c r="O228" t="s">
        <v>69</v>
      </c>
      <c r="P228" t="s">
        <v>106</v>
      </c>
      <c r="Q228" t="s">
        <v>107</v>
      </c>
      <c r="R228" s="3">
        <v>42</v>
      </c>
      <c r="S228">
        <v>42</v>
      </c>
      <c r="T228" t="s">
        <v>197</v>
      </c>
      <c r="U228" t="s">
        <v>73</v>
      </c>
      <c r="V228" t="s">
        <v>74</v>
      </c>
      <c r="W228" t="s">
        <v>74</v>
      </c>
      <c r="X228">
        <v>3</v>
      </c>
      <c r="Y228">
        <v>3</v>
      </c>
      <c r="Z228">
        <v>3</v>
      </c>
      <c r="AA228">
        <v>3</v>
      </c>
      <c r="AB228">
        <v>3</v>
      </c>
      <c r="AC228">
        <v>3</v>
      </c>
      <c r="AD228">
        <v>3</v>
      </c>
      <c r="AE228">
        <v>3</v>
      </c>
      <c r="AF228">
        <v>3</v>
      </c>
      <c r="AG228">
        <v>3</v>
      </c>
      <c r="AH228">
        <v>3</v>
      </c>
      <c r="AI228">
        <v>3</v>
      </c>
      <c r="AJ228">
        <v>4</v>
      </c>
      <c r="AK228">
        <v>4</v>
      </c>
      <c r="AL228">
        <v>3</v>
      </c>
      <c r="AM228">
        <v>3</v>
      </c>
      <c r="AN228">
        <v>3</v>
      </c>
      <c r="AO228">
        <v>3</v>
      </c>
      <c r="AQ228">
        <v>0</v>
      </c>
      <c r="AR228" t="s">
        <v>69</v>
      </c>
      <c r="AT228">
        <v>0</v>
      </c>
      <c r="AU228" t="s">
        <v>69</v>
      </c>
      <c r="AW228">
        <v>0</v>
      </c>
      <c r="AX228" t="s">
        <v>69</v>
      </c>
      <c r="AY228" t="s">
        <v>5</v>
      </c>
      <c r="AZ228" t="s">
        <v>450</v>
      </c>
      <c r="BA228">
        <v>2</v>
      </c>
      <c r="BB228">
        <v>3</v>
      </c>
      <c r="BC228" t="s">
        <v>98</v>
      </c>
      <c r="BD228" t="s">
        <v>99</v>
      </c>
      <c r="BE228" t="s">
        <v>98</v>
      </c>
      <c r="BF228" t="s">
        <v>99</v>
      </c>
      <c r="BG228" t="s">
        <v>98</v>
      </c>
      <c r="BH228" t="s">
        <v>99</v>
      </c>
      <c r="BI228" t="s">
        <v>98</v>
      </c>
    </row>
    <row r="229" spans="1:61" x14ac:dyDescent="0.35">
      <c r="A229">
        <v>228</v>
      </c>
      <c r="B229">
        <v>45842.208148148151</v>
      </c>
      <c r="C229" t="s">
        <v>1489</v>
      </c>
      <c r="D229" t="s">
        <v>1490</v>
      </c>
      <c r="E229" t="s">
        <v>63</v>
      </c>
      <c r="F229" t="s">
        <v>179</v>
      </c>
      <c r="G229" t="s">
        <v>1491</v>
      </c>
      <c r="H229" t="s">
        <v>88</v>
      </c>
      <c r="I229" t="s">
        <v>89</v>
      </c>
      <c r="J229" t="s">
        <v>1432</v>
      </c>
      <c r="K229" t="s">
        <v>1492</v>
      </c>
      <c r="L229" t="s">
        <v>69</v>
      </c>
      <c r="M229" t="s">
        <v>69</v>
      </c>
      <c r="N229" t="s">
        <v>69</v>
      </c>
      <c r="O229" t="s">
        <v>69</v>
      </c>
      <c r="P229" t="s">
        <v>106</v>
      </c>
      <c r="Q229" t="s">
        <v>107</v>
      </c>
      <c r="R229" s="3" t="s">
        <v>1493</v>
      </c>
      <c r="S229">
        <v>53</v>
      </c>
      <c r="T229" t="s">
        <v>383</v>
      </c>
      <c r="U229" t="s">
        <v>73</v>
      </c>
      <c r="V229" t="s">
        <v>110</v>
      </c>
      <c r="W229" t="s">
        <v>110</v>
      </c>
      <c r="X229">
        <v>4</v>
      </c>
      <c r="Y229">
        <v>4</v>
      </c>
      <c r="Z229">
        <v>3</v>
      </c>
      <c r="AA229">
        <v>3</v>
      </c>
      <c r="AB229">
        <v>3</v>
      </c>
      <c r="AC229">
        <v>3</v>
      </c>
      <c r="AD229">
        <v>0</v>
      </c>
      <c r="AE229">
        <v>0</v>
      </c>
      <c r="AF229">
        <v>3</v>
      </c>
      <c r="AG229">
        <v>3</v>
      </c>
      <c r="AH229">
        <v>3</v>
      </c>
      <c r="AI229">
        <v>3</v>
      </c>
      <c r="AJ229">
        <v>3</v>
      </c>
      <c r="AK229">
        <v>3</v>
      </c>
      <c r="AL229">
        <v>3</v>
      </c>
      <c r="AM229">
        <v>3</v>
      </c>
      <c r="AN229">
        <v>3</v>
      </c>
      <c r="AO229">
        <v>3</v>
      </c>
      <c r="AQ229">
        <v>0</v>
      </c>
      <c r="AR229" t="s">
        <v>69</v>
      </c>
      <c r="AT229">
        <v>0</v>
      </c>
      <c r="AU229" t="s">
        <v>69</v>
      </c>
      <c r="AW229">
        <v>0</v>
      </c>
      <c r="AX229" t="s">
        <v>69</v>
      </c>
      <c r="AY229" t="s">
        <v>77</v>
      </c>
      <c r="AZ229" t="s">
        <v>77</v>
      </c>
      <c r="BA229">
        <v>2</v>
      </c>
      <c r="BB229">
        <v>3</v>
      </c>
      <c r="BC229" t="s">
        <v>98</v>
      </c>
      <c r="BD229" t="s">
        <v>99</v>
      </c>
      <c r="BE229" t="s">
        <v>98</v>
      </c>
      <c r="BF229" t="s">
        <v>99</v>
      </c>
      <c r="BG229" t="s">
        <v>98</v>
      </c>
      <c r="BH229" t="s">
        <v>99</v>
      </c>
      <c r="BI229" t="s">
        <v>1494</v>
      </c>
    </row>
    <row r="230" spans="1:61" x14ac:dyDescent="0.35">
      <c r="A230">
        <v>229</v>
      </c>
      <c r="B230">
        <v>45842.210613425923</v>
      </c>
      <c r="C230" t="s">
        <v>1495</v>
      </c>
      <c r="D230" t="s">
        <v>1496</v>
      </c>
      <c r="E230" t="s">
        <v>63</v>
      </c>
      <c r="F230" t="s">
        <v>179</v>
      </c>
      <c r="G230" t="s">
        <v>1497</v>
      </c>
      <c r="H230" t="s">
        <v>88</v>
      </c>
      <c r="I230" t="s">
        <v>89</v>
      </c>
      <c r="J230" t="s">
        <v>1432</v>
      </c>
      <c r="K230" t="s">
        <v>1498</v>
      </c>
      <c r="L230" t="s">
        <v>69</v>
      </c>
      <c r="M230" t="s">
        <v>69</v>
      </c>
      <c r="N230" t="s">
        <v>69</v>
      </c>
      <c r="O230" t="s">
        <v>69</v>
      </c>
      <c r="P230" t="s">
        <v>70</v>
      </c>
      <c r="Q230" t="s">
        <v>107</v>
      </c>
      <c r="R230" s="3" t="s">
        <v>826</v>
      </c>
      <c r="S230">
        <v>44</v>
      </c>
      <c r="T230" t="s">
        <v>197</v>
      </c>
      <c r="U230" t="s">
        <v>73</v>
      </c>
      <c r="V230" t="s">
        <v>1499</v>
      </c>
      <c r="W230" t="s">
        <v>74</v>
      </c>
      <c r="X230">
        <v>4</v>
      </c>
      <c r="Y230">
        <v>4</v>
      </c>
      <c r="Z230">
        <v>4</v>
      </c>
      <c r="AA230">
        <v>4</v>
      </c>
      <c r="AB230">
        <v>4</v>
      </c>
      <c r="AC230">
        <v>4</v>
      </c>
      <c r="AD230">
        <v>4</v>
      </c>
      <c r="AE230">
        <v>4</v>
      </c>
      <c r="AF230">
        <v>4</v>
      </c>
      <c r="AG230">
        <v>4</v>
      </c>
      <c r="AH230">
        <v>4</v>
      </c>
      <c r="AI230">
        <v>4</v>
      </c>
      <c r="AJ230">
        <v>4</v>
      </c>
      <c r="AK230">
        <v>4</v>
      </c>
      <c r="AL230">
        <v>4</v>
      </c>
      <c r="AM230">
        <v>4</v>
      </c>
      <c r="AN230">
        <v>4</v>
      </c>
      <c r="AO230">
        <v>4</v>
      </c>
      <c r="AQ230">
        <v>0</v>
      </c>
      <c r="AR230" t="s">
        <v>69</v>
      </c>
      <c r="AT230">
        <v>0</v>
      </c>
      <c r="AU230" t="s">
        <v>69</v>
      </c>
      <c r="AW230">
        <v>0</v>
      </c>
      <c r="AX230" t="s">
        <v>69</v>
      </c>
      <c r="AY230" t="s">
        <v>1500</v>
      </c>
      <c r="AZ230" t="s">
        <v>450</v>
      </c>
      <c r="BA230">
        <v>1</v>
      </c>
      <c r="BB230">
        <v>4</v>
      </c>
      <c r="BC230" t="s">
        <v>98</v>
      </c>
      <c r="BD230" t="s">
        <v>99</v>
      </c>
      <c r="BE230" t="s">
        <v>98</v>
      </c>
      <c r="BF230" t="s">
        <v>99</v>
      </c>
      <c r="BG230" t="s">
        <v>98</v>
      </c>
      <c r="BH230" t="s">
        <v>99</v>
      </c>
      <c r="BI230" t="s">
        <v>98</v>
      </c>
    </row>
    <row r="231" spans="1:61" x14ac:dyDescent="0.35">
      <c r="A231">
        <v>230</v>
      </c>
      <c r="B231">
        <v>45842.214236111111</v>
      </c>
      <c r="C231" t="s">
        <v>1501</v>
      </c>
      <c r="D231" t="s">
        <v>1502</v>
      </c>
      <c r="E231" t="s">
        <v>63</v>
      </c>
      <c r="F231" t="s">
        <v>179</v>
      </c>
      <c r="G231" t="s">
        <v>1503</v>
      </c>
      <c r="H231" t="s">
        <v>88</v>
      </c>
      <c r="I231" t="s">
        <v>89</v>
      </c>
      <c r="J231" t="s">
        <v>1432</v>
      </c>
      <c r="K231" t="s">
        <v>1504</v>
      </c>
      <c r="L231" t="s">
        <v>69</v>
      </c>
      <c r="M231" t="s">
        <v>69</v>
      </c>
      <c r="N231" t="s">
        <v>69</v>
      </c>
      <c r="O231" t="s">
        <v>69</v>
      </c>
      <c r="P231" t="s">
        <v>106</v>
      </c>
      <c r="Q231" t="s">
        <v>107</v>
      </c>
      <c r="R231" s="3" t="s">
        <v>245</v>
      </c>
      <c r="S231">
        <v>21</v>
      </c>
      <c r="T231" t="s">
        <v>72</v>
      </c>
      <c r="U231" t="s">
        <v>73</v>
      </c>
      <c r="V231" t="s">
        <v>1505</v>
      </c>
      <c r="W231" t="s">
        <v>133</v>
      </c>
      <c r="X231">
        <v>3</v>
      </c>
      <c r="Y231">
        <v>3</v>
      </c>
      <c r="Z231">
        <v>3</v>
      </c>
      <c r="AA231">
        <v>3</v>
      </c>
      <c r="AB231">
        <v>3</v>
      </c>
      <c r="AC231">
        <v>3</v>
      </c>
      <c r="AD231">
        <v>0</v>
      </c>
      <c r="AE231">
        <v>0</v>
      </c>
      <c r="AF231">
        <v>3</v>
      </c>
      <c r="AG231">
        <v>3</v>
      </c>
      <c r="AH231">
        <v>2</v>
      </c>
      <c r="AI231">
        <v>3</v>
      </c>
      <c r="AJ231">
        <v>2</v>
      </c>
      <c r="AK231">
        <v>2</v>
      </c>
      <c r="AL231">
        <v>3</v>
      </c>
      <c r="AM231">
        <v>3</v>
      </c>
      <c r="AN231">
        <v>3</v>
      </c>
      <c r="AO231">
        <v>3</v>
      </c>
      <c r="AQ231">
        <v>0</v>
      </c>
      <c r="AR231" t="s">
        <v>69</v>
      </c>
      <c r="AT231">
        <v>0</v>
      </c>
      <c r="AU231" t="s">
        <v>69</v>
      </c>
      <c r="AW231">
        <v>0</v>
      </c>
      <c r="AX231" t="s">
        <v>69</v>
      </c>
      <c r="AY231" t="s">
        <v>293</v>
      </c>
      <c r="AZ231" t="s">
        <v>144</v>
      </c>
      <c r="BA231">
        <v>2</v>
      </c>
      <c r="BB231">
        <v>3</v>
      </c>
      <c r="BC231" t="s">
        <v>1506</v>
      </c>
      <c r="BD231" t="s">
        <v>235</v>
      </c>
      <c r="BE231" t="s">
        <v>98</v>
      </c>
      <c r="BF231" t="s">
        <v>99</v>
      </c>
      <c r="BG231" t="s">
        <v>98</v>
      </c>
      <c r="BH231" t="s">
        <v>99</v>
      </c>
      <c r="BI231" t="s">
        <v>98</v>
      </c>
    </row>
    <row r="232" spans="1:61" x14ac:dyDescent="0.35">
      <c r="A232">
        <v>231</v>
      </c>
      <c r="B232">
        <v>45842.353946759256</v>
      </c>
      <c r="C232" t="s">
        <v>1507</v>
      </c>
      <c r="D232" t="s">
        <v>1508</v>
      </c>
      <c r="E232" t="s">
        <v>63</v>
      </c>
      <c r="F232" t="s">
        <v>179</v>
      </c>
      <c r="G232" t="s">
        <v>1509</v>
      </c>
      <c r="H232" t="s">
        <v>459</v>
      </c>
      <c r="I232" t="s">
        <v>439</v>
      </c>
      <c r="J232" t="s">
        <v>1432</v>
      </c>
      <c r="K232" t="s">
        <v>1107</v>
      </c>
      <c r="L232" t="s">
        <v>69</v>
      </c>
      <c r="M232" t="s">
        <v>69</v>
      </c>
      <c r="N232" t="s">
        <v>69</v>
      </c>
      <c r="O232" t="s">
        <v>69</v>
      </c>
      <c r="P232" t="s">
        <v>106</v>
      </c>
      <c r="Q232" t="s">
        <v>1168</v>
      </c>
      <c r="R232" s="3" t="s">
        <v>566</v>
      </c>
      <c r="S232">
        <v>25</v>
      </c>
      <c r="T232" t="s">
        <v>72</v>
      </c>
      <c r="U232" t="s">
        <v>73</v>
      </c>
      <c r="V232" t="s">
        <v>74</v>
      </c>
      <c r="W232" t="s">
        <v>74</v>
      </c>
      <c r="X232">
        <v>3</v>
      </c>
      <c r="Y232">
        <v>4</v>
      </c>
      <c r="Z232">
        <v>4</v>
      </c>
      <c r="AA232">
        <v>4</v>
      </c>
      <c r="AB232">
        <v>4</v>
      </c>
      <c r="AC232">
        <v>4</v>
      </c>
      <c r="AD232">
        <v>4</v>
      </c>
      <c r="AE232">
        <v>4</v>
      </c>
      <c r="AF232">
        <v>4</v>
      </c>
      <c r="AG232">
        <v>4</v>
      </c>
      <c r="AH232">
        <v>3</v>
      </c>
      <c r="AI232">
        <v>3</v>
      </c>
      <c r="AJ232">
        <v>4</v>
      </c>
      <c r="AK232">
        <v>4</v>
      </c>
      <c r="AL232">
        <v>4</v>
      </c>
      <c r="AM232">
        <v>4</v>
      </c>
      <c r="AN232">
        <v>3</v>
      </c>
      <c r="AO232">
        <v>3</v>
      </c>
      <c r="AQ232">
        <v>0</v>
      </c>
      <c r="AR232" t="s">
        <v>69</v>
      </c>
      <c r="AT232">
        <v>0</v>
      </c>
      <c r="AU232" t="s">
        <v>69</v>
      </c>
      <c r="AV232">
        <v>1</v>
      </c>
      <c r="AW232">
        <v>4</v>
      </c>
      <c r="AX232" t="s">
        <v>75</v>
      </c>
      <c r="AY232" t="s">
        <v>83</v>
      </c>
      <c r="AZ232" t="s">
        <v>96</v>
      </c>
      <c r="BA232">
        <v>0</v>
      </c>
      <c r="BB232">
        <v>0</v>
      </c>
      <c r="BC232" t="s">
        <v>503</v>
      </c>
      <c r="BD232" t="s">
        <v>79</v>
      </c>
      <c r="BE232" t="s">
        <v>503</v>
      </c>
      <c r="BF232" t="s">
        <v>79</v>
      </c>
      <c r="BG232" t="s">
        <v>503</v>
      </c>
      <c r="BH232" t="s">
        <v>79</v>
      </c>
      <c r="BI232" t="s">
        <v>83</v>
      </c>
    </row>
    <row r="233" spans="1:61" x14ac:dyDescent="0.35">
      <c r="A233">
        <v>232</v>
      </c>
      <c r="B233">
        <v>45842.377962962964</v>
      </c>
      <c r="C233" t="s">
        <v>1510</v>
      </c>
      <c r="D233" t="s">
        <v>1511</v>
      </c>
      <c r="E233" t="s">
        <v>63</v>
      </c>
      <c r="F233" t="s">
        <v>179</v>
      </c>
      <c r="G233" t="s">
        <v>1512</v>
      </c>
      <c r="H233" t="s">
        <v>517</v>
      </c>
      <c r="I233" t="s">
        <v>518</v>
      </c>
      <c r="J233" t="s">
        <v>1480</v>
      </c>
      <c r="K233" t="s">
        <v>1513</v>
      </c>
      <c r="L233" t="s">
        <v>69</v>
      </c>
      <c r="M233" t="s">
        <v>69</v>
      </c>
      <c r="N233" t="s">
        <v>69</v>
      </c>
      <c r="O233" t="s">
        <v>69</v>
      </c>
      <c r="P233" t="s">
        <v>106</v>
      </c>
      <c r="Q233" t="s">
        <v>107</v>
      </c>
      <c r="R233" s="3" t="s">
        <v>469</v>
      </c>
      <c r="S233">
        <v>58</v>
      </c>
      <c r="T233" t="s">
        <v>182</v>
      </c>
      <c r="U233" t="s">
        <v>273</v>
      </c>
      <c r="V233" t="s">
        <v>74</v>
      </c>
      <c r="W233" t="s">
        <v>74</v>
      </c>
      <c r="X233">
        <v>4</v>
      </c>
      <c r="Y233">
        <v>4</v>
      </c>
      <c r="Z233">
        <v>4</v>
      </c>
      <c r="AA233">
        <v>4</v>
      </c>
      <c r="AB233">
        <v>3</v>
      </c>
      <c r="AC233">
        <v>3</v>
      </c>
      <c r="AD233">
        <v>0</v>
      </c>
      <c r="AE233">
        <v>0</v>
      </c>
      <c r="AF233">
        <v>3</v>
      </c>
      <c r="AG233">
        <v>3</v>
      </c>
      <c r="AH233">
        <v>3</v>
      </c>
      <c r="AI233">
        <v>3</v>
      </c>
      <c r="AJ233">
        <v>3</v>
      </c>
      <c r="AK233">
        <v>4</v>
      </c>
      <c r="AL233">
        <v>4</v>
      </c>
      <c r="AM233">
        <v>4</v>
      </c>
      <c r="AN233">
        <v>3</v>
      </c>
      <c r="AO233">
        <v>3</v>
      </c>
      <c r="AQ233">
        <v>0</v>
      </c>
      <c r="AR233" t="s">
        <v>69</v>
      </c>
      <c r="AT233">
        <v>0</v>
      </c>
      <c r="AU233" t="s">
        <v>69</v>
      </c>
      <c r="AW233">
        <v>0</v>
      </c>
      <c r="AX233" t="s">
        <v>69</v>
      </c>
      <c r="AY233" t="s">
        <v>1514</v>
      </c>
      <c r="AZ233" t="s">
        <v>1515</v>
      </c>
      <c r="BA233">
        <v>2</v>
      </c>
      <c r="BB233">
        <v>3</v>
      </c>
      <c r="BC233" t="s">
        <v>248</v>
      </c>
      <c r="BD233" t="s">
        <v>79</v>
      </c>
      <c r="BE233" t="s">
        <v>248</v>
      </c>
      <c r="BF233" t="s">
        <v>79</v>
      </c>
      <c r="BG233" t="s">
        <v>248</v>
      </c>
      <c r="BH233" t="s">
        <v>79</v>
      </c>
      <c r="BI233" t="s">
        <v>83</v>
      </c>
    </row>
    <row r="234" spans="1:61" x14ac:dyDescent="0.35">
      <c r="A234">
        <v>233</v>
      </c>
      <c r="B234">
        <v>45842.381203703706</v>
      </c>
      <c r="C234" t="s">
        <v>1516</v>
      </c>
      <c r="D234" t="s">
        <v>1517</v>
      </c>
      <c r="E234" t="s">
        <v>63</v>
      </c>
      <c r="F234" t="s">
        <v>1518</v>
      </c>
      <c r="G234" t="s">
        <v>1519</v>
      </c>
      <c r="H234" t="s">
        <v>517</v>
      </c>
      <c r="I234" t="s">
        <v>518</v>
      </c>
      <c r="J234" t="s">
        <v>1480</v>
      </c>
      <c r="K234" t="s">
        <v>1520</v>
      </c>
      <c r="L234" t="s">
        <v>69</v>
      </c>
      <c r="M234" t="s">
        <v>69</v>
      </c>
      <c r="N234" t="s">
        <v>69</v>
      </c>
      <c r="O234" t="s">
        <v>69</v>
      </c>
      <c r="P234" t="s">
        <v>70</v>
      </c>
      <c r="Q234" t="s">
        <v>107</v>
      </c>
      <c r="R234" s="3" t="s">
        <v>1325</v>
      </c>
      <c r="S234">
        <v>50</v>
      </c>
      <c r="T234" t="s">
        <v>225</v>
      </c>
      <c r="U234" t="s">
        <v>273</v>
      </c>
      <c r="V234" t="s">
        <v>110</v>
      </c>
      <c r="W234" t="s">
        <v>110</v>
      </c>
      <c r="X234">
        <v>4</v>
      </c>
      <c r="Y234">
        <v>4</v>
      </c>
      <c r="Z234">
        <v>4</v>
      </c>
      <c r="AA234">
        <v>4</v>
      </c>
      <c r="AB234">
        <v>4</v>
      </c>
      <c r="AC234">
        <v>4</v>
      </c>
      <c r="AD234">
        <v>0</v>
      </c>
      <c r="AE234">
        <v>0</v>
      </c>
      <c r="AF234">
        <v>4</v>
      </c>
      <c r="AG234">
        <v>4</v>
      </c>
      <c r="AH234">
        <v>4</v>
      </c>
      <c r="AI234">
        <v>4</v>
      </c>
      <c r="AJ234">
        <v>4</v>
      </c>
      <c r="AK234">
        <v>4</v>
      </c>
      <c r="AL234">
        <v>4</v>
      </c>
      <c r="AM234">
        <v>4</v>
      </c>
      <c r="AN234">
        <v>4</v>
      </c>
      <c r="AO234">
        <v>4</v>
      </c>
      <c r="AQ234">
        <v>0</v>
      </c>
      <c r="AR234" t="s">
        <v>69</v>
      </c>
      <c r="AT234">
        <v>0</v>
      </c>
      <c r="AU234" t="s">
        <v>69</v>
      </c>
      <c r="AW234">
        <v>0</v>
      </c>
      <c r="AX234" t="s">
        <v>69</v>
      </c>
      <c r="AY234" t="s">
        <v>293</v>
      </c>
      <c r="AZ234" t="s">
        <v>144</v>
      </c>
      <c r="BA234">
        <v>1</v>
      </c>
      <c r="BB234">
        <v>4</v>
      </c>
      <c r="BC234" t="s">
        <v>1521</v>
      </c>
      <c r="BD234" t="s">
        <v>79</v>
      </c>
      <c r="BE234" t="s">
        <v>248</v>
      </c>
      <c r="BF234" t="s">
        <v>79</v>
      </c>
      <c r="BG234" t="s">
        <v>248</v>
      </c>
      <c r="BH234" t="s">
        <v>79</v>
      </c>
      <c r="BI234" t="s">
        <v>83</v>
      </c>
    </row>
    <row r="235" spans="1:61" x14ac:dyDescent="0.35">
      <c r="A235">
        <v>234</v>
      </c>
      <c r="B235">
        <v>45842.385185185187</v>
      </c>
      <c r="C235" t="s">
        <v>1522</v>
      </c>
      <c r="D235" t="s">
        <v>1523</v>
      </c>
      <c r="E235" t="s">
        <v>63</v>
      </c>
      <c r="F235" t="s">
        <v>179</v>
      </c>
      <c r="G235" t="s">
        <v>1524</v>
      </c>
      <c r="H235" t="s">
        <v>517</v>
      </c>
      <c r="I235" t="s">
        <v>518</v>
      </c>
      <c r="J235" t="s">
        <v>1480</v>
      </c>
      <c r="K235" t="s">
        <v>1525</v>
      </c>
      <c r="L235" t="s">
        <v>69</v>
      </c>
      <c r="M235" t="s">
        <v>69</v>
      </c>
      <c r="N235" t="s">
        <v>69</v>
      </c>
      <c r="O235" t="s">
        <v>69</v>
      </c>
      <c r="P235" t="s">
        <v>106</v>
      </c>
      <c r="Q235" t="s">
        <v>107</v>
      </c>
      <c r="R235" s="3" t="s">
        <v>217</v>
      </c>
      <c r="S235">
        <v>20</v>
      </c>
      <c r="T235" t="s">
        <v>131</v>
      </c>
      <c r="U235" t="s">
        <v>73</v>
      </c>
      <c r="V235" t="s">
        <v>94</v>
      </c>
      <c r="W235" t="s">
        <v>95</v>
      </c>
      <c r="X235">
        <v>4</v>
      </c>
      <c r="Y235">
        <v>3</v>
      </c>
      <c r="Z235">
        <v>3</v>
      </c>
      <c r="AA235">
        <v>3</v>
      </c>
      <c r="AB235">
        <v>4</v>
      </c>
      <c r="AC235">
        <v>4</v>
      </c>
      <c r="AD235">
        <v>0</v>
      </c>
      <c r="AE235">
        <v>0</v>
      </c>
      <c r="AF235">
        <v>3</v>
      </c>
      <c r="AG235">
        <v>3</v>
      </c>
      <c r="AH235">
        <v>4</v>
      </c>
      <c r="AI235">
        <v>3</v>
      </c>
      <c r="AJ235">
        <v>4</v>
      </c>
      <c r="AK235">
        <v>4</v>
      </c>
      <c r="AL235">
        <v>3</v>
      </c>
      <c r="AM235">
        <v>3</v>
      </c>
      <c r="AN235">
        <v>4</v>
      </c>
      <c r="AO235">
        <v>4</v>
      </c>
      <c r="AQ235">
        <v>0</v>
      </c>
      <c r="AR235" t="s">
        <v>69</v>
      </c>
      <c r="AT235">
        <v>0</v>
      </c>
      <c r="AU235" t="s">
        <v>69</v>
      </c>
      <c r="AW235">
        <v>0</v>
      </c>
      <c r="AX235" t="s">
        <v>69</v>
      </c>
      <c r="AY235" t="s">
        <v>77</v>
      </c>
      <c r="AZ235" t="s">
        <v>77</v>
      </c>
      <c r="BA235">
        <v>2</v>
      </c>
      <c r="BB235">
        <v>3</v>
      </c>
      <c r="BC235" t="s">
        <v>248</v>
      </c>
      <c r="BD235" t="s">
        <v>79</v>
      </c>
      <c r="BE235" t="s">
        <v>462</v>
      </c>
      <c r="BF235" t="s">
        <v>79</v>
      </c>
      <c r="BG235" t="s">
        <v>248</v>
      </c>
      <c r="BH235" t="s">
        <v>79</v>
      </c>
      <c r="BI235" t="s">
        <v>83</v>
      </c>
    </row>
    <row r="236" spans="1:61" x14ac:dyDescent="0.35">
      <c r="A236">
        <v>235</v>
      </c>
      <c r="B236">
        <v>45842.390185185184</v>
      </c>
      <c r="C236" t="s">
        <v>1526</v>
      </c>
      <c r="D236" t="s">
        <v>1527</v>
      </c>
      <c r="E236" t="s">
        <v>63</v>
      </c>
      <c r="F236" t="s">
        <v>136</v>
      </c>
      <c r="G236" t="s">
        <v>1528</v>
      </c>
      <c r="H236" t="s">
        <v>138</v>
      </c>
      <c r="I236" t="s">
        <v>139</v>
      </c>
      <c r="J236" t="s">
        <v>1480</v>
      </c>
      <c r="K236" t="s">
        <v>1529</v>
      </c>
      <c r="L236" t="s">
        <v>69</v>
      </c>
      <c r="M236" t="s">
        <v>69</v>
      </c>
      <c r="N236" t="s">
        <v>69</v>
      </c>
      <c r="O236" t="s">
        <v>69</v>
      </c>
      <c r="P236" t="s">
        <v>106</v>
      </c>
      <c r="Q236" t="s">
        <v>107</v>
      </c>
      <c r="R236" s="3">
        <v>24</v>
      </c>
      <c r="S236">
        <v>24</v>
      </c>
      <c r="T236" t="s">
        <v>72</v>
      </c>
      <c r="U236" t="s">
        <v>73</v>
      </c>
      <c r="V236" t="s">
        <v>110</v>
      </c>
      <c r="W236" t="s">
        <v>110</v>
      </c>
      <c r="X236">
        <v>3</v>
      </c>
      <c r="Y236">
        <v>4</v>
      </c>
      <c r="Z236">
        <v>3</v>
      </c>
      <c r="AA236">
        <v>4</v>
      </c>
      <c r="AB236">
        <v>4</v>
      </c>
      <c r="AC236">
        <v>4</v>
      </c>
      <c r="AD236">
        <v>4</v>
      </c>
      <c r="AE236">
        <v>4</v>
      </c>
      <c r="AF236">
        <v>3</v>
      </c>
      <c r="AG236">
        <v>3</v>
      </c>
      <c r="AH236">
        <v>4</v>
      </c>
      <c r="AI236">
        <v>4</v>
      </c>
      <c r="AJ236">
        <v>3</v>
      </c>
      <c r="AK236">
        <v>3</v>
      </c>
      <c r="AL236">
        <v>4</v>
      </c>
      <c r="AM236">
        <v>3</v>
      </c>
      <c r="AN236">
        <v>4</v>
      </c>
      <c r="AO236">
        <v>4</v>
      </c>
      <c r="AQ236">
        <v>0</v>
      </c>
      <c r="AR236" t="s">
        <v>69</v>
      </c>
      <c r="AT236">
        <v>0</v>
      </c>
      <c r="AU236" t="s">
        <v>69</v>
      </c>
      <c r="AW236">
        <v>0</v>
      </c>
      <c r="AX236" t="s">
        <v>69</v>
      </c>
      <c r="AY236" t="s">
        <v>293</v>
      </c>
      <c r="AZ236" t="s">
        <v>144</v>
      </c>
      <c r="BA236">
        <v>1</v>
      </c>
      <c r="BB236">
        <v>4</v>
      </c>
      <c r="BC236" t="s">
        <v>98</v>
      </c>
      <c r="BD236" t="s">
        <v>99</v>
      </c>
      <c r="BE236" t="s">
        <v>98</v>
      </c>
      <c r="BF236" t="s">
        <v>99</v>
      </c>
      <c r="BG236" t="s">
        <v>98</v>
      </c>
      <c r="BH236" t="s">
        <v>99</v>
      </c>
      <c r="BI236" t="s">
        <v>1530</v>
      </c>
    </row>
    <row r="237" spans="1:61" x14ac:dyDescent="0.35">
      <c r="A237">
        <v>236</v>
      </c>
      <c r="B237">
        <v>45842.393379629626</v>
      </c>
      <c r="C237" t="s">
        <v>1531</v>
      </c>
      <c r="D237" t="s">
        <v>1532</v>
      </c>
      <c r="E237" t="s">
        <v>63</v>
      </c>
      <c r="F237" t="s">
        <v>136</v>
      </c>
      <c r="G237" t="s">
        <v>1533</v>
      </c>
      <c r="H237" t="s">
        <v>138</v>
      </c>
      <c r="I237" t="s">
        <v>139</v>
      </c>
      <c r="J237" t="s">
        <v>1480</v>
      </c>
      <c r="K237" t="s">
        <v>1534</v>
      </c>
      <c r="L237" t="s">
        <v>69</v>
      </c>
      <c r="M237" t="s">
        <v>69</v>
      </c>
      <c r="N237" t="s">
        <v>69</v>
      </c>
      <c r="O237" t="s">
        <v>69</v>
      </c>
      <c r="P237" t="s">
        <v>70</v>
      </c>
      <c r="Q237" t="s">
        <v>107</v>
      </c>
      <c r="R237" s="3">
        <v>26</v>
      </c>
      <c r="S237">
        <v>26</v>
      </c>
      <c r="T237" t="s">
        <v>92</v>
      </c>
      <c r="U237" t="s">
        <v>73</v>
      </c>
      <c r="V237" t="s">
        <v>110</v>
      </c>
      <c r="W237" t="s">
        <v>110</v>
      </c>
      <c r="X237">
        <v>4</v>
      </c>
      <c r="Y237">
        <v>4</v>
      </c>
      <c r="Z237">
        <v>4</v>
      </c>
      <c r="AA237">
        <v>4</v>
      </c>
      <c r="AB237">
        <v>4</v>
      </c>
      <c r="AC237">
        <v>4</v>
      </c>
      <c r="AD237">
        <v>4</v>
      </c>
      <c r="AE237">
        <v>4</v>
      </c>
      <c r="AF237">
        <v>4</v>
      </c>
      <c r="AG237">
        <v>4</v>
      </c>
      <c r="AH237">
        <v>4</v>
      </c>
      <c r="AI237">
        <v>4</v>
      </c>
      <c r="AJ237">
        <v>4</v>
      </c>
      <c r="AK237">
        <v>4</v>
      </c>
      <c r="AL237">
        <v>4</v>
      </c>
      <c r="AM237">
        <v>4</v>
      </c>
      <c r="AN237">
        <v>4</v>
      </c>
      <c r="AO237">
        <v>4</v>
      </c>
      <c r="AQ237">
        <v>0</v>
      </c>
      <c r="AR237" t="s">
        <v>69</v>
      </c>
      <c r="AT237">
        <v>0</v>
      </c>
      <c r="AU237" t="s">
        <v>69</v>
      </c>
      <c r="AW237">
        <v>0</v>
      </c>
      <c r="AX237" t="s">
        <v>69</v>
      </c>
      <c r="AY237" t="s">
        <v>144</v>
      </c>
      <c r="AZ237" t="s">
        <v>144</v>
      </c>
      <c r="BA237">
        <v>2</v>
      </c>
      <c r="BB237">
        <v>3</v>
      </c>
      <c r="BC237" t="s">
        <v>98</v>
      </c>
      <c r="BD237" t="s">
        <v>99</v>
      </c>
      <c r="BE237" t="s">
        <v>98</v>
      </c>
      <c r="BF237" t="s">
        <v>99</v>
      </c>
      <c r="BG237" t="s">
        <v>98</v>
      </c>
      <c r="BH237" t="s">
        <v>99</v>
      </c>
      <c r="BI237" t="s">
        <v>98</v>
      </c>
    </row>
    <row r="238" spans="1:61" x14ac:dyDescent="0.35">
      <c r="A238">
        <v>237</v>
      </c>
      <c r="B238">
        <v>45842.396458333336</v>
      </c>
      <c r="C238" t="s">
        <v>1535</v>
      </c>
      <c r="D238" t="s">
        <v>1536</v>
      </c>
      <c r="E238" t="s">
        <v>63</v>
      </c>
      <c r="F238" t="s">
        <v>136</v>
      </c>
      <c r="G238" t="s">
        <v>1537</v>
      </c>
      <c r="H238" t="s">
        <v>138</v>
      </c>
      <c r="I238" t="s">
        <v>139</v>
      </c>
      <c r="J238" t="s">
        <v>1480</v>
      </c>
      <c r="K238" t="s">
        <v>1538</v>
      </c>
      <c r="L238" t="s">
        <v>69</v>
      </c>
      <c r="M238" t="s">
        <v>69</v>
      </c>
      <c r="N238" t="s">
        <v>69</v>
      </c>
      <c r="O238" t="s">
        <v>69</v>
      </c>
      <c r="P238" t="s">
        <v>70</v>
      </c>
      <c r="Q238" t="s">
        <v>107</v>
      </c>
      <c r="R238" s="3">
        <v>20</v>
      </c>
      <c r="S238">
        <v>20</v>
      </c>
      <c r="T238" t="s">
        <v>131</v>
      </c>
      <c r="U238" t="s">
        <v>73</v>
      </c>
      <c r="V238" t="s">
        <v>94</v>
      </c>
      <c r="W238" t="s">
        <v>95</v>
      </c>
      <c r="X238">
        <v>4</v>
      </c>
      <c r="Y238">
        <v>4</v>
      </c>
      <c r="Z238">
        <v>4</v>
      </c>
      <c r="AA238">
        <v>4</v>
      </c>
      <c r="AB238">
        <v>4</v>
      </c>
      <c r="AC238">
        <v>4</v>
      </c>
      <c r="AD238">
        <v>4</v>
      </c>
      <c r="AE238">
        <v>4</v>
      </c>
      <c r="AF238">
        <v>4</v>
      </c>
      <c r="AG238">
        <v>4</v>
      </c>
      <c r="AH238">
        <v>4</v>
      </c>
      <c r="AI238">
        <v>4</v>
      </c>
      <c r="AJ238">
        <v>4</v>
      </c>
      <c r="AK238">
        <v>4</v>
      </c>
      <c r="AL238">
        <v>4</v>
      </c>
      <c r="AM238">
        <v>4</v>
      </c>
      <c r="AN238">
        <v>4</v>
      </c>
      <c r="AO238">
        <v>4</v>
      </c>
      <c r="AQ238">
        <v>0</v>
      </c>
      <c r="AR238" t="s">
        <v>69</v>
      </c>
      <c r="AT238">
        <v>0</v>
      </c>
      <c r="AU238" t="s">
        <v>69</v>
      </c>
      <c r="AW238">
        <v>0</v>
      </c>
      <c r="AX238" t="s">
        <v>69</v>
      </c>
      <c r="AY238" t="s">
        <v>144</v>
      </c>
      <c r="AZ238" t="s">
        <v>144</v>
      </c>
      <c r="BA238">
        <v>2</v>
      </c>
      <c r="BB238">
        <v>3</v>
      </c>
      <c r="BC238" t="s">
        <v>98</v>
      </c>
      <c r="BD238" t="s">
        <v>99</v>
      </c>
      <c r="BE238" t="s">
        <v>98</v>
      </c>
      <c r="BF238" t="s">
        <v>99</v>
      </c>
      <c r="BG238" t="s">
        <v>98</v>
      </c>
      <c r="BH238" t="s">
        <v>99</v>
      </c>
      <c r="BI238" t="s">
        <v>98</v>
      </c>
    </row>
    <row r="239" spans="1:61" x14ac:dyDescent="0.35">
      <c r="A239">
        <v>238</v>
      </c>
      <c r="B239">
        <v>45842.404594907406</v>
      </c>
      <c r="C239" t="s">
        <v>1539</v>
      </c>
      <c r="D239" t="s">
        <v>772</v>
      </c>
      <c r="E239" t="s">
        <v>772</v>
      </c>
      <c r="F239" t="s">
        <v>772</v>
      </c>
      <c r="G239" t="s">
        <v>1540</v>
      </c>
      <c r="H239" t="s">
        <v>578</v>
      </c>
      <c r="I239" t="s">
        <v>588</v>
      </c>
      <c r="J239" t="s">
        <v>1541</v>
      </c>
      <c r="K239" t="s">
        <v>1542</v>
      </c>
      <c r="L239" t="s">
        <v>69</v>
      </c>
      <c r="M239" t="s">
        <v>69</v>
      </c>
      <c r="N239" t="s">
        <v>69</v>
      </c>
      <c r="O239" t="s">
        <v>69</v>
      </c>
      <c r="P239" t="s">
        <v>106</v>
      </c>
      <c r="Q239" t="s">
        <v>1180</v>
      </c>
      <c r="R239" s="3">
        <v>47</v>
      </c>
      <c r="S239">
        <v>47</v>
      </c>
      <c r="T239" t="s">
        <v>225</v>
      </c>
      <c r="U239" t="s">
        <v>93</v>
      </c>
      <c r="V239" t="s">
        <v>74</v>
      </c>
      <c r="W239" t="s">
        <v>74</v>
      </c>
      <c r="X239">
        <v>4</v>
      </c>
      <c r="Y239">
        <v>4</v>
      </c>
      <c r="Z239">
        <v>3</v>
      </c>
      <c r="AA239">
        <v>4</v>
      </c>
      <c r="AB239">
        <v>4</v>
      </c>
      <c r="AC239">
        <v>4</v>
      </c>
      <c r="AD239">
        <v>0</v>
      </c>
      <c r="AE239">
        <v>0</v>
      </c>
      <c r="AF239">
        <v>4</v>
      </c>
      <c r="AG239">
        <v>4</v>
      </c>
      <c r="AH239">
        <v>4</v>
      </c>
      <c r="AI239">
        <v>4</v>
      </c>
      <c r="AJ239">
        <v>4</v>
      </c>
      <c r="AK239">
        <v>4</v>
      </c>
      <c r="AL239">
        <v>3</v>
      </c>
      <c r="AM239">
        <v>3</v>
      </c>
      <c r="AN239">
        <v>4</v>
      </c>
      <c r="AO239">
        <v>4</v>
      </c>
      <c r="AQ239">
        <v>0</v>
      </c>
      <c r="AR239" t="s">
        <v>69</v>
      </c>
      <c r="AT239">
        <v>0</v>
      </c>
      <c r="AU239" t="s">
        <v>69</v>
      </c>
      <c r="AW239">
        <v>0</v>
      </c>
      <c r="AX239" t="s">
        <v>69</v>
      </c>
      <c r="AY239" t="s">
        <v>144</v>
      </c>
      <c r="AZ239" t="s">
        <v>144</v>
      </c>
      <c r="BA239">
        <v>1</v>
      </c>
      <c r="BB239">
        <v>4</v>
      </c>
      <c r="BC239" t="s">
        <v>1544</v>
      </c>
      <c r="BD239" t="s">
        <v>79</v>
      </c>
      <c r="BE239" t="s">
        <v>1545</v>
      </c>
      <c r="BF239" t="s">
        <v>79</v>
      </c>
      <c r="BG239" t="s">
        <v>1546</v>
      </c>
      <c r="BH239" t="s">
        <v>79</v>
      </c>
      <c r="BI239" t="s">
        <v>1547</v>
      </c>
    </row>
    <row r="240" spans="1:61" x14ac:dyDescent="0.35">
      <c r="A240">
        <v>239</v>
      </c>
      <c r="B240">
        <v>45842.407164351855</v>
      </c>
      <c r="C240" t="s">
        <v>1548</v>
      </c>
      <c r="D240" t="s">
        <v>1549</v>
      </c>
      <c r="E240" t="s">
        <v>63</v>
      </c>
      <c r="F240" t="s">
        <v>136</v>
      </c>
      <c r="G240" t="s">
        <v>1550</v>
      </c>
      <c r="H240" t="s">
        <v>138</v>
      </c>
      <c r="I240" t="s">
        <v>139</v>
      </c>
      <c r="J240" t="s">
        <v>1480</v>
      </c>
      <c r="K240" t="s">
        <v>1551</v>
      </c>
      <c r="L240" t="s">
        <v>69</v>
      </c>
      <c r="M240" t="s">
        <v>69</v>
      </c>
      <c r="N240" t="s">
        <v>69</v>
      </c>
      <c r="O240" t="s">
        <v>69</v>
      </c>
      <c r="P240" t="s">
        <v>106</v>
      </c>
      <c r="Q240" t="s">
        <v>107</v>
      </c>
      <c r="R240" s="3">
        <v>50</v>
      </c>
      <c r="S240">
        <v>50</v>
      </c>
      <c r="T240" t="s">
        <v>225</v>
      </c>
      <c r="U240" t="s">
        <v>254</v>
      </c>
      <c r="V240" t="s">
        <v>74</v>
      </c>
      <c r="W240" t="s">
        <v>74</v>
      </c>
      <c r="X240">
        <v>4</v>
      </c>
      <c r="Y240">
        <v>4</v>
      </c>
      <c r="Z240">
        <v>4</v>
      </c>
      <c r="AA240">
        <v>4</v>
      </c>
      <c r="AB240">
        <v>4</v>
      </c>
      <c r="AC240">
        <v>4</v>
      </c>
      <c r="AD240">
        <v>4</v>
      </c>
      <c r="AE240">
        <v>4</v>
      </c>
      <c r="AF240">
        <v>4</v>
      </c>
      <c r="AG240">
        <v>4</v>
      </c>
      <c r="AH240">
        <v>4</v>
      </c>
      <c r="AI240">
        <v>4</v>
      </c>
      <c r="AJ240">
        <v>4</v>
      </c>
      <c r="AK240">
        <v>4</v>
      </c>
      <c r="AL240">
        <v>4</v>
      </c>
      <c r="AM240">
        <v>4</v>
      </c>
      <c r="AN240">
        <v>4</v>
      </c>
      <c r="AO240">
        <v>4</v>
      </c>
      <c r="AP240">
        <v>1</v>
      </c>
      <c r="AQ240">
        <v>4</v>
      </c>
      <c r="AR240" t="s">
        <v>69</v>
      </c>
      <c r="AT240">
        <v>0</v>
      </c>
      <c r="AU240" t="s">
        <v>69</v>
      </c>
      <c r="AW240">
        <v>0</v>
      </c>
      <c r="AX240" t="s">
        <v>69</v>
      </c>
      <c r="AY240" t="s">
        <v>83</v>
      </c>
      <c r="AZ240" t="s">
        <v>96</v>
      </c>
      <c r="BA240">
        <v>0</v>
      </c>
      <c r="BB240">
        <v>0</v>
      </c>
      <c r="BC240" t="s">
        <v>98</v>
      </c>
      <c r="BD240" t="s">
        <v>99</v>
      </c>
      <c r="BE240" t="s">
        <v>98</v>
      </c>
      <c r="BF240" t="s">
        <v>99</v>
      </c>
      <c r="BG240" t="s">
        <v>98</v>
      </c>
      <c r="BH240" t="s">
        <v>99</v>
      </c>
      <c r="BI240" t="s">
        <v>1552</v>
      </c>
    </row>
    <row r="241" spans="1:61" x14ac:dyDescent="0.35">
      <c r="A241">
        <v>240</v>
      </c>
      <c r="B241">
        <v>45842.407997685186</v>
      </c>
      <c r="C241" t="s">
        <v>1553</v>
      </c>
      <c r="D241" t="s">
        <v>1554</v>
      </c>
      <c r="E241" t="s">
        <v>63</v>
      </c>
      <c r="F241" t="s">
        <v>1555</v>
      </c>
      <c r="G241" t="s">
        <v>1556</v>
      </c>
      <c r="H241" t="s">
        <v>578</v>
      </c>
      <c r="I241" t="s">
        <v>588</v>
      </c>
      <c r="J241" t="s">
        <v>1432</v>
      </c>
      <c r="K241" t="s">
        <v>1432</v>
      </c>
      <c r="L241" t="s">
        <v>69</v>
      </c>
      <c r="M241" t="s">
        <v>69</v>
      </c>
      <c r="N241" t="s">
        <v>69</v>
      </c>
      <c r="O241" t="s">
        <v>69</v>
      </c>
      <c r="P241" t="s">
        <v>70</v>
      </c>
      <c r="Q241" t="s">
        <v>292</v>
      </c>
      <c r="R241" s="3">
        <v>18</v>
      </c>
      <c r="S241">
        <v>18</v>
      </c>
      <c r="T241" t="s">
        <v>131</v>
      </c>
      <c r="U241" t="s">
        <v>73</v>
      </c>
      <c r="V241" t="s">
        <v>94</v>
      </c>
      <c r="W241" t="s">
        <v>95</v>
      </c>
      <c r="X241">
        <v>3</v>
      </c>
      <c r="Y241">
        <v>4</v>
      </c>
      <c r="Z241">
        <v>4</v>
      </c>
      <c r="AA241">
        <v>4</v>
      </c>
      <c r="AB241">
        <v>4</v>
      </c>
      <c r="AC241">
        <v>4</v>
      </c>
      <c r="AD241">
        <v>3</v>
      </c>
      <c r="AE241">
        <v>3</v>
      </c>
      <c r="AF241">
        <v>4</v>
      </c>
      <c r="AG241">
        <v>4</v>
      </c>
      <c r="AH241">
        <v>4</v>
      </c>
      <c r="AI241">
        <v>4</v>
      </c>
      <c r="AJ241">
        <v>3</v>
      </c>
      <c r="AK241">
        <v>4</v>
      </c>
      <c r="AL241">
        <v>4</v>
      </c>
      <c r="AM241">
        <v>4</v>
      </c>
      <c r="AN241">
        <v>3</v>
      </c>
      <c r="AO241">
        <v>3</v>
      </c>
      <c r="AQ241">
        <v>0</v>
      </c>
      <c r="AR241" t="s">
        <v>69</v>
      </c>
      <c r="AS241">
        <v>2</v>
      </c>
      <c r="AT241">
        <v>3</v>
      </c>
      <c r="AU241" t="s">
        <v>75</v>
      </c>
      <c r="AW241">
        <v>0</v>
      </c>
      <c r="AX241" t="s">
        <v>69</v>
      </c>
      <c r="AY241" t="s">
        <v>83</v>
      </c>
      <c r="AZ241" t="s">
        <v>96</v>
      </c>
      <c r="BA241">
        <v>0</v>
      </c>
      <c r="BB241">
        <v>0</v>
      </c>
      <c r="BC241" t="s">
        <v>98</v>
      </c>
      <c r="BD241" t="s">
        <v>99</v>
      </c>
      <c r="BE241" t="s">
        <v>98</v>
      </c>
      <c r="BF241" t="s">
        <v>99</v>
      </c>
      <c r="BG241" t="s">
        <v>98</v>
      </c>
      <c r="BH241" t="s">
        <v>99</v>
      </c>
      <c r="BI241" t="s">
        <v>83</v>
      </c>
    </row>
    <row r="242" spans="1:61" x14ac:dyDescent="0.35">
      <c r="A242">
        <v>241</v>
      </c>
      <c r="B242">
        <v>45842.410960648151</v>
      </c>
      <c r="C242" t="s">
        <v>1557</v>
      </c>
      <c r="D242" t="s">
        <v>1558</v>
      </c>
      <c r="E242" t="s">
        <v>63</v>
      </c>
      <c r="F242" t="s">
        <v>136</v>
      </c>
      <c r="G242" t="s">
        <v>1559</v>
      </c>
      <c r="H242" t="s">
        <v>138</v>
      </c>
      <c r="I242" t="s">
        <v>139</v>
      </c>
      <c r="J242" t="s">
        <v>1480</v>
      </c>
      <c r="K242" t="s">
        <v>1560</v>
      </c>
      <c r="L242" t="s">
        <v>69</v>
      </c>
      <c r="M242" t="s">
        <v>69</v>
      </c>
      <c r="N242" t="s">
        <v>69</v>
      </c>
      <c r="O242" t="s">
        <v>69</v>
      </c>
      <c r="P242" t="s">
        <v>106</v>
      </c>
      <c r="Q242" t="s">
        <v>107</v>
      </c>
      <c r="R242" s="3">
        <v>29</v>
      </c>
      <c r="S242">
        <v>29</v>
      </c>
      <c r="T242" t="s">
        <v>92</v>
      </c>
      <c r="U242" t="s">
        <v>73</v>
      </c>
      <c r="V242" t="s">
        <v>74</v>
      </c>
      <c r="W242" t="s">
        <v>74</v>
      </c>
      <c r="X242">
        <v>4</v>
      </c>
      <c r="Y242">
        <v>4</v>
      </c>
      <c r="Z242">
        <v>4</v>
      </c>
      <c r="AA242">
        <v>4</v>
      </c>
      <c r="AB242">
        <v>4</v>
      </c>
      <c r="AC242">
        <v>4</v>
      </c>
      <c r="AD242">
        <v>4</v>
      </c>
      <c r="AE242">
        <v>4</v>
      </c>
      <c r="AF242">
        <v>3</v>
      </c>
      <c r="AG242">
        <v>3</v>
      </c>
      <c r="AH242">
        <v>4</v>
      </c>
      <c r="AI242">
        <v>4</v>
      </c>
      <c r="AJ242">
        <v>4</v>
      </c>
      <c r="AK242">
        <v>4</v>
      </c>
      <c r="AL242">
        <v>4</v>
      </c>
      <c r="AM242">
        <v>4</v>
      </c>
      <c r="AN242">
        <v>3</v>
      </c>
      <c r="AO242">
        <v>3</v>
      </c>
      <c r="AQ242">
        <v>0</v>
      </c>
      <c r="AR242" t="s">
        <v>69</v>
      </c>
      <c r="AT242">
        <v>0</v>
      </c>
      <c r="AU242" t="s">
        <v>69</v>
      </c>
      <c r="AW242">
        <v>0</v>
      </c>
      <c r="AX242" t="s">
        <v>69</v>
      </c>
      <c r="AY242" t="s">
        <v>384</v>
      </c>
      <c r="AZ242" t="s">
        <v>186</v>
      </c>
      <c r="BA242">
        <v>1</v>
      </c>
      <c r="BB242">
        <v>4</v>
      </c>
      <c r="BC242" t="s">
        <v>98</v>
      </c>
      <c r="BD242" t="s">
        <v>99</v>
      </c>
      <c r="BE242" t="s">
        <v>98</v>
      </c>
      <c r="BF242" t="s">
        <v>99</v>
      </c>
      <c r="BG242" t="s">
        <v>98</v>
      </c>
      <c r="BH242" t="s">
        <v>99</v>
      </c>
      <c r="BI242" t="s">
        <v>98</v>
      </c>
    </row>
    <row r="243" spans="1:61" x14ac:dyDescent="0.35">
      <c r="A243">
        <v>242</v>
      </c>
      <c r="B243">
        <v>45842.411446759259</v>
      </c>
      <c r="C243" t="s">
        <v>1561</v>
      </c>
      <c r="D243" t="s">
        <v>1562</v>
      </c>
      <c r="E243" t="s">
        <v>63</v>
      </c>
      <c r="F243" t="s">
        <v>63</v>
      </c>
      <c r="G243" t="s">
        <v>1563</v>
      </c>
      <c r="H243" t="s">
        <v>578</v>
      </c>
      <c r="I243" t="s">
        <v>588</v>
      </c>
      <c r="J243" t="s">
        <v>1432</v>
      </c>
      <c r="K243" t="s">
        <v>940</v>
      </c>
      <c r="L243" t="s">
        <v>69</v>
      </c>
      <c r="M243" t="s">
        <v>69</v>
      </c>
      <c r="N243" t="s">
        <v>69</v>
      </c>
      <c r="O243" t="s">
        <v>69</v>
      </c>
      <c r="P243" t="s">
        <v>106</v>
      </c>
      <c r="Q243" t="s">
        <v>292</v>
      </c>
      <c r="R243" s="3">
        <v>18</v>
      </c>
      <c r="S243">
        <v>18</v>
      </c>
      <c r="T243" t="s">
        <v>131</v>
      </c>
      <c r="U243" t="s">
        <v>73</v>
      </c>
      <c r="V243" t="s">
        <v>94</v>
      </c>
      <c r="W243" t="s">
        <v>95</v>
      </c>
      <c r="X243">
        <v>4</v>
      </c>
      <c r="Y243">
        <v>4</v>
      </c>
      <c r="Z243">
        <v>4</v>
      </c>
      <c r="AA243">
        <v>4</v>
      </c>
      <c r="AB243">
        <v>4</v>
      </c>
      <c r="AC243">
        <v>4</v>
      </c>
      <c r="AD243">
        <v>4</v>
      </c>
      <c r="AE243">
        <v>4</v>
      </c>
      <c r="AF243">
        <v>4</v>
      </c>
      <c r="AG243">
        <v>4</v>
      </c>
      <c r="AH243">
        <v>4</v>
      </c>
      <c r="AI243">
        <v>4</v>
      </c>
      <c r="AJ243">
        <v>4</v>
      </c>
      <c r="AK243">
        <v>4</v>
      </c>
      <c r="AL243">
        <v>4</v>
      </c>
      <c r="AM243">
        <v>4</v>
      </c>
      <c r="AN243">
        <v>4</v>
      </c>
      <c r="AO243">
        <v>4</v>
      </c>
      <c r="AQ243">
        <v>0</v>
      </c>
      <c r="AR243" t="s">
        <v>69</v>
      </c>
      <c r="AS243">
        <v>1</v>
      </c>
      <c r="AT243">
        <v>4</v>
      </c>
      <c r="AU243" t="s">
        <v>75</v>
      </c>
      <c r="AW243">
        <v>0</v>
      </c>
      <c r="AX243" t="s">
        <v>69</v>
      </c>
      <c r="AY243" t="s">
        <v>83</v>
      </c>
      <c r="AZ243" t="s">
        <v>96</v>
      </c>
      <c r="BA243">
        <v>0</v>
      </c>
      <c r="BB243">
        <v>0</v>
      </c>
      <c r="BC243" t="s">
        <v>98</v>
      </c>
      <c r="BD243" t="s">
        <v>99</v>
      </c>
      <c r="BE243" t="s">
        <v>1564</v>
      </c>
      <c r="BF243" t="s">
        <v>81</v>
      </c>
      <c r="BG243" t="s">
        <v>1465</v>
      </c>
      <c r="BH243" t="s">
        <v>99</v>
      </c>
      <c r="BI243" t="s">
        <v>83</v>
      </c>
    </row>
    <row r="244" spans="1:61" x14ac:dyDescent="0.35">
      <c r="A244">
        <v>243</v>
      </c>
      <c r="B244">
        <v>45842.415659722225</v>
      </c>
      <c r="C244" t="s">
        <v>1565</v>
      </c>
      <c r="D244" t="s">
        <v>1566</v>
      </c>
      <c r="E244" t="s">
        <v>904</v>
      </c>
      <c r="F244" t="s">
        <v>1566</v>
      </c>
      <c r="G244" t="s">
        <v>1567</v>
      </c>
      <c r="H244" t="s">
        <v>578</v>
      </c>
      <c r="I244" t="s">
        <v>588</v>
      </c>
      <c r="J244" t="s">
        <v>1432</v>
      </c>
      <c r="K244" t="s">
        <v>369</v>
      </c>
      <c r="L244" t="s">
        <v>69</v>
      </c>
      <c r="M244" t="s">
        <v>69</v>
      </c>
      <c r="N244" t="s">
        <v>69</v>
      </c>
      <c r="O244" t="s">
        <v>69</v>
      </c>
      <c r="P244" t="s">
        <v>106</v>
      </c>
      <c r="Q244" t="s">
        <v>292</v>
      </c>
      <c r="R244" s="3">
        <v>18</v>
      </c>
      <c r="S244">
        <v>18</v>
      </c>
      <c r="T244" t="s">
        <v>131</v>
      </c>
      <c r="U244" t="s">
        <v>73</v>
      </c>
      <c r="V244" t="s">
        <v>94</v>
      </c>
      <c r="W244" t="s">
        <v>95</v>
      </c>
      <c r="X244">
        <v>4</v>
      </c>
      <c r="Y244">
        <v>4</v>
      </c>
      <c r="Z244">
        <v>4</v>
      </c>
      <c r="AA244">
        <v>4</v>
      </c>
      <c r="AB244">
        <v>4</v>
      </c>
      <c r="AC244">
        <v>4</v>
      </c>
      <c r="AD244">
        <v>4</v>
      </c>
      <c r="AE244">
        <v>4</v>
      </c>
      <c r="AF244">
        <v>4</v>
      </c>
      <c r="AG244">
        <v>4</v>
      </c>
      <c r="AH244">
        <v>4</v>
      </c>
      <c r="AI244">
        <v>4</v>
      </c>
      <c r="AJ244">
        <v>4</v>
      </c>
      <c r="AK244">
        <v>4</v>
      </c>
      <c r="AL244">
        <v>4</v>
      </c>
      <c r="AM244">
        <v>4</v>
      </c>
      <c r="AN244">
        <v>3</v>
      </c>
      <c r="AO244">
        <v>4</v>
      </c>
      <c r="AQ244">
        <v>0</v>
      </c>
      <c r="AR244" t="s">
        <v>69</v>
      </c>
      <c r="AT244">
        <v>0</v>
      </c>
      <c r="AU244" t="s">
        <v>69</v>
      </c>
      <c r="AW244">
        <v>0</v>
      </c>
      <c r="AX244" t="s">
        <v>69</v>
      </c>
      <c r="AY244" t="s">
        <v>532</v>
      </c>
      <c r="AZ244" t="s">
        <v>77</v>
      </c>
      <c r="BA244">
        <v>2</v>
      </c>
      <c r="BB244">
        <v>3</v>
      </c>
      <c r="BC244" t="s">
        <v>802</v>
      </c>
      <c r="BD244" t="s">
        <v>79</v>
      </c>
      <c r="BE244" t="s">
        <v>1564</v>
      </c>
      <c r="BF244" t="s">
        <v>81</v>
      </c>
      <c r="BG244" t="s">
        <v>555</v>
      </c>
      <c r="BH244" t="s">
        <v>79</v>
      </c>
      <c r="BI244" t="s">
        <v>83</v>
      </c>
    </row>
    <row r="245" spans="1:61" x14ac:dyDescent="0.35">
      <c r="A245">
        <v>244</v>
      </c>
      <c r="B245">
        <v>45842.41951388889</v>
      </c>
      <c r="C245" t="s">
        <v>1568</v>
      </c>
      <c r="D245" t="s">
        <v>1569</v>
      </c>
      <c r="E245" t="s">
        <v>63</v>
      </c>
      <c r="F245" t="s">
        <v>136</v>
      </c>
      <c r="G245" t="s">
        <v>1570</v>
      </c>
      <c r="H245" t="s">
        <v>578</v>
      </c>
      <c r="I245" t="s">
        <v>588</v>
      </c>
      <c r="J245" t="s">
        <v>1432</v>
      </c>
      <c r="K245" t="s">
        <v>1571</v>
      </c>
      <c r="L245" t="s">
        <v>69</v>
      </c>
      <c r="M245" t="s">
        <v>69</v>
      </c>
      <c r="N245" t="s">
        <v>69</v>
      </c>
      <c r="O245" t="s">
        <v>69</v>
      </c>
      <c r="P245" t="s">
        <v>70</v>
      </c>
      <c r="Q245" t="s">
        <v>292</v>
      </c>
      <c r="R245" s="3">
        <v>18</v>
      </c>
      <c r="S245">
        <v>18</v>
      </c>
      <c r="T245" t="s">
        <v>131</v>
      </c>
      <c r="U245" t="s">
        <v>93</v>
      </c>
      <c r="V245" t="s">
        <v>94</v>
      </c>
      <c r="W245" t="s">
        <v>95</v>
      </c>
      <c r="X245">
        <v>3</v>
      </c>
      <c r="Y245">
        <v>3</v>
      </c>
      <c r="Z245">
        <v>3</v>
      </c>
      <c r="AA245">
        <v>3</v>
      </c>
      <c r="AB245">
        <v>3</v>
      </c>
      <c r="AC245">
        <v>3</v>
      </c>
      <c r="AD245">
        <v>3</v>
      </c>
      <c r="AE245">
        <v>3</v>
      </c>
      <c r="AF245">
        <v>3</v>
      </c>
      <c r="AG245">
        <v>3</v>
      </c>
      <c r="AH245">
        <v>3</v>
      </c>
      <c r="AI245">
        <v>3</v>
      </c>
      <c r="AJ245">
        <v>3</v>
      </c>
      <c r="AK245">
        <v>3</v>
      </c>
      <c r="AL245">
        <v>3</v>
      </c>
      <c r="AM245">
        <v>3</v>
      </c>
      <c r="AN245">
        <v>3</v>
      </c>
      <c r="AO245">
        <v>3</v>
      </c>
      <c r="AQ245">
        <v>0</v>
      </c>
      <c r="AR245" t="s">
        <v>69</v>
      </c>
      <c r="AT245">
        <v>0</v>
      </c>
      <c r="AU245" t="s">
        <v>69</v>
      </c>
      <c r="AW245">
        <v>0</v>
      </c>
      <c r="AX245" t="s">
        <v>69</v>
      </c>
      <c r="AY245" t="s">
        <v>1572</v>
      </c>
      <c r="AZ245" t="s">
        <v>77</v>
      </c>
      <c r="BA245">
        <v>2</v>
      </c>
      <c r="BB245">
        <v>3</v>
      </c>
      <c r="BC245" t="s">
        <v>1573</v>
      </c>
      <c r="BD245" t="s">
        <v>235</v>
      </c>
      <c r="BE245" t="s">
        <v>98</v>
      </c>
      <c r="BF245" t="s">
        <v>99</v>
      </c>
      <c r="BG245" t="s">
        <v>1574</v>
      </c>
      <c r="BH245" t="s">
        <v>146</v>
      </c>
      <c r="BI245" t="s">
        <v>83</v>
      </c>
    </row>
    <row r="246" spans="1:61" x14ac:dyDescent="0.35">
      <c r="A246">
        <v>245</v>
      </c>
      <c r="B246">
        <v>45842.423495370371</v>
      </c>
      <c r="C246" t="s">
        <v>1575</v>
      </c>
      <c r="D246" t="s">
        <v>1576</v>
      </c>
      <c r="E246" t="s">
        <v>63</v>
      </c>
      <c r="F246" t="s">
        <v>125</v>
      </c>
      <c r="G246" t="s">
        <v>1577</v>
      </c>
      <c r="H246" t="s">
        <v>578</v>
      </c>
      <c r="I246" t="s">
        <v>588</v>
      </c>
      <c r="J246" t="s">
        <v>1432</v>
      </c>
      <c r="K246" t="s">
        <v>1578</v>
      </c>
      <c r="L246" t="s">
        <v>69</v>
      </c>
      <c r="M246" t="s">
        <v>69</v>
      </c>
      <c r="N246" t="s">
        <v>69</v>
      </c>
      <c r="O246" t="s">
        <v>69</v>
      </c>
      <c r="P246" t="s">
        <v>70</v>
      </c>
      <c r="Q246" t="s">
        <v>292</v>
      </c>
      <c r="R246" s="3" t="s">
        <v>1006</v>
      </c>
      <c r="S246">
        <v>26</v>
      </c>
      <c r="T246" t="s">
        <v>92</v>
      </c>
      <c r="U246" t="s">
        <v>93</v>
      </c>
      <c r="V246" t="s">
        <v>74</v>
      </c>
      <c r="W246" t="s">
        <v>74</v>
      </c>
      <c r="X246">
        <v>3</v>
      </c>
      <c r="Y246">
        <v>3</v>
      </c>
      <c r="Z246">
        <v>4</v>
      </c>
      <c r="AA246">
        <v>3</v>
      </c>
      <c r="AB246">
        <v>4</v>
      </c>
      <c r="AC246">
        <v>3</v>
      </c>
      <c r="AD246">
        <v>3</v>
      </c>
      <c r="AE246">
        <v>3</v>
      </c>
      <c r="AF246">
        <v>3</v>
      </c>
      <c r="AG246">
        <v>4</v>
      </c>
      <c r="AH246">
        <v>4</v>
      </c>
      <c r="AI246">
        <v>3</v>
      </c>
      <c r="AJ246">
        <v>3</v>
      </c>
      <c r="AK246">
        <v>3</v>
      </c>
      <c r="AL246">
        <v>3</v>
      </c>
      <c r="AM246">
        <v>4</v>
      </c>
      <c r="AN246">
        <v>4</v>
      </c>
      <c r="AO246">
        <v>4</v>
      </c>
      <c r="AQ246">
        <v>0</v>
      </c>
      <c r="AR246" t="s">
        <v>69</v>
      </c>
      <c r="AS246">
        <v>2</v>
      </c>
      <c r="AT246">
        <v>3</v>
      </c>
      <c r="AU246" t="s">
        <v>75</v>
      </c>
      <c r="AW246">
        <v>0</v>
      </c>
      <c r="AX246" t="s">
        <v>69</v>
      </c>
      <c r="AY246" t="s">
        <v>83</v>
      </c>
      <c r="AZ246" t="s">
        <v>96</v>
      </c>
      <c r="BA246">
        <v>0</v>
      </c>
      <c r="BB246">
        <v>0</v>
      </c>
      <c r="BC246" t="s">
        <v>98</v>
      </c>
      <c r="BD246" t="s">
        <v>99</v>
      </c>
      <c r="BE246" t="s">
        <v>1579</v>
      </c>
      <c r="BF246" t="s">
        <v>157</v>
      </c>
      <c r="BG246" t="s">
        <v>503</v>
      </c>
      <c r="BH246" t="s">
        <v>79</v>
      </c>
      <c r="BI246" t="s">
        <v>83</v>
      </c>
    </row>
    <row r="247" spans="1:61" x14ac:dyDescent="0.35">
      <c r="A247">
        <v>246</v>
      </c>
      <c r="B247">
        <v>45842.426747685182</v>
      </c>
      <c r="C247" t="s">
        <v>1580</v>
      </c>
      <c r="D247" t="s">
        <v>1581</v>
      </c>
      <c r="E247" t="s">
        <v>904</v>
      </c>
      <c r="F247" t="s">
        <v>1582</v>
      </c>
      <c r="G247" t="s">
        <v>1583</v>
      </c>
      <c r="H247" t="s">
        <v>578</v>
      </c>
      <c r="I247" t="s">
        <v>596</v>
      </c>
      <c r="J247" t="s">
        <v>1432</v>
      </c>
      <c r="K247" t="s">
        <v>1584</v>
      </c>
      <c r="L247" t="s">
        <v>69</v>
      </c>
      <c r="M247" t="s">
        <v>69</v>
      </c>
      <c r="N247" t="s">
        <v>69</v>
      </c>
      <c r="O247" t="s">
        <v>69</v>
      </c>
      <c r="P247" t="s">
        <v>70</v>
      </c>
      <c r="Q247" t="s">
        <v>292</v>
      </c>
      <c r="R247" s="3" t="s">
        <v>217</v>
      </c>
      <c r="S247">
        <v>20</v>
      </c>
      <c r="T247" t="s">
        <v>131</v>
      </c>
      <c r="U247" t="s">
        <v>93</v>
      </c>
      <c r="V247" t="s">
        <v>94</v>
      </c>
      <c r="W247" t="s">
        <v>95</v>
      </c>
      <c r="X247">
        <v>4</v>
      </c>
      <c r="Y247">
        <v>4</v>
      </c>
      <c r="Z247">
        <v>4</v>
      </c>
      <c r="AA247">
        <v>4</v>
      </c>
      <c r="AB247">
        <v>4</v>
      </c>
      <c r="AC247">
        <v>4</v>
      </c>
      <c r="AD247">
        <v>4</v>
      </c>
      <c r="AE247">
        <v>4</v>
      </c>
      <c r="AF247">
        <v>4</v>
      </c>
      <c r="AG247">
        <v>4</v>
      </c>
      <c r="AH247">
        <v>4</v>
      </c>
      <c r="AI247">
        <v>4</v>
      </c>
      <c r="AJ247">
        <v>4</v>
      </c>
      <c r="AK247">
        <v>4</v>
      </c>
      <c r="AL247">
        <v>4</v>
      </c>
      <c r="AM247">
        <v>4</v>
      </c>
      <c r="AN247">
        <v>3</v>
      </c>
      <c r="AO247">
        <v>4</v>
      </c>
      <c r="AP247">
        <v>2</v>
      </c>
      <c r="AQ247">
        <v>3</v>
      </c>
      <c r="AR247" t="s">
        <v>75</v>
      </c>
      <c r="AT247">
        <v>0</v>
      </c>
      <c r="AU247" t="s">
        <v>69</v>
      </c>
      <c r="AW247">
        <v>0</v>
      </c>
      <c r="AX247" t="s">
        <v>69</v>
      </c>
      <c r="AY247" t="s">
        <v>83</v>
      </c>
      <c r="AZ247" t="s">
        <v>96</v>
      </c>
      <c r="BA247">
        <v>0</v>
      </c>
      <c r="BB247">
        <v>0</v>
      </c>
      <c r="BC247" t="s">
        <v>98</v>
      </c>
      <c r="BD247" t="s">
        <v>99</v>
      </c>
      <c r="BE247" t="s">
        <v>98</v>
      </c>
      <c r="BF247" t="s">
        <v>99</v>
      </c>
      <c r="BG247" t="s">
        <v>1585</v>
      </c>
      <c r="BH247" t="s">
        <v>146</v>
      </c>
      <c r="BI247" t="s">
        <v>83</v>
      </c>
    </row>
    <row r="248" spans="1:61" x14ac:dyDescent="0.35">
      <c r="A248">
        <v>247</v>
      </c>
      <c r="B248">
        <v>45842.429085648146</v>
      </c>
      <c r="C248" t="s">
        <v>1586</v>
      </c>
      <c r="D248" t="s">
        <v>1587</v>
      </c>
      <c r="E248" t="s">
        <v>1588</v>
      </c>
      <c r="F248" t="s">
        <v>1589</v>
      </c>
      <c r="G248" t="s">
        <v>1590</v>
      </c>
      <c r="H248" t="s">
        <v>138</v>
      </c>
      <c r="I248" t="s">
        <v>139</v>
      </c>
      <c r="J248" t="s">
        <v>1480</v>
      </c>
      <c r="K248" t="s">
        <v>1591</v>
      </c>
      <c r="L248" t="s">
        <v>69</v>
      </c>
      <c r="M248" t="s">
        <v>69</v>
      </c>
      <c r="N248" t="s">
        <v>69</v>
      </c>
      <c r="O248" t="s">
        <v>69</v>
      </c>
      <c r="P248" t="s">
        <v>106</v>
      </c>
      <c r="Q248" t="s">
        <v>271</v>
      </c>
      <c r="R248" s="3">
        <v>31</v>
      </c>
      <c r="S248">
        <v>31</v>
      </c>
      <c r="T248" t="s">
        <v>109</v>
      </c>
      <c r="U248" t="s">
        <v>73</v>
      </c>
      <c r="V248" t="s">
        <v>1592</v>
      </c>
      <c r="W248" t="s">
        <v>133</v>
      </c>
      <c r="X248">
        <v>3</v>
      </c>
      <c r="Y248">
        <v>3</v>
      </c>
      <c r="Z248">
        <v>3</v>
      </c>
      <c r="AA248">
        <v>3</v>
      </c>
      <c r="AB248">
        <v>3</v>
      </c>
      <c r="AC248">
        <v>3</v>
      </c>
      <c r="AD248">
        <v>3</v>
      </c>
      <c r="AE248">
        <v>3</v>
      </c>
      <c r="AF248">
        <v>3</v>
      </c>
      <c r="AG248">
        <v>3</v>
      </c>
      <c r="AH248">
        <v>3</v>
      </c>
      <c r="AI248">
        <v>3</v>
      </c>
      <c r="AJ248">
        <v>4</v>
      </c>
      <c r="AK248">
        <v>3</v>
      </c>
      <c r="AL248">
        <v>4</v>
      </c>
      <c r="AM248">
        <v>3</v>
      </c>
      <c r="AN248">
        <v>3</v>
      </c>
      <c r="AO248">
        <v>3</v>
      </c>
      <c r="AP248">
        <v>2</v>
      </c>
      <c r="AQ248">
        <v>3</v>
      </c>
      <c r="AR248" t="s">
        <v>75</v>
      </c>
      <c r="AT248">
        <v>0</v>
      </c>
      <c r="AU248" t="s">
        <v>69</v>
      </c>
      <c r="AW248">
        <v>0</v>
      </c>
      <c r="AX248" t="s">
        <v>69</v>
      </c>
      <c r="AY248" t="s">
        <v>83</v>
      </c>
      <c r="AZ248" t="s">
        <v>96</v>
      </c>
      <c r="BA248">
        <v>0</v>
      </c>
      <c r="BB248">
        <v>0</v>
      </c>
      <c r="BC248" t="s">
        <v>98</v>
      </c>
      <c r="BD248" t="s">
        <v>99</v>
      </c>
      <c r="BE248" t="s">
        <v>1593</v>
      </c>
      <c r="BF248" t="s">
        <v>157</v>
      </c>
      <c r="BG248" t="s">
        <v>98</v>
      </c>
      <c r="BH248" t="s">
        <v>99</v>
      </c>
      <c r="BI248" t="s">
        <v>98</v>
      </c>
    </row>
    <row r="249" spans="1:61" x14ac:dyDescent="0.35">
      <c r="A249">
        <v>248</v>
      </c>
      <c r="B249">
        <v>45842.433749999997</v>
      </c>
      <c r="C249" t="s">
        <v>881</v>
      </c>
      <c r="D249" t="s">
        <v>1594</v>
      </c>
      <c r="E249" t="s">
        <v>63</v>
      </c>
      <c r="F249" t="s">
        <v>63</v>
      </c>
      <c r="G249" t="s">
        <v>1595</v>
      </c>
      <c r="H249" t="s">
        <v>517</v>
      </c>
      <c r="I249" t="s">
        <v>518</v>
      </c>
      <c r="J249" t="s">
        <v>1596</v>
      </c>
      <c r="K249" t="s">
        <v>1597</v>
      </c>
      <c r="L249" t="s">
        <v>69</v>
      </c>
      <c r="M249" t="s">
        <v>69</v>
      </c>
      <c r="N249" t="s">
        <v>69</v>
      </c>
      <c r="O249" t="s">
        <v>69</v>
      </c>
      <c r="P249" t="s">
        <v>70</v>
      </c>
      <c r="Q249" t="s">
        <v>1180</v>
      </c>
      <c r="R249" s="3" t="s">
        <v>272</v>
      </c>
      <c r="S249">
        <v>43</v>
      </c>
      <c r="T249" t="s">
        <v>197</v>
      </c>
      <c r="U249" t="s">
        <v>93</v>
      </c>
      <c r="V249" t="s">
        <v>110</v>
      </c>
      <c r="W249" t="s">
        <v>110</v>
      </c>
      <c r="X249">
        <v>4</v>
      </c>
      <c r="Y249">
        <v>4</v>
      </c>
      <c r="Z249">
        <v>4</v>
      </c>
      <c r="AA249">
        <v>4</v>
      </c>
      <c r="AB249">
        <v>4</v>
      </c>
      <c r="AC249">
        <v>4</v>
      </c>
      <c r="AD249">
        <v>0</v>
      </c>
      <c r="AE249">
        <v>0</v>
      </c>
      <c r="AF249">
        <v>4</v>
      </c>
      <c r="AG249">
        <v>4</v>
      </c>
      <c r="AH249">
        <v>4</v>
      </c>
      <c r="AI249">
        <v>4</v>
      </c>
      <c r="AJ249">
        <v>4</v>
      </c>
      <c r="AK249">
        <v>4</v>
      </c>
      <c r="AL249">
        <v>4</v>
      </c>
      <c r="AM249">
        <v>4</v>
      </c>
      <c r="AN249">
        <v>4</v>
      </c>
      <c r="AO249">
        <v>4</v>
      </c>
      <c r="AP249">
        <v>1</v>
      </c>
      <c r="AQ249">
        <v>4</v>
      </c>
      <c r="AR249" t="s">
        <v>75</v>
      </c>
      <c r="AT249">
        <v>0</v>
      </c>
      <c r="AU249" t="s">
        <v>69</v>
      </c>
      <c r="AW249">
        <v>0</v>
      </c>
      <c r="AX249" t="s">
        <v>69</v>
      </c>
      <c r="AY249" t="s">
        <v>83</v>
      </c>
      <c r="AZ249" t="s">
        <v>96</v>
      </c>
      <c r="BA249">
        <v>0</v>
      </c>
      <c r="BB249">
        <v>0</v>
      </c>
      <c r="BC249" t="s">
        <v>1598</v>
      </c>
      <c r="BD249" t="s">
        <v>79</v>
      </c>
      <c r="BE249" t="s">
        <v>1599</v>
      </c>
      <c r="BF249" t="s">
        <v>1600</v>
      </c>
      <c r="BG249" t="s">
        <v>528</v>
      </c>
      <c r="BH249" t="s">
        <v>79</v>
      </c>
      <c r="BI249" t="s">
        <v>83</v>
      </c>
    </row>
    <row r="250" spans="1:61" x14ac:dyDescent="0.35">
      <c r="A250">
        <v>249</v>
      </c>
      <c r="B250">
        <v>45842.440104166664</v>
      </c>
      <c r="C250" t="s">
        <v>1601</v>
      </c>
      <c r="D250" t="s">
        <v>1602</v>
      </c>
      <c r="E250" t="s">
        <v>1603</v>
      </c>
      <c r="F250" t="s">
        <v>1604</v>
      </c>
      <c r="G250" t="s">
        <v>1605</v>
      </c>
      <c r="H250" t="s">
        <v>138</v>
      </c>
      <c r="I250" t="s">
        <v>139</v>
      </c>
      <c r="J250" t="s">
        <v>1480</v>
      </c>
      <c r="K250" t="s">
        <v>1606</v>
      </c>
      <c r="L250" t="s">
        <v>69</v>
      </c>
      <c r="M250" t="s">
        <v>69</v>
      </c>
      <c r="N250" t="s">
        <v>69</v>
      </c>
      <c r="O250" t="s">
        <v>69</v>
      </c>
      <c r="P250" t="s">
        <v>106</v>
      </c>
      <c r="Q250" t="s">
        <v>271</v>
      </c>
      <c r="R250" s="3">
        <v>20</v>
      </c>
      <c r="S250">
        <v>20</v>
      </c>
      <c r="T250" t="s">
        <v>131</v>
      </c>
      <c r="U250" t="s">
        <v>73</v>
      </c>
      <c r="V250" t="s">
        <v>94</v>
      </c>
      <c r="W250" t="s">
        <v>95</v>
      </c>
      <c r="X250">
        <v>3</v>
      </c>
      <c r="Y250">
        <v>3</v>
      </c>
      <c r="Z250">
        <v>3</v>
      </c>
      <c r="AA250">
        <v>3</v>
      </c>
      <c r="AB250">
        <v>3</v>
      </c>
      <c r="AC250">
        <v>3</v>
      </c>
      <c r="AD250">
        <v>3</v>
      </c>
      <c r="AE250">
        <v>3</v>
      </c>
      <c r="AF250">
        <v>3</v>
      </c>
      <c r="AG250">
        <v>3</v>
      </c>
      <c r="AH250">
        <v>4</v>
      </c>
      <c r="AI250">
        <v>4</v>
      </c>
      <c r="AJ250">
        <v>3</v>
      </c>
      <c r="AK250">
        <v>3</v>
      </c>
      <c r="AL250">
        <v>3</v>
      </c>
      <c r="AM250">
        <v>3</v>
      </c>
      <c r="AN250">
        <v>3</v>
      </c>
      <c r="AO250">
        <v>4</v>
      </c>
      <c r="AP250">
        <v>2</v>
      </c>
      <c r="AQ250">
        <v>3</v>
      </c>
      <c r="AR250" t="s">
        <v>75</v>
      </c>
      <c r="AT250">
        <v>0</v>
      </c>
      <c r="AU250" t="s">
        <v>69</v>
      </c>
      <c r="AW250">
        <v>0</v>
      </c>
      <c r="AX250" t="s">
        <v>69</v>
      </c>
      <c r="AY250" t="s">
        <v>83</v>
      </c>
      <c r="AZ250" t="s">
        <v>96</v>
      </c>
      <c r="BA250">
        <v>0</v>
      </c>
      <c r="BB250">
        <v>0</v>
      </c>
      <c r="BC250" t="s">
        <v>98</v>
      </c>
      <c r="BD250" t="s">
        <v>99</v>
      </c>
      <c r="BE250" t="s">
        <v>1607</v>
      </c>
      <c r="BF250" t="s">
        <v>157</v>
      </c>
      <c r="BG250" t="s">
        <v>98</v>
      </c>
      <c r="BH250" t="s">
        <v>99</v>
      </c>
      <c r="BI250" t="s">
        <v>98</v>
      </c>
    </row>
    <row r="251" spans="1:61" x14ac:dyDescent="0.35">
      <c r="A251">
        <v>250</v>
      </c>
      <c r="B251">
        <v>45842.447314814817</v>
      </c>
      <c r="C251" t="s">
        <v>1608</v>
      </c>
      <c r="D251" t="s">
        <v>1609</v>
      </c>
      <c r="E251" t="s">
        <v>63</v>
      </c>
      <c r="F251" t="s">
        <v>397</v>
      </c>
      <c r="G251" t="s">
        <v>1610</v>
      </c>
      <c r="H251" t="s">
        <v>138</v>
      </c>
      <c r="I251" t="s">
        <v>139</v>
      </c>
      <c r="J251" t="s">
        <v>1480</v>
      </c>
      <c r="K251" t="s">
        <v>1611</v>
      </c>
      <c r="L251" t="s">
        <v>69</v>
      </c>
      <c r="M251" t="s">
        <v>69</v>
      </c>
      <c r="N251" t="s">
        <v>69</v>
      </c>
      <c r="O251" t="s">
        <v>69</v>
      </c>
      <c r="P251" t="s">
        <v>106</v>
      </c>
      <c r="Q251" t="s">
        <v>271</v>
      </c>
      <c r="R251" s="3">
        <v>25</v>
      </c>
      <c r="S251">
        <v>25</v>
      </c>
      <c r="T251" t="s">
        <v>72</v>
      </c>
      <c r="U251" t="s">
        <v>93</v>
      </c>
      <c r="V251" t="s">
        <v>74</v>
      </c>
      <c r="W251" t="s">
        <v>74</v>
      </c>
      <c r="X251">
        <v>3</v>
      </c>
      <c r="Y251">
        <v>3</v>
      </c>
      <c r="Z251">
        <v>3</v>
      </c>
      <c r="AA251">
        <v>3</v>
      </c>
      <c r="AB251">
        <v>2</v>
      </c>
      <c r="AC251">
        <v>3</v>
      </c>
      <c r="AD251">
        <v>3</v>
      </c>
      <c r="AE251">
        <v>3</v>
      </c>
      <c r="AF251">
        <v>3</v>
      </c>
      <c r="AG251">
        <v>3</v>
      </c>
      <c r="AH251">
        <v>3</v>
      </c>
      <c r="AI251">
        <v>3</v>
      </c>
      <c r="AJ251">
        <v>3</v>
      </c>
      <c r="AK251">
        <v>3</v>
      </c>
      <c r="AL251">
        <v>3</v>
      </c>
      <c r="AM251">
        <v>3</v>
      </c>
      <c r="AN251">
        <v>3</v>
      </c>
      <c r="AO251">
        <v>3</v>
      </c>
      <c r="AP251">
        <v>2</v>
      </c>
      <c r="AQ251">
        <v>3</v>
      </c>
      <c r="AR251" t="s">
        <v>75</v>
      </c>
      <c r="AT251">
        <v>0</v>
      </c>
      <c r="AU251" t="s">
        <v>69</v>
      </c>
      <c r="AW251">
        <v>0</v>
      </c>
      <c r="AX251" t="s">
        <v>69</v>
      </c>
      <c r="AY251" t="s">
        <v>83</v>
      </c>
      <c r="AZ251" t="s">
        <v>96</v>
      </c>
      <c r="BA251">
        <v>0</v>
      </c>
      <c r="BB251">
        <v>0</v>
      </c>
      <c r="BC251" t="s">
        <v>98</v>
      </c>
      <c r="BD251" t="s">
        <v>99</v>
      </c>
      <c r="BE251" t="s">
        <v>1612</v>
      </c>
      <c r="BF251" t="s">
        <v>157</v>
      </c>
      <c r="BG251" t="s">
        <v>99</v>
      </c>
      <c r="BH251" t="s">
        <v>99</v>
      </c>
      <c r="BI251" t="s">
        <v>98</v>
      </c>
    </row>
    <row r="252" spans="1:61" x14ac:dyDescent="0.35">
      <c r="A252">
        <v>251</v>
      </c>
      <c r="B252">
        <v>45842.452060185184</v>
      </c>
      <c r="C252" t="s">
        <v>1613</v>
      </c>
      <c r="D252" t="s">
        <v>1614</v>
      </c>
      <c r="E252" t="s">
        <v>63</v>
      </c>
      <c r="F252" t="s">
        <v>240</v>
      </c>
      <c r="G252" t="s">
        <v>1615</v>
      </c>
      <c r="H252" t="s">
        <v>138</v>
      </c>
      <c r="I252" t="s">
        <v>139</v>
      </c>
      <c r="J252" t="s">
        <v>1480</v>
      </c>
      <c r="K252" t="s">
        <v>1616</v>
      </c>
      <c r="L252" t="s">
        <v>69</v>
      </c>
      <c r="M252" t="s">
        <v>69</v>
      </c>
      <c r="N252" t="s">
        <v>69</v>
      </c>
      <c r="O252" t="s">
        <v>69</v>
      </c>
      <c r="P252" t="s">
        <v>106</v>
      </c>
      <c r="Q252" t="s">
        <v>271</v>
      </c>
      <c r="R252" s="3">
        <v>33</v>
      </c>
      <c r="S252">
        <v>33</v>
      </c>
      <c r="T252" t="s">
        <v>109</v>
      </c>
      <c r="U252" t="s">
        <v>73</v>
      </c>
      <c r="V252" t="s">
        <v>1617</v>
      </c>
      <c r="W252" t="s">
        <v>74</v>
      </c>
      <c r="X252">
        <v>3</v>
      </c>
      <c r="Y252">
        <v>4</v>
      </c>
      <c r="Z252">
        <v>3</v>
      </c>
      <c r="AA252">
        <v>3</v>
      </c>
      <c r="AB252">
        <v>4</v>
      </c>
      <c r="AC252">
        <v>3</v>
      </c>
      <c r="AD252">
        <v>3</v>
      </c>
      <c r="AE252">
        <v>3</v>
      </c>
      <c r="AF252">
        <v>4</v>
      </c>
      <c r="AG252">
        <v>4</v>
      </c>
      <c r="AH252">
        <v>3</v>
      </c>
      <c r="AI252">
        <v>3</v>
      </c>
      <c r="AJ252">
        <v>3</v>
      </c>
      <c r="AK252">
        <v>3</v>
      </c>
      <c r="AL252">
        <v>4</v>
      </c>
      <c r="AM252">
        <v>4</v>
      </c>
      <c r="AN252">
        <v>4</v>
      </c>
      <c r="AO252">
        <v>3</v>
      </c>
      <c r="AQ252">
        <v>0</v>
      </c>
      <c r="AR252" t="s">
        <v>69</v>
      </c>
      <c r="AT252">
        <v>0</v>
      </c>
      <c r="AU252" t="s">
        <v>69</v>
      </c>
      <c r="AW252">
        <v>0</v>
      </c>
      <c r="AX252" t="s">
        <v>69</v>
      </c>
      <c r="AY252" t="s">
        <v>144</v>
      </c>
      <c r="AZ252" t="s">
        <v>144</v>
      </c>
      <c r="BA252">
        <v>1</v>
      </c>
      <c r="BB252">
        <v>4</v>
      </c>
      <c r="BC252" t="s">
        <v>98</v>
      </c>
      <c r="BD252" t="s">
        <v>99</v>
      </c>
      <c r="BE252" t="s">
        <v>1618</v>
      </c>
      <c r="BF252" t="s">
        <v>157</v>
      </c>
      <c r="BG252" t="s">
        <v>98</v>
      </c>
      <c r="BH252" t="s">
        <v>99</v>
      </c>
      <c r="BI252" t="s">
        <v>98</v>
      </c>
    </row>
    <row r="253" spans="1:61" x14ac:dyDescent="0.35">
      <c r="A253">
        <v>252</v>
      </c>
      <c r="B253">
        <v>45842.455335648148</v>
      </c>
      <c r="C253" t="s">
        <v>1619</v>
      </c>
      <c r="D253" t="s">
        <v>1620</v>
      </c>
      <c r="E253" t="s">
        <v>1621</v>
      </c>
      <c r="F253" t="s">
        <v>1622</v>
      </c>
      <c r="G253" t="s">
        <v>1623</v>
      </c>
      <c r="H253" t="s">
        <v>138</v>
      </c>
      <c r="I253" t="s">
        <v>139</v>
      </c>
      <c r="J253" t="s">
        <v>1480</v>
      </c>
      <c r="K253" t="s">
        <v>1624</v>
      </c>
      <c r="L253" t="s">
        <v>69</v>
      </c>
      <c r="M253" t="s">
        <v>69</v>
      </c>
      <c r="N253" t="s">
        <v>69</v>
      </c>
      <c r="O253" t="s">
        <v>69</v>
      </c>
      <c r="P253" t="s">
        <v>106</v>
      </c>
      <c r="Q253" t="s">
        <v>271</v>
      </c>
      <c r="R253" s="3">
        <v>25</v>
      </c>
      <c r="S253">
        <v>25</v>
      </c>
      <c r="T253" t="s">
        <v>72</v>
      </c>
      <c r="U253" t="s">
        <v>73</v>
      </c>
      <c r="V253" t="s">
        <v>74</v>
      </c>
      <c r="W253" t="s">
        <v>74</v>
      </c>
      <c r="X253">
        <v>3</v>
      </c>
      <c r="Y253">
        <v>3</v>
      </c>
      <c r="Z253">
        <v>3</v>
      </c>
      <c r="AA253">
        <v>3</v>
      </c>
      <c r="AB253">
        <v>3</v>
      </c>
      <c r="AC253">
        <v>3</v>
      </c>
      <c r="AD253">
        <v>3</v>
      </c>
      <c r="AE253">
        <v>3</v>
      </c>
      <c r="AF253">
        <v>3</v>
      </c>
      <c r="AG253">
        <v>3</v>
      </c>
      <c r="AH253">
        <v>3</v>
      </c>
      <c r="AI253">
        <v>3</v>
      </c>
      <c r="AJ253">
        <v>3</v>
      </c>
      <c r="AK253">
        <v>3</v>
      </c>
      <c r="AL253">
        <v>3</v>
      </c>
      <c r="AM253">
        <v>3</v>
      </c>
      <c r="AN253">
        <v>3</v>
      </c>
      <c r="AO253">
        <v>3</v>
      </c>
      <c r="AP253">
        <v>2</v>
      </c>
      <c r="AQ253">
        <v>3</v>
      </c>
      <c r="AR253" t="s">
        <v>75</v>
      </c>
      <c r="AT253">
        <v>0</v>
      </c>
      <c r="AU253" t="s">
        <v>69</v>
      </c>
      <c r="AW253">
        <v>0</v>
      </c>
      <c r="AX253" t="s">
        <v>69</v>
      </c>
      <c r="AY253" t="s">
        <v>83</v>
      </c>
      <c r="AZ253" t="s">
        <v>96</v>
      </c>
      <c r="BA253">
        <v>0</v>
      </c>
      <c r="BB253">
        <v>0</v>
      </c>
      <c r="BC253" t="s">
        <v>98</v>
      </c>
      <c r="BD253" t="s">
        <v>99</v>
      </c>
      <c r="BE253" t="s">
        <v>98</v>
      </c>
      <c r="BF253" t="s">
        <v>99</v>
      </c>
      <c r="BG253" t="s">
        <v>98</v>
      </c>
      <c r="BH253" t="s">
        <v>99</v>
      </c>
      <c r="BI253" t="s">
        <v>98</v>
      </c>
    </row>
    <row r="254" spans="1:61" x14ac:dyDescent="0.35">
      <c r="A254">
        <v>253</v>
      </c>
      <c r="B254">
        <v>45842.45853009259</v>
      </c>
      <c r="C254" t="s">
        <v>1625</v>
      </c>
      <c r="D254" t="s">
        <v>1626</v>
      </c>
      <c r="E254" t="s">
        <v>63</v>
      </c>
      <c r="F254" t="s">
        <v>63</v>
      </c>
      <c r="G254" t="s">
        <v>1627</v>
      </c>
      <c r="H254" t="s">
        <v>138</v>
      </c>
      <c r="I254" t="s">
        <v>139</v>
      </c>
      <c r="J254" t="s">
        <v>1480</v>
      </c>
      <c r="K254" t="s">
        <v>1628</v>
      </c>
      <c r="L254" t="s">
        <v>69</v>
      </c>
      <c r="M254" t="s">
        <v>69</v>
      </c>
      <c r="N254" t="s">
        <v>69</v>
      </c>
      <c r="O254" t="s">
        <v>69</v>
      </c>
      <c r="P254" t="s">
        <v>106</v>
      </c>
      <c r="Q254" t="s">
        <v>271</v>
      </c>
      <c r="R254" s="3">
        <v>18</v>
      </c>
      <c r="S254">
        <v>18</v>
      </c>
      <c r="T254" t="s">
        <v>131</v>
      </c>
      <c r="U254" t="s">
        <v>73</v>
      </c>
      <c r="V254" t="s">
        <v>94</v>
      </c>
      <c r="W254" t="s">
        <v>95</v>
      </c>
      <c r="X254">
        <v>4</v>
      </c>
      <c r="Y254">
        <v>4</v>
      </c>
      <c r="Z254">
        <v>4</v>
      </c>
      <c r="AA254">
        <v>4</v>
      </c>
      <c r="AB254">
        <v>3</v>
      </c>
      <c r="AC254">
        <v>3</v>
      </c>
      <c r="AD254">
        <v>3</v>
      </c>
      <c r="AE254">
        <v>4</v>
      </c>
      <c r="AF254">
        <v>4</v>
      </c>
      <c r="AG254">
        <v>4</v>
      </c>
      <c r="AH254">
        <v>4</v>
      </c>
      <c r="AI254">
        <v>4</v>
      </c>
      <c r="AJ254">
        <v>4</v>
      </c>
      <c r="AK254">
        <v>4</v>
      </c>
      <c r="AL254">
        <v>4</v>
      </c>
      <c r="AM254">
        <v>4</v>
      </c>
      <c r="AN254">
        <v>4</v>
      </c>
      <c r="AO254">
        <v>4</v>
      </c>
      <c r="AQ254">
        <v>0</v>
      </c>
      <c r="AR254" t="s">
        <v>69</v>
      </c>
      <c r="AT254">
        <v>0</v>
      </c>
      <c r="AU254" t="s">
        <v>69</v>
      </c>
      <c r="AW254">
        <v>0</v>
      </c>
      <c r="AX254" t="s">
        <v>69</v>
      </c>
      <c r="AY254" t="s">
        <v>379</v>
      </c>
      <c r="AZ254" t="s">
        <v>77</v>
      </c>
      <c r="BA254">
        <v>1</v>
      </c>
      <c r="BB254">
        <v>4</v>
      </c>
      <c r="BC254" t="s">
        <v>98</v>
      </c>
      <c r="BD254" t="s">
        <v>99</v>
      </c>
      <c r="BE254" t="s">
        <v>1629</v>
      </c>
      <c r="BF254" t="s">
        <v>157</v>
      </c>
      <c r="BG254" t="s">
        <v>98</v>
      </c>
      <c r="BH254" t="s">
        <v>99</v>
      </c>
      <c r="BI254" t="s">
        <v>98</v>
      </c>
    </row>
    <row r="255" spans="1:61" x14ac:dyDescent="0.35">
      <c r="A255">
        <v>254</v>
      </c>
      <c r="B255">
        <v>45842.475462962961</v>
      </c>
      <c r="C255" t="s">
        <v>1630</v>
      </c>
      <c r="D255" t="s">
        <v>1631</v>
      </c>
      <c r="E255" t="s">
        <v>904</v>
      </c>
      <c r="F255" t="s">
        <v>1632</v>
      </c>
      <c r="G255" t="s">
        <v>1633</v>
      </c>
      <c r="H255" t="s">
        <v>578</v>
      </c>
      <c r="I255" t="s">
        <v>588</v>
      </c>
      <c r="J255" t="s">
        <v>1634</v>
      </c>
      <c r="K255" t="s">
        <v>1635</v>
      </c>
      <c r="L255" t="s">
        <v>69</v>
      </c>
      <c r="M255" t="s">
        <v>69</v>
      </c>
      <c r="N255" t="s">
        <v>69</v>
      </c>
      <c r="O255" t="s">
        <v>69</v>
      </c>
      <c r="P255" t="s">
        <v>106</v>
      </c>
      <c r="Q255" t="s">
        <v>1168</v>
      </c>
      <c r="R255" s="3" t="s">
        <v>873</v>
      </c>
      <c r="S255">
        <v>37</v>
      </c>
      <c r="T255" t="s">
        <v>153</v>
      </c>
      <c r="U255" t="s">
        <v>73</v>
      </c>
      <c r="V255" t="s">
        <v>74</v>
      </c>
      <c r="W255" t="s">
        <v>74</v>
      </c>
      <c r="X255">
        <v>4</v>
      </c>
      <c r="Y255">
        <v>4</v>
      </c>
      <c r="Z255">
        <v>4</v>
      </c>
      <c r="AA255">
        <v>4</v>
      </c>
      <c r="AB255">
        <v>3</v>
      </c>
      <c r="AC255">
        <v>3</v>
      </c>
      <c r="AD255">
        <v>0</v>
      </c>
      <c r="AE255">
        <v>0</v>
      </c>
      <c r="AF255">
        <v>4</v>
      </c>
      <c r="AG255">
        <v>4</v>
      </c>
      <c r="AH255">
        <v>4</v>
      </c>
      <c r="AI255">
        <v>4</v>
      </c>
      <c r="AJ255">
        <v>4</v>
      </c>
      <c r="AK255">
        <v>4</v>
      </c>
      <c r="AL255">
        <v>4</v>
      </c>
      <c r="AM255">
        <v>4</v>
      </c>
      <c r="AN255">
        <v>4</v>
      </c>
      <c r="AO255">
        <v>4</v>
      </c>
      <c r="AP255">
        <v>1</v>
      </c>
      <c r="AQ255">
        <v>4</v>
      </c>
      <c r="AR255" t="s">
        <v>75</v>
      </c>
      <c r="AT255">
        <v>0</v>
      </c>
      <c r="AU255" t="s">
        <v>69</v>
      </c>
      <c r="AW255">
        <v>0</v>
      </c>
      <c r="AX255" t="s">
        <v>69</v>
      </c>
      <c r="AY255" t="s">
        <v>83</v>
      </c>
      <c r="AZ255" t="s">
        <v>96</v>
      </c>
      <c r="BA255">
        <v>0</v>
      </c>
      <c r="BB255">
        <v>0</v>
      </c>
      <c r="BC255" t="s">
        <v>1636</v>
      </c>
      <c r="BD255" t="s">
        <v>79</v>
      </c>
      <c r="BE255" t="s">
        <v>1637</v>
      </c>
      <c r="BF255" t="s">
        <v>81</v>
      </c>
      <c r="BG255" t="s">
        <v>1638</v>
      </c>
      <c r="BH255" t="s">
        <v>79</v>
      </c>
      <c r="BI255" t="s">
        <v>83</v>
      </c>
    </row>
    <row r="256" spans="1:61" x14ac:dyDescent="0.35">
      <c r="A256">
        <v>255</v>
      </c>
      <c r="B256">
        <v>45842.527997685182</v>
      </c>
      <c r="C256" t="s">
        <v>1639</v>
      </c>
      <c r="D256" t="s">
        <v>1640</v>
      </c>
      <c r="E256" t="s">
        <v>63</v>
      </c>
      <c r="F256" t="s">
        <v>179</v>
      </c>
      <c r="G256" t="s">
        <v>1641</v>
      </c>
      <c r="H256" t="s">
        <v>657</v>
      </c>
      <c r="I256" t="s">
        <v>66</v>
      </c>
      <c r="J256" t="s">
        <v>989</v>
      </c>
      <c r="K256" t="s">
        <v>1642</v>
      </c>
      <c r="L256" t="s">
        <v>69</v>
      </c>
      <c r="M256" t="s">
        <v>69</v>
      </c>
      <c r="N256" t="s">
        <v>69</v>
      </c>
      <c r="O256" t="s">
        <v>69</v>
      </c>
      <c r="P256" t="s">
        <v>106</v>
      </c>
      <c r="Q256" t="s">
        <v>292</v>
      </c>
      <c r="R256" s="3">
        <v>20</v>
      </c>
      <c r="S256">
        <v>20</v>
      </c>
      <c r="T256" t="s">
        <v>131</v>
      </c>
      <c r="U256" t="s">
        <v>73</v>
      </c>
      <c r="V256" t="s">
        <v>246</v>
      </c>
      <c r="W256" t="s">
        <v>246</v>
      </c>
      <c r="X256">
        <v>3</v>
      </c>
      <c r="Y256">
        <v>4</v>
      </c>
      <c r="Z256">
        <v>3</v>
      </c>
      <c r="AA256">
        <v>3</v>
      </c>
      <c r="AB256">
        <v>3</v>
      </c>
      <c r="AC256">
        <v>3</v>
      </c>
      <c r="AD256">
        <v>3</v>
      </c>
      <c r="AE256">
        <v>3</v>
      </c>
      <c r="AF256">
        <v>3</v>
      </c>
      <c r="AG256">
        <v>3</v>
      </c>
      <c r="AH256">
        <v>4</v>
      </c>
      <c r="AI256">
        <v>4</v>
      </c>
      <c r="AJ256">
        <v>4</v>
      </c>
      <c r="AK256">
        <v>4</v>
      </c>
      <c r="AL256">
        <v>3</v>
      </c>
      <c r="AM256">
        <v>3</v>
      </c>
      <c r="AN256">
        <v>3</v>
      </c>
      <c r="AO256">
        <v>3</v>
      </c>
      <c r="AP256">
        <v>1</v>
      </c>
      <c r="AQ256">
        <v>4</v>
      </c>
      <c r="AR256" t="s">
        <v>75</v>
      </c>
      <c r="AT256">
        <v>0</v>
      </c>
      <c r="AU256" t="s">
        <v>69</v>
      </c>
      <c r="AW256">
        <v>0</v>
      </c>
      <c r="AX256" t="s">
        <v>69</v>
      </c>
      <c r="AY256" t="s">
        <v>83</v>
      </c>
      <c r="AZ256" t="s">
        <v>96</v>
      </c>
      <c r="BA256">
        <v>0</v>
      </c>
      <c r="BB256">
        <v>0</v>
      </c>
      <c r="BC256" t="s">
        <v>1643</v>
      </c>
      <c r="BD256" t="s">
        <v>433</v>
      </c>
      <c r="BE256" t="s">
        <v>624</v>
      </c>
      <c r="BF256" t="s">
        <v>79</v>
      </c>
      <c r="BG256" t="s">
        <v>624</v>
      </c>
      <c r="BH256" t="s">
        <v>79</v>
      </c>
      <c r="BI256" t="s">
        <v>83</v>
      </c>
    </row>
    <row r="257" spans="1:61" x14ac:dyDescent="0.35">
      <c r="A257">
        <v>256</v>
      </c>
      <c r="B257">
        <v>45842.57671296296</v>
      </c>
      <c r="C257" t="s">
        <v>1644</v>
      </c>
      <c r="D257" t="s">
        <v>1645</v>
      </c>
      <c r="E257" t="s">
        <v>63</v>
      </c>
      <c r="F257" t="s">
        <v>480</v>
      </c>
      <c r="G257" t="s">
        <v>1646</v>
      </c>
      <c r="H257" t="s">
        <v>138</v>
      </c>
      <c r="I257" t="s">
        <v>139</v>
      </c>
      <c r="J257" t="s">
        <v>1480</v>
      </c>
      <c r="K257" t="s">
        <v>1647</v>
      </c>
      <c r="L257" t="s">
        <v>69</v>
      </c>
      <c r="M257" t="s">
        <v>69</v>
      </c>
      <c r="N257" t="s">
        <v>69</v>
      </c>
      <c r="O257" t="s">
        <v>69</v>
      </c>
      <c r="P257" t="s">
        <v>70</v>
      </c>
      <c r="Q257" t="s">
        <v>292</v>
      </c>
      <c r="R257" s="3">
        <v>18</v>
      </c>
      <c r="S257">
        <v>18</v>
      </c>
      <c r="T257" t="s">
        <v>131</v>
      </c>
      <c r="U257" t="s">
        <v>73</v>
      </c>
      <c r="V257" t="s">
        <v>94</v>
      </c>
      <c r="W257" t="s">
        <v>95</v>
      </c>
      <c r="X257">
        <v>3</v>
      </c>
      <c r="Y257">
        <v>4</v>
      </c>
      <c r="Z257">
        <v>3</v>
      </c>
      <c r="AA257">
        <v>3</v>
      </c>
      <c r="AB257">
        <v>3</v>
      </c>
      <c r="AC257">
        <v>3</v>
      </c>
      <c r="AD257">
        <v>3</v>
      </c>
      <c r="AE257">
        <v>3</v>
      </c>
      <c r="AF257">
        <v>4</v>
      </c>
      <c r="AG257">
        <v>4</v>
      </c>
      <c r="AH257">
        <v>3</v>
      </c>
      <c r="AI257">
        <v>3</v>
      </c>
      <c r="AJ257">
        <v>3</v>
      </c>
      <c r="AK257">
        <v>3</v>
      </c>
      <c r="AL257">
        <v>3</v>
      </c>
      <c r="AM257">
        <v>3</v>
      </c>
      <c r="AN257">
        <v>3</v>
      </c>
      <c r="AO257">
        <v>3</v>
      </c>
      <c r="AQ257">
        <v>0</v>
      </c>
      <c r="AR257" t="s">
        <v>69</v>
      </c>
      <c r="AT257">
        <v>0</v>
      </c>
      <c r="AU257" t="s">
        <v>69</v>
      </c>
      <c r="AW257">
        <v>0</v>
      </c>
      <c r="AX257" t="s">
        <v>69</v>
      </c>
      <c r="AY257" t="s">
        <v>76</v>
      </c>
      <c r="AZ257" t="s">
        <v>77</v>
      </c>
      <c r="BA257">
        <v>2</v>
      </c>
      <c r="BB257">
        <v>3</v>
      </c>
      <c r="BC257" t="s">
        <v>98</v>
      </c>
      <c r="BD257" t="s">
        <v>99</v>
      </c>
      <c r="BE257" t="s">
        <v>98</v>
      </c>
      <c r="BF257" t="s">
        <v>99</v>
      </c>
      <c r="BG257" t="s">
        <v>98</v>
      </c>
      <c r="BH257" t="s">
        <v>99</v>
      </c>
      <c r="BI257" t="s">
        <v>98</v>
      </c>
    </row>
    <row r="258" spans="1:61" x14ac:dyDescent="0.35">
      <c r="A258">
        <v>257</v>
      </c>
      <c r="B258">
        <v>45842.579965277779</v>
      </c>
      <c r="C258" t="s">
        <v>1648</v>
      </c>
      <c r="D258" t="s">
        <v>1649</v>
      </c>
      <c r="E258" t="s">
        <v>63</v>
      </c>
      <c r="F258" t="s">
        <v>416</v>
      </c>
      <c r="G258" t="s">
        <v>1650</v>
      </c>
      <c r="H258" t="s">
        <v>138</v>
      </c>
      <c r="I258" t="s">
        <v>139</v>
      </c>
      <c r="J258" t="s">
        <v>1480</v>
      </c>
      <c r="K258" t="s">
        <v>1651</v>
      </c>
      <c r="L258" t="s">
        <v>69</v>
      </c>
      <c r="M258" t="s">
        <v>69</v>
      </c>
      <c r="N258" t="s">
        <v>69</v>
      </c>
      <c r="O258" t="s">
        <v>69</v>
      </c>
      <c r="P258" t="s">
        <v>106</v>
      </c>
      <c r="Q258" t="s">
        <v>292</v>
      </c>
      <c r="R258" s="3">
        <v>18</v>
      </c>
      <c r="S258">
        <v>18</v>
      </c>
      <c r="T258" t="s">
        <v>131</v>
      </c>
      <c r="U258" t="s">
        <v>73</v>
      </c>
      <c r="V258" t="s">
        <v>94</v>
      </c>
      <c r="W258" t="s">
        <v>95</v>
      </c>
      <c r="X258">
        <v>4</v>
      </c>
      <c r="Y258">
        <v>4</v>
      </c>
      <c r="Z258">
        <v>4</v>
      </c>
      <c r="AA258">
        <v>4</v>
      </c>
      <c r="AB258">
        <v>4</v>
      </c>
      <c r="AC258">
        <v>4</v>
      </c>
      <c r="AD258">
        <v>4</v>
      </c>
      <c r="AE258">
        <v>4</v>
      </c>
      <c r="AF258">
        <v>3</v>
      </c>
      <c r="AG258">
        <v>4</v>
      </c>
      <c r="AH258">
        <v>4</v>
      </c>
      <c r="AI258">
        <v>4</v>
      </c>
      <c r="AJ258">
        <v>4</v>
      </c>
      <c r="AK258">
        <v>4</v>
      </c>
      <c r="AL258">
        <v>4</v>
      </c>
      <c r="AM258">
        <v>4</v>
      </c>
      <c r="AN258">
        <v>4</v>
      </c>
      <c r="AO258">
        <v>4</v>
      </c>
      <c r="AQ258">
        <v>0</v>
      </c>
      <c r="AR258" t="s">
        <v>69</v>
      </c>
      <c r="AT258">
        <v>0</v>
      </c>
      <c r="AU258" t="s">
        <v>69</v>
      </c>
      <c r="AW258">
        <v>0</v>
      </c>
      <c r="AX258" t="s">
        <v>69</v>
      </c>
      <c r="AY258" t="s">
        <v>144</v>
      </c>
      <c r="AZ258" t="s">
        <v>144</v>
      </c>
      <c r="BA258">
        <v>2</v>
      </c>
      <c r="BB258">
        <v>3</v>
      </c>
      <c r="BC258" t="s">
        <v>98</v>
      </c>
      <c r="BD258" t="s">
        <v>99</v>
      </c>
      <c r="BE258" t="s">
        <v>98</v>
      </c>
      <c r="BF258" t="s">
        <v>99</v>
      </c>
      <c r="BG258" t="s">
        <v>98</v>
      </c>
      <c r="BH258" t="s">
        <v>99</v>
      </c>
      <c r="BI258" t="s">
        <v>98</v>
      </c>
    </row>
    <row r="259" spans="1:61" x14ac:dyDescent="0.35">
      <c r="A259">
        <v>258</v>
      </c>
      <c r="B259">
        <v>45842.585706018515</v>
      </c>
      <c r="C259" t="s">
        <v>1652</v>
      </c>
      <c r="D259" t="s">
        <v>1653</v>
      </c>
      <c r="E259" t="s">
        <v>63</v>
      </c>
      <c r="F259" t="s">
        <v>338</v>
      </c>
      <c r="G259" t="s">
        <v>1654</v>
      </c>
      <c r="H259" t="s">
        <v>138</v>
      </c>
      <c r="I259" t="s">
        <v>139</v>
      </c>
      <c r="J259" t="s">
        <v>1480</v>
      </c>
      <c r="K259" t="s">
        <v>1655</v>
      </c>
      <c r="L259" t="s">
        <v>69</v>
      </c>
      <c r="M259" t="s">
        <v>69</v>
      </c>
      <c r="N259" t="s">
        <v>69</v>
      </c>
      <c r="O259" t="s">
        <v>69</v>
      </c>
      <c r="P259" t="s">
        <v>106</v>
      </c>
      <c r="Q259" t="s">
        <v>292</v>
      </c>
      <c r="R259" s="3">
        <v>18</v>
      </c>
      <c r="S259">
        <v>18</v>
      </c>
      <c r="T259" t="s">
        <v>131</v>
      </c>
      <c r="U259" t="s">
        <v>73</v>
      </c>
      <c r="V259" t="s">
        <v>94</v>
      </c>
      <c r="W259" t="s">
        <v>95</v>
      </c>
      <c r="X259">
        <v>3</v>
      </c>
      <c r="Y259">
        <v>3</v>
      </c>
      <c r="Z259">
        <v>3</v>
      </c>
      <c r="AA259">
        <v>3</v>
      </c>
      <c r="AB259">
        <v>3</v>
      </c>
      <c r="AC259">
        <v>3</v>
      </c>
      <c r="AD259">
        <v>3</v>
      </c>
      <c r="AE259">
        <v>3</v>
      </c>
      <c r="AF259">
        <v>4</v>
      </c>
      <c r="AG259">
        <v>4</v>
      </c>
      <c r="AH259">
        <v>3</v>
      </c>
      <c r="AI259">
        <v>3</v>
      </c>
      <c r="AJ259">
        <v>3</v>
      </c>
      <c r="AK259">
        <v>3</v>
      </c>
      <c r="AL259">
        <v>4</v>
      </c>
      <c r="AM259">
        <v>4</v>
      </c>
      <c r="AN259">
        <v>3</v>
      </c>
      <c r="AO259">
        <v>4</v>
      </c>
      <c r="AP259">
        <v>2</v>
      </c>
      <c r="AQ259">
        <v>3</v>
      </c>
      <c r="AR259" t="s">
        <v>75</v>
      </c>
      <c r="AT259">
        <v>0</v>
      </c>
      <c r="AU259" t="s">
        <v>69</v>
      </c>
      <c r="AW259">
        <v>0</v>
      </c>
      <c r="AX259" t="s">
        <v>69</v>
      </c>
      <c r="AY259" t="s">
        <v>83</v>
      </c>
      <c r="AZ259" t="s">
        <v>96</v>
      </c>
      <c r="BA259">
        <v>0</v>
      </c>
      <c r="BB259">
        <v>0</v>
      </c>
      <c r="BC259" t="s">
        <v>98</v>
      </c>
      <c r="BD259" t="s">
        <v>99</v>
      </c>
      <c r="BE259" t="s">
        <v>98</v>
      </c>
      <c r="BF259" t="s">
        <v>99</v>
      </c>
      <c r="BG259" t="s">
        <v>1656</v>
      </c>
      <c r="BH259" t="s">
        <v>146</v>
      </c>
      <c r="BI259" t="s">
        <v>98</v>
      </c>
    </row>
    <row r="260" spans="1:61" x14ac:dyDescent="0.35">
      <c r="A260">
        <v>259</v>
      </c>
      <c r="B260">
        <v>45842.59165509259</v>
      </c>
      <c r="C260" t="s">
        <v>1657</v>
      </c>
      <c r="D260" t="s">
        <v>1555</v>
      </c>
      <c r="E260" t="s">
        <v>63</v>
      </c>
      <c r="F260" t="s">
        <v>63</v>
      </c>
      <c r="G260" t="s">
        <v>1658</v>
      </c>
      <c r="H260" t="s">
        <v>138</v>
      </c>
      <c r="I260" t="s">
        <v>139</v>
      </c>
      <c r="J260" t="s">
        <v>1480</v>
      </c>
      <c r="K260" t="s">
        <v>1659</v>
      </c>
      <c r="L260" t="s">
        <v>69</v>
      </c>
      <c r="M260" t="s">
        <v>69</v>
      </c>
      <c r="N260" t="s">
        <v>69</v>
      </c>
      <c r="O260" t="s">
        <v>69</v>
      </c>
      <c r="P260" t="s">
        <v>70</v>
      </c>
      <c r="Q260" t="s">
        <v>292</v>
      </c>
      <c r="R260" s="3">
        <v>25</v>
      </c>
      <c r="S260">
        <v>25</v>
      </c>
      <c r="T260" t="s">
        <v>72</v>
      </c>
      <c r="U260" t="s">
        <v>93</v>
      </c>
      <c r="V260" t="s">
        <v>142</v>
      </c>
      <c r="W260" t="s">
        <v>143</v>
      </c>
      <c r="X260">
        <v>3</v>
      </c>
      <c r="Y260">
        <v>3</v>
      </c>
      <c r="Z260">
        <v>4</v>
      </c>
      <c r="AA260">
        <v>3</v>
      </c>
      <c r="AB260">
        <v>4</v>
      </c>
      <c r="AC260">
        <v>4</v>
      </c>
      <c r="AD260">
        <v>3</v>
      </c>
      <c r="AE260">
        <v>4</v>
      </c>
      <c r="AF260">
        <v>4</v>
      </c>
      <c r="AG260">
        <v>4</v>
      </c>
      <c r="AH260">
        <v>4</v>
      </c>
      <c r="AI260">
        <v>3</v>
      </c>
      <c r="AJ260">
        <v>4</v>
      </c>
      <c r="AK260">
        <v>4</v>
      </c>
      <c r="AL260">
        <v>4</v>
      </c>
      <c r="AM260">
        <v>4</v>
      </c>
      <c r="AN260">
        <v>4</v>
      </c>
      <c r="AO260">
        <v>3</v>
      </c>
      <c r="AP260">
        <v>1</v>
      </c>
      <c r="AQ260">
        <v>4</v>
      </c>
      <c r="AR260" t="s">
        <v>69</v>
      </c>
      <c r="AT260">
        <v>0</v>
      </c>
      <c r="AU260" t="s">
        <v>69</v>
      </c>
      <c r="AW260">
        <v>0</v>
      </c>
      <c r="AX260" t="s">
        <v>69</v>
      </c>
      <c r="AY260" t="s">
        <v>83</v>
      </c>
      <c r="AZ260" t="s">
        <v>96</v>
      </c>
      <c r="BA260">
        <v>0</v>
      </c>
      <c r="BB260">
        <v>0</v>
      </c>
      <c r="BC260" t="s">
        <v>98</v>
      </c>
      <c r="BD260" t="s">
        <v>99</v>
      </c>
      <c r="BE260" t="s">
        <v>98</v>
      </c>
      <c r="BF260" t="s">
        <v>99</v>
      </c>
      <c r="BG260" t="s">
        <v>263</v>
      </c>
      <c r="BH260" t="s">
        <v>99</v>
      </c>
      <c r="BI260" t="s">
        <v>1660</v>
      </c>
    </row>
    <row r="261" spans="1:61" x14ac:dyDescent="0.35">
      <c r="A261">
        <v>260</v>
      </c>
      <c r="B261">
        <v>45842.598078703704</v>
      </c>
      <c r="C261" t="s">
        <v>1661</v>
      </c>
      <c r="D261" t="s">
        <v>925</v>
      </c>
      <c r="E261" t="s">
        <v>63</v>
      </c>
      <c r="F261" t="s">
        <v>125</v>
      </c>
      <c r="G261" t="s">
        <v>1662</v>
      </c>
      <c r="H261" t="s">
        <v>138</v>
      </c>
      <c r="I261" t="s">
        <v>139</v>
      </c>
      <c r="J261" t="s">
        <v>1480</v>
      </c>
      <c r="K261" t="s">
        <v>1663</v>
      </c>
      <c r="L261" t="s">
        <v>69</v>
      </c>
      <c r="M261" t="s">
        <v>69</v>
      </c>
      <c r="N261" t="s">
        <v>69</v>
      </c>
      <c r="O261" t="s">
        <v>69</v>
      </c>
      <c r="P261" t="s">
        <v>106</v>
      </c>
      <c r="Q261" t="s">
        <v>292</v>
      </c>
      <c r="R261" s="3">
        <v>18</v>
      </c>
      <c r="S261">
        <v>18</v>
      </c>
      <c r="T261" t="s">
        <v>131</v>
      </c>
      <c r="U261" t="s">
        <v>73</v>
      </c>
      <c r="V261" t="s">
        <v>1592</v>
      </c>
      <c r="W261" t="s">
        <v>133</v>
      </c>
      <c r="X261">
        <v>3</v>
      </c>
      <c r="Y261">
        <v>3</v>
      </c>
      <c r="Z261">
        <v>3</v>
      </c>
      <c r="AA261">
        <v>3</v>
      </c>
      <c r="AB261">
        <v>2</v>
      </c>
      <c r="AC261">
        <v>3</v>
      </c>
      <c r="AD261">
        <v>3</v>
      </c>
      <c r="AE261">
        <v>3</v>
      </c>
      <c r="AF261">
        <v>3</v>
      </c>
      <c r="AG261">
        <v>4</v>
      </c>
      <c r="AH261">
        <v>4</v>
      </c>
      <c r="AI261">
        <v>4</v>
      </c>
      <c r="AJ261">
        <v>4</v>
      </c>
      <c r="AK261">
        <v>4</v>
      </c>
      <c r="AL261">
        <v>3</v>
      </c>
      <c r="AM261">
        <v>4</v>
      </c>
      <c r="AN261">
        <v>3</v>
      </c>
      <c r="AO261">
        <v>3</v>
      </c>
      <c r="AQ261">
        <v>0</v>
      </c>
      <c r="AR261" t="s">
        <v>69</v>
      </c>
      <c r="AT261">
        <v>0</v>
      </c>
      <c r="AU261" t="s">
        <v>69</v>
      </c>
      <c r="AW261">
        <v>0</v>
      </c>
      <c r="AX261" t="s">
        <v>69</v>
      </c>
      <c r="AY261" t="s">
        <v>293</v>
      </c>
      <c r="AZ261" t="s">
        <v>144</v>
      </c>
      <c r="BA261">
        <v>1</v>
      </c>
      <c r="BB261">
        <v>4</v>
      </c>
      <c r="BC261" t="s">
        <v>98</v>
      </c>
      <c r="BD261" t="s">
        <v>99</v>
      </c>
      <c r="BE261" t="s">
        <v>98</v>
      </c>
      <c r="BF261" t="s">
        <v>99</v>
      </c>
      <c r="BG261" t="s">
        <v>263</v>
      </c>
      <c r="BH261" t="s">
        <v>99</v>
      </c>
      <c r="BI261" t="s">
        <v>98</v>
      </c>
    </row>
    <row r="262" spans="1:61" x14ac:dyDescent="0.35">
      <c r="A262">
        <v>261</v>
      </c>
      <c r="B262">
        <v>45842.655023148145</v>
      </c>
      <c r="C262" t="s">
        <v>1664</v>
      </c>
      <c r="D262" t="s">
        <v>1665</v>
      </c>
      <c r="E262" t="s">
        <v>63</v>
      </c>
      <c r="F262" t="s">
        <v>63</v>
      </c>
      <c r="G262" t="s">
        <v>1666</v>
      </c>
      <c r="H262" t="s">
        <v>578</v>
      </c>
      <c r="I262" t="s">
        <v>588</v>
      </c>
      <c r="J262" t="s">
        <v>1667</v>
      </c>
      <c r="K262" t="s">
        <v>1668</v>
      </c>
      <c r="L262" t="s">
        <v>69</v>
      </c>
      <c r="M262" t="s">
        <v>69</v>
      </c>
      <c r="N262" t="s">
        <v>69</v>
      </c>
      <c r="O262" t="s">
        <v>69</v>
      </c>
      <c r="P262" t="s">
        <v>70</v>
      </c>
      <c r="Q262" t="s">
        <v>1168</v>
      </c>
      <c r="R262" s="3">
        <v>39</v>
      </c>
      <c r="S262">
        <v>39</v>
      </c>
      <c r="T262" t="s">
        <v>153</v>
      </c>
      <c r="U262" t="s">
        <v>93</v>
      </c>
      <c r="V262" t="s">
        <v>74</v>
      </c>
      <c r="W262" t="s">
        <v>74</v>
      </c>
      <c r="X262">
        <v>3</v>
      </c>
      <c r="Y262">
        <v>3</v>
      </c>
      <c r="Z262">
        <v>3</v>
      </c>
      <c r="AA262">
        <v>3</v>
      </c>
      <c r="AB262">
        <v>3</v>
      </c>
      <c r="AC262">
        <v>3</v>
      </c>
      <c r="AD262">
        <v>0</v>
      </c>
      <c r="AE262">
        <v>0</v>
      </c>
      <c r="AF262">
        <v>3</v>
      </c>
      <c r="AG262">
        <v>3</v>
      </c>
      <c r="AH262">
        <v>3</v>
      </c>
      <c r="AI262">
        <v>3</v>
      </c>
      <c r="AJ262">
        <v>3</v>
      </c>
      <c r="AK262">
        <v>3</v>
      </c>
      <c r="AL262">
        <v>3</v>
      </c>
      <c r="AM262">
        <v>3</v>
      </c>
      <c r="AN262">
        <v>4</v>
      </c>
      <c r="AO262">
        <v>4</v>
      </c>
      <c r="AQ262">
        <v>0</v>
      </c>
      <c r="AR262" t="s">
        <v>69</v>
      </c>
      <c r="AT262">
        <v>0</v>
      </c>
      <c r="AU262" t="s">
        <v>69</v>
      </c>
      <c r="AV262">
        <v>1</v>
      </c>
      <c r="AW262">
        <v>4</v>
      </c>
      <c r="AX262" t="s">
        <v>75</v>
      </c>
      <c r="AY262" t="s">
        <v>83</v>
      </c>
      <c r="AZ262" t="s">
        <v>96</v>
      </c>
      <c r="BA262">
        <v>0</v>
      </c>
      <c r="BB262">
        <v>0</v>
      </c>
      <c r="BC262" t="s">
        <v>1669</v>
      </c>
      <c r="BD262" t="s">
        <v>79</v>
      </c>
      <c r="BE262" t="s">
        <v>462</v>
      </c>
      <c r="BF262" t="s">
        <v>79</v>
      </c>
      <c r="BG262" t="s">
        <v>442</v>
      </c>
      <c r="BH262" t="s">
        <v>79</v>
      </c>
      <c r="BI262" t="s">
        <v>83</v>
      </c>
    </row>
    <row r="263" spans="1:61" x14ac:dyDescent="0.35">
      <c r="A263">
        <v>262</v>
      </c>
      <c r="B263">
        <v>45842.679120370369</v>
      </c>
      <c r="C263" t="s">
        <v>1670</v>
      </c>
      <c r="D263" t="s">
        <v>1671</v>
      </c>
      <c r="E263" t="s">
        <v>904</v>
      </c>
      <c r="F263" t="s">
        <v>1672</v>
      </c>
      <c r="G263" t="s">
        <v>1673</v>
      </c>
      <c r="H263" t="s">
        <v>517</v>
      </c>
      <c r="I263" t="s">
        <v>518</v>
      </c>
      <c r="J263" t="s">
        <v>1596</v>
      </c>
      <c r="K263" t="s">
        <v>1143</v>
      </c>
      <c r="L263" t="s">
        <v>69</v>
      </c>
      <c r="M263" t="s">
        <v>69</v>
      </c>
      <c r="N263" t="s">
        <v>69</v>
      </c>
      <c r="O263" t="s">
        <v>69</v>
      </c>
      <c r="P263" t="s">
        <v>106</v>
      </c>
      <c r="Q263" t="s">
        <v>1168</v>
      </c>
      <c r="R263" s="3" t="s">
        <v>91</v>
      </c>
      <c r="S263">
        <v>27</v>
      </c>
      <c r="T263" t="s">
        <v>92</v>
      </c>
      <c r="U263" t="s">
        <v>1343</v>
      </c>
      <c r="V263" t="s">
        <v>74</v>
      </c>
      <c r="W263" t="s">
        <v>74</v>
      </c>
      <c r="X263">
        <v>4</v>
      </c>
      <c r="Y263">
        <v>3</v>
      </c>
      <c r="Z263">
        <v>3</v>
      </c>
      <c r="AA263">
        <v>3</v>
      </c>
      <c r="AB263">
        <v>2</v>
      </c>
      <c r="AC263">
        <v>3</v>
      </c>
      <c r="AD263">
        <v>0</v>
      </c>
      <c r="AE263">
        <v>0</v>
      </c>
      <c r="AF263">
        <v>4</v>
      </c>
      <c r="AG263">
        <v>4</v>
      </c>
      <c r="AH263">
        <v>4</v>
      </c>
      <c r="AI263">
        <v>4</v>
      </c>
      <c r="AJ263">
        <v>4</v>
      </c>
      <c r="AK263">
        <v>4</v>
      </c>
      <c r="AL263">
        <v>3</v>
      </c>
      <c r="AM263">
        <v>4</v>
      </c>
      <c r="AN263">
        <v>4</v>
      </c>
      <c r="AO263">
        <v>4</v>
      </c>
      <c r="AQ263">
        <v>0</v>
      </c>
      <c r="AR263" t="s">
        <v>69</v>
      </c>
      <c r="AT263">
        <v>0</v>
      </c>
      <c r="AU263" t="s">
        <v>69</v>
      </c>
      <c r="AW263">
        <v>0</v>
      </c>
      <c r="AX263" t="s">
        <v>69</v>
      </c>
      <c r="AY263" t="s">
        <v>1674</v>
      </c>
      <c r="AZ263" t="s">
        <v>144</v>
      </c>
      <c r="BA263">
        <v>2</v>
      </c>
      <c r="BB263">
        <v>3</v>
      </c>
      <c r="BC263" t="s">
        <v>503</v>
      </c>
      <c r="BD263" t="s">
        <v>79</v>
      </c>
      <c r="BE263" t="s">
        <v>503</v>
      </c>
      <c r="BF263" t="s">
        <v>79</v>
      </c>
      <c r="BG263" t="s">
        <v>503</v>
      </c>
      <c r="BH263" t="s">
        <v>79</v>
      </c>
      <c r="BI263" t="s">
        <v>83</v>
      </c>
    </row>
    <row r="264" spans="1:61" x14ac:dyDescent="0.35">
      <c r="A264">
        <v>263</v>
      </c>
      <c r="B264">
        <v>45842.686168981483</v>
      </c>
      <c r="C264" t="s">
        <v>1675</v>
      </c>
      <c r="D264" t="s">
        <v>1676</v>
      </c>
      <c r="E264" t="s">
        <v>375</v>
      </c>
      <c r="F264" t="s">
        <v>1677</v>
      </c>
      <c r="G264" t="s">
        <v>1678</v>
      </c>
      <c r="H264" t="s">
        <v>1679</v>
      </c>
      <c r="I264" t="s">
        <v>439</v>
      </c>
      <c r="J264" t="s">
        <v>1634</v>
      </c>
      <c r="K264" t="s">
        <v>867</v>
      </c>
      <c r="L264" t="s">
        <v>69</v>
      </c>
      <c r="M264" t="s">
        <v>69</v>
      </c>
      <c r="N264" t="s">
        <v>69</v>
      </c>
      <c r="O264" t="s">
        <v>69</v>
      </c>
      <c r="P264" t="s">
        <v>106</v>
      </c>
      <c r="Q264" t="s">
        <v>1168</v>
      </c>
      <c r="R264" s="3" t="s">
        <v>566</v>
      </c>
      <c r="S264">
        <v>25</v>
      </c>
      <c r="T264" t="s">
        <v>72</v>
      </c>
      <c r="U264" t="s">
        <v>73</v>
      </c>
      <c r="V264" t="s">
        <v>110</v>
      </c>
      <c r="W264" t="s">
        <v>110</v>
      </c>
      <c r="X264">
        <v>4</v>
      </c>
      <c r="Y264">
        <v>4</v>
      </c>
      <c r="Z264">
        <v>4</v>
      </c>
      <c r="AA264">
        <v>4</v>
      </c>
      <c r="AB264">
        <v>4</v>
      </c>
      <c r="AC264">
        <v>4</v>
      </c>
      <c r="AD264">
        <v>0</v>
      </c>
      <c r="AE264">
        <v>0</v>
      </c>
      <c r="AF264">
        <v>4</v>
      </c>
      <c r="AG264">
        <v>4</v>
      </c>
      <c r="AH264">
        <v>4</v>
      </c>
      <c r="AI264">
        <v>4</v>
      </c>
      <c r="AJ264">
        <v>4</v>
      </c>
      <c r="AK264">
        <v>4</v>
      </c>
      <c r="AL264">
        <v>4</v>
      </c>
      <c r="AM264">
        <v>4</v>
      </c>
      <c r="AN264">
        <v>4</v>
      </c>
      <c r="AO264">
        <v>4</v>
      </c>
      <c r="AQ264">
        <v>0</v>
      </c>
      <c r="AR264" t="s">
        <v>69</v>
      </c>
      <c r="AT264">
        <v>0</v>
      </c>
      <c r="AU264" t="s">
        <v>69</v>
      </c>
      <c r="AV264">
        <v>1</v>
      </c>
      <c r="AW264">
        <v>4</v>
      </c>
      <c r="AX264" t="s">
        <v>75</v>
      </c>
      <c r="AY264" t="s">
        <v>83</v>
      </c>
      <c r="AZ264" t="s">
        <v>96</v>
      </c>
      <c r="BA264">
        <v>0</v>
      </c>
      <c r="BB264">
        <v>0</v>
      </c>
      <c r="BC264" t="s">
        <v>1680</v>
      </c>
      <c r="BD264" t="s">
        <v>112</v>
      </c>
      <c r="BE264" t="s">
        <v>442</v>
      </c>
      <c r="BF264" t="s">
        <v>79</v>
      </c>
      <c r="BG264" t="s">
        <v>442</v>
      </c>
      <c r="BH264" t="s">
        <v>79</v>
      </c>
      <c r="BI264" t="s">
        <v>83</v>
      </c>
    </row>
    <row r="265" spans="1:61" x14ac:dyDescent="0.35">
      <c r="A265">
        <v>264</v>
      </c>
      <c r="B265">
        <v>45842.689629629633</v>
      </c>
      <c r="C265" t="s">
        <v>1681</v>
      </c>
      <c r="D265" t="s">
        <v>1682</v>
      </c>
      <c r="E265" t="s">
        <v>63</v>
      </c>
      <c r="F265" t="s">
        <v>63</v>
      </c>
      <c r="G265" t="s">
        <v>1683</v>
      </c>
      <c r="H265" t="s">
        <v>1679</v>
      </c>
      <c r="I265" t="s">
        <v>439</v>
      </c>
      <c r="J265" t="s">
        <v>1634</v>
      </c>
      <c r="K265" t="s">
        <v>1684</v>
      </c>
      <c r="L265" t="s">
        <v>69</v>
      </c>
      <c r="M265" t="s">
        <v>69</v>
      </c>
      <c r="N265" t="s">
        <v>69</v>
      </c>
      <c r="O265" t="s">
        <v>69</v>
      </c>
      <c r="P265" t="s">
        <v>106</v>
      </c>
      <c r="Q265" t="s">
        <v>1168</v>
      </c>
      <c r="R265" s="3" t="s">
        <v>1045</v>
      </c>
      <c r="S265">
        <v>29</v>
      </c>
      <c r="T265" t="s">
        <v>92</v>
      </c>
      <c r="U265" t="s">
        <v>73</v>
      </c>
      <c r="V265" t="s">
        <v>110</v>
      </c>
      <c r="W265" t="s">
        <v>110</v>
      </c>
      <c r="X265">
        <v>4</v>
      </c>
      <c r="Y265">
        <v>4</v>
      </c>
      <c r="Z265">
        <v>4</v>
      </c>
      <c r="AA265">
        <v>4</v>
      </c>
      <c r="AB265">
        <v>4</v>
      </c>
      <c r="AC265">
        <v>4</v>
      </c>
      <c r="AD265">
        <v>0</v>
      </c>
      <c r="AE265">
        <v>0</v>
      </c>
      <c r="AF265">
        <v>4</v>
      </c>
      <c r="AG265">
        <v>4</v>
      </c>
      <c r="AH265">
        <v>4</v>
      </c>
      <c r="AI265">
        <v>4</v>
      </c>
      <c r="AJ265">
        <v>4</v>
      </c>
      <c r="AK265">
        <v>4</v>
      </c>
      <c r="AL265">
        <v>4</v>
      </c>
      <c r="AM265">
        <v>4</v>
      </c>
      <c r="AN265">
        <v>4</v>
      </c>
      <c r="AO265">
        <v>4</v>
      </c>
      <c r="AQ265">
        <v>0</v>
      </c>
      <c r="AR265" t="s">
        <v>69</v>
      </c>
      <c r="AT265">
        <v>0</v>
      </c>
      <c r="AU265" t="s">
        <v>69</v>
      </c>
      <c r="AW265">
        <v>0</v>
      </c>
      <c r="AX265" t="s">
        <v>69</v>
      </c>
      <c r="AY265" t="s">
        <v>1278</v>
      </c>
      <c r="AZ265" t="s">
        <v>186</v>
      </c>
      <c r="BA265">
        <v>1</v>
      </c>
      <c r="BB265">
        <v>4</v>
      </c>
      <c r="BC265" t="s">
        <v>503</v>
      </c>
      <c r="BD265" t="s">
        <v>79</v>
      </c>
      <c r="BE265" t="s">
        <v>503</v>
      </c>
      <c r="BF265" t="s">
        <v>79</v>
      </c>
      <c r="BG265" t="s">
        <v>1685</v>
      </c>
      <c r="BH265" t="s">
        <v>1184</v>
      </c>
      <c r="BI265" t="s">
        <v>83</v>
      </c>
    </row>
    <row r="266" spans="1:61" x14ac:dyDescent="0.35">
      <c r="A266">
        <v>265</v>
      </c>
      <c r="B266">
        <v>45842.701886574076</v>
      </c>
      <c r="C266" t="s">
        <v>1686</v>
      </c>
      <c r="D266" t="s">
        <v>1687</v>
      </c>
      <c r="E266" t="s">
        <v>63</v>
      </c>
      <c r="F266" t="s">
        <v>1688</v>
      </c>
      <c r="G266" t="s">
        <v>1689</v>
      </c>
      <c r="H266" t="s">
        <v>517</v>
      </c>
      <c r="I266" t="s">
        <v>518</v>
      </c>
      <c r="J266" t="s">
        <v>1596</v>
      </c>
      <c r="K266" t="s">
        <v>1399</v>
      </c>
      <c r="L266" t="s">
        <v>69</v>
      </c>
      <c r="M266" t="s">
        <v>69</v>
      </c>
      <c r="N266" t="s">
        <v>69</v>
      </c>
      <c r="O266" t="s">
        <v>69</v>
      </c>
      <c r="P266" t="s">
        <v>106</v>
      </c>
      <c r="Q266" t="s">
        <v>1168</v>
      </c>
      <c r="R266" s="3" t="s">
        <v>1493</v>
      </c>
      <c r="S266">
        <v>53</v>
      </c>
      <c r="T266" t="s">
        <v>383</v>
      </c>
      <c r="U266" t="s">
        <v>273</v>
      </c>
      <c r="V266" t="s">
        <v>110</v>
      </c>
      <c r="W266" t="s">
        <v>110</v>
      </c>
      <c r="X266">
        <v>4</v>
      </c>
      <c r="Y266">
        <v>4</v>
      </c>
      <c r="Z266">
        <v>4</v>
      </c>
      <c r="AA266">
        <v>3</v>
      </c>
      <c r="AB266">
        <v>4</v>
      </c>
      <c r="AC266">
        <v>4</v>
      </c>
      <c r="AD266">
        <v>0</v>
      </c>
      <c r="AE266">
        <v>0</v>
      </c>
      <c r="AF266">
        <v>4</v>
      </c>
      <c r="AG266">
        <v>3</v>
      </c>
      <c r="AH266">
        <v>4</v>
      </c>
      <c r="AI266">
        <v>4</v>
      </c>
      <c r="AJ266">
        <v>4</v>
      </c>
      <c r="AK266">
        <v>4</v>
      </c>
      <c r="AL266">
        <v>4</v>
      </c>
      <c r="AM266">
        <v>4</v>
      </c>
      <c r="AN266">
        <v>4</v>
      </c>
      <c r="AO266">
        <v>4</v>
      </c>
      <c r="AQ266">
        <v>0</v>
      </c>
      <c r="AR266" t="s">
        <v>69</v>
      </c>
      <c r="AT266">
        <v>0</v>
      </c>
      <c r="AU266" t="s">
        <v>69</v>
      </c>
      <c r="AW266">
        <v>0</v>
      </c>
      <c r="AX266" t="s">
        <v>69</v>
      </c>
      <c r="AY266" t="s">
        <v>77</v>
      </c>
      <c r="AZ266" t="s">
        <v>77</v>
      </c>
      <c r="BA266">
        <v>1</v>
      </c>
      <c r="BB266">
        <v>4</v>
      </c>
      <c r="BC266" t="s">
        <v>503</v>
      </c>
      <c r="BD266" t="s">
        <v>79</v>
      </c>
      <c r="BE266" t="s">
        <v>248</v>
      </c>
      <c r="BF266" t="s">
        <v>79</v>
      </c>
      <c r="BG266" t="s">
        <v>503</v>
      </c>
      <c r="BH266" t="s">
        <v>79</v>
      </c>
      <c r="BI266" t="s">
        <v>83</v>
      </c>
    </row>
    <row r="267" spans="1:61" x14ac:dyDescent="0.35">
      <c r="A267">
        <v>266</v>
      </c>
      <c r="B267">
        <v>45842.706469907411</v>
      </c>
      <c r="C267" t="s">
        <v>1690</v>
      </c>
      <c r="D267" t="s">
        <v>1691</v>
      </c>
      <c r="E267" t="s">
        <v>63</v>
      </c>
      <c r="F267" t="s">
        <v>125</v>
      </c>
      <c r="G267" t="s">
        <v>1692</v>
      </c>
      <c r="H267" t="s">
        <v>517</v>
      </c>
      <c r="I267" t="s">
        <v>518</v>
      </c>
      <c r="J267" t="s">
        <v>1596</v>
      </c>
      <c r="K267" t="s">
        <v>1693</v>
      </c>
      <c r="L267" t="s">
        <v>69</v>
      </c>
      <c r="M267" t="s">
        <v>69</v>
      </c>
      <c r="N267" t="s">
        <v>69</v>
      </c>
      <c r="O267" t="s">
        <v>69</v>
      </c>
      <c r="P267" t="s">
        <v>70</v>
      </c>
      <c r="Q267" t="s">
        <v>1168</v>
      </c>
      <c r="R267" s="3" t="s">
        <v>1694</v>
      </c>
      <c r="S267">
        <v>40</v>
      </c>
      <c r="T267" t="s">
        <v>153</v>
      </c>
      <c r="U267" t="s">
        <v>73</v>
      </c>
      <c r="V267" t="s">
        <v>110</v>
      </c>
      <c r="W267" t="s">
        <v>110</v>
      </c>
      <c r="X267">
        <v>4</v>
      </c>
      <c r="Y267">
        <v>4</v>
      </c>
      <c r="Z267">
        <v>4</v>
      </c>
      <c r="AA267">
        <v>4</v>
      </c>
      <c r="AB267">
        <v>4</v>
      </c>
      <c r="AC267">
        <v>4</v>
      </c>
      <c r="AD267">
        <v>0</v>
      </c>
      <c r="AE267">
        <v>0</v>
      </c>
      <c r="AF267">
        <v>4</v>
      </c>
      <c r="AG267">
        <v>4</v>
      </c>
      <c r="AH267">
        <v>4</v>
      </c>
      <c r="AI267">
        <v>4</v>
      </c>
      <c r="AJ267">
        <v>4</v>
      </c>
      <c r="AK267">
        <v>4</v>
      </c>
      <c r="AL267">
        <v>4</v>
      </c>
      <c r="AM267">
        <v>4</v>
      </c>
      <c r="AN267">
        <v>4</v>
      </c>
      <c r="AO267">
        <v>3</v>
      </c>
      <c r="AQ267">
        <v>0</v>
      </c>
      <c r="AR267" t="s">
        <v>69</v>
      </c>
      <c r="AT267">
        <v>0</v>
      </c>
      <c r="AU267" t="s">
        <v>69</v>
      </c>
      <c r="AW267">
        <v>0</v>
      </c>
      <c r="AX267" t="s">
        <v>69</v>
      </c>
      <c r="AY267" t="s">
        <v>1223</v>
      </c>
      <c r="AZ267" t="s">
        <v>186</v>
      </c>
      <c r="BA267">
        <v>1</v>
      </c>
      <c r="BB267">
        <v>4</v>
      </c>
      <c r="BC267" t="s">
        <v>1695</v>
      </c>
      <c r="BD267" t="s">
        <v>112</v>
      </c>
      <c r="BE267" t="s">
        <v>503</v>
      </c>
      <c r="BF267" t="s">
        <v>79</v>
      </c>
      <c r="BG267" t="s">
        <v>961</v>
      </c>
      <c r="BH267" t="s">
        <v>79</v>
      </c>
      <c r="BI267" t="s">
        <v>83</v>
      </c>
    </row>
    <row r="268" spans="1:61" x14ac:dyDescent="0.35">
      <c r="A268">
        <v>267</v>
      </c>
      <c r="B268">
        <v>45842.707326388889</v>
      </c>
      <c r="C268" t="s">
        <v>1696</v>
      </c>
      <c r="D268" t="s">
        <v>1697</v>
      </c>
      <c r="E268" t="s">
        <v>63</v>
      </c>
      <c r="F268" t="s">
        <v>136</v>
      </c>
      <c r="G268" t="s">
        <v>1698</v>
      </c>
      <c r="H268" t="s">
        <v>210</v>
      </c>
      <c r="I268" t="s">
        <v>211</v>
      </c>
      <c r="J268" t="s">
        <v>1480</v>
      </c>
      <c r="K268" t="s">
        <v>1699</v>
      </c>
      <c r="L268" t="s">
        <v>69</v>
      </c>
      <c r="M268" t="s">
        <v>69</v>
      </c>
      <c r="N268" t="s">
        <v>69</v>
      </c>
      <c r="O268" t="s">
        <v>69</v>
      </c>
      <c r="P268" t="s">
        <v>70</v>
      </c>
      <c r="Q268" t="s">
        <v>107</v>
      </c>
      <c r="R268" s="3">
        <v>30</v>
      </c>
      <c r="S268">
        <v>30</v>
      </c>
      <c r="T268" t="s">
        <v>92</v>
      </c>
      <c r="U268" t="s">
        <v>254</v>
      </c>
      <c r="V268" t="s">
        <v>74</v>
      </c>
      <c r="W268" t="s">
        <v>74</v>
      </c>
      <c r="X268">
        <v>4</v>
      </c>
      <c r="Y268">
        <v>4</v>
      </c>
      <c r="Z268">
        <v>4</v>
      </c>
      <c r="AA268">
        <v>4</v>
      </c>
      <c r="AB268">
        <v>4</v>
      </c>
      <c r="AC268">
        <v>4</v>
      </c>
      <c r="AD268">
        <v>4</v>
      </c>
      <c r="AE268">
        <v>4</v>
      </c>
      <c r="AF268">
        <v>4</v>
      </c>
      <c r="AG268">
        <v>4</v>
      </c>
      <c r="AH268">
        <v>4</v>
      </c>
      <c r="AI268">
        <v>4</v>
      </c>
      <c r="AJ268">
        <v>4</v>
      </c>
      <c r="AK268">
        <v>4</v>
      </c>
      <c r="AL268">
        <v>4</v>
      </c>
      <c r="AM268">
        <v>4</v>
      </c>
      <c r="AN268">
        <v>4</v>
      </c>
      <c r="AO268">
        <v>4</v>
      </c>
      <c r="AQ268">
        <v>0</v>
      </c>
      <c r="AR268" t="s">
        <v>69</v>
      </c>
      <c r="AT268">
        <v>0</v>
      </c>
      <c r="AU268" t="s">
        <v>69</v>
      </c>
      <c r="AW268">
        <v>0</v>
      </c>
      <c r="AX268" t="s">
        <v>69</v>
      </c>
      <c r="AY268" t="s">
        <v>379</v>
      </c>
      <c r="AZ268" t="s">
        <v>77</v>
      </c>
      <c r="BA268">
        <v>1</v>
      </c>
      <c r="BB268">
        <v>4</v>
      </c>
      <c r="BC268" t="s">
        <v>98</v>
      </c>
      <c r="BD268" t="s">
        <v>99</v>
      </c>
      <c r="BE268" t="s">
        <v>98</v>
      </c>
      <c r="BF268" t="s">
        <v>99</v>
      </c>
      <c r="BG268" t="s">
        <v>263</v>
      </c>
      <c r="BH268" t="s">
        <v>99</v>
      </c>
      <c r="BI268" t="s">
        <v>98</v>
      </c>
    </row>
    <row r="269" spans="1:61" x14ac:dyDescent="0.35">
      <c r="A269">
        <v>268</v>
      </c>
      <c r="B269">
        <v>45842.713472222225</v>
      </c>
      <c r="C269" t="s">
        <v>1700</v>
      </c>
      <c r="D269" t="s">
        <v>1701</v>
      </c>
      <c r="E269" t="s">
        <v>904</v>
      </c>
      <c r="F269" t="s">
        <v>1702</v>
      </c>
      <c r="G269" t="s">
        <v>1703</v>
      </c>
      <c r="H269" t="s">
        <v>210</v>
      </c>
      <c r="I269" t="s">
        <v>211</v>
      </c>
      <c r="J269" t="s">
        <v>1480</v>
      </c>
      <c r="K269" t="s">
        <v>1704</v>
      </c>
      <c r="L269" t="s">
        <v>69</v>
      </c>
      <c r="M269" t="s">
        <v>69</v>
      </c>
      <c r="N269" t="s">
        <v>69</v>
      </c>
      <c r="O269" t="s">
        <v>69</v>
      </c>
      <c r="P269" t="s">
        <v>70</v>
      </c>
      <c r="Q269" t="s">
        <v>107</v>
      </c>
      <c r="R269" s="3">
        <v>36</v>
      </c>
      <c r="S269">
        <v>36</v>
      </c>
      <c r="T269" t="s">
        <v>153</v>
      </c>
      <c r="U269" t="s">
        <v>93</v>
      </c>
      <c r="V269" t="s">
        <v>232</v>
      </c>
      <c r="W269" t="s">
        <v>232</v>
      </c>
      <c r="X269">
        <v>4</v>
      </c>
      <c r="Y269">
        <v>4</v>
      </c>
      <c r="Z269">
        <v>3</v>
      </c>
      <c r="AA269">
        <v>3</v>
      </c>
      <c r="AB269">
        <v>3</v>
      </c>
      <c r="AC269">
        <v>3</v>
      </c>
      <c r="AD269">
        <v>4</v>
      </c>
      <c r="AE269">
        <v>4</v>
      </c>
      <c r="AF269">
        <v>4</v>
      </c>
      <c r="AG269">
        <v>4</v>
      </c>
      <c r="AH269">
        <v>4</v>
      </c>
      <c r="AI269">
        <v>4</v>
      </c>
      <c r="AJ269">
        <v>3</v>
      </c>
      <c r="AK269">
        <v>3</v>
      </c>
      <c r="AL269">
        <v>4</v>
      </c>
      <c r="AM269">
        <v>4</v>
      </c>
      <c r="AN269">
        <v>4</v>
      </c>
      <c r="AO269">
        <v>4</v>
      </c>
      <c r="AP269">
        <v>2</v>
      </c>
      <c r="AQ269">
        <v>3</v>
      </c>
      <c r="AR269" t="s">
        <v>75</v>
      </c>
      <c r="AT269">
        <v>0</v>
      </c>
      <c r="AU269" t="s">
        <v>69</v>
      </c>
      <c r="AW269">
        <v>0</v>
      </c>
      <c r="AX269" t="s">
        <v>69</v>
      </c>
      <c r="AY269" t="s">
        <v>83</v>
      </c>
      <c r="AZ269" t="s">
        <v>96</v>
      </c>
      <c r="BA269">
        <v>0</v>
      </c>
      <c r="BB269">
        <v>0</v>
      </c>
      <c r="BC269" t="s">
        <v>98</v>
      </c>
      <c r="BD269" t="s">
        <v>99</v>
      </c>
      <c r="BE269" t="s">
        <v>98</v>
      </c>
      <c r="BF269" t="s">
        <v>99</v>
      </c>
      <c r="BG269" t="s">
        <v>98</v>
      </c>
      <c r="BH269" t="s">
        <v>99</v>
      </c>
      <c r="BI269" t="s">
        <v>98</v>
      </c>
    </row>
    <row r="270" spans="1:61" x14ac:dyDescent="0.35">
      <c r="A270">
        <v>269</v>
      </c>
      <c r="B270">
        <v>45842.723182870373</v>
      </c>
      <c r="C270" t="s">
        <v>1705</v>
      </c>
      <c r="D270" t="s">
        <v>1706</v>
      </c>
      <c r="E270" t="s">
        <v>63</v>
      </c>
      <c r="F270" t="s">
        <v>1707</v>
      </c>
      <c r="G270" t="s">
        <v>1708</v>
      </c>
      <c r="H270" t="s">
        <v>210</v>
      </c>
      <c r="I270" t="s">
        <v>211</v>
      </c>
      <c r="J270" t="s">
        <v>1480</v>
      </c>
      <c r="K270" t="s">
        <v>1709</v>
      </c>
      <c r="L270" t="s">
        <v>69</v>
      </c>
      <c r="M270" t="s">
        <v>69</v>
      </c>
      <c r="N270" t="s">
        <v>69</v>
      </c>
      <c r="O270" t="s">
        <v>69</v>
      </c>
      <c r="P270" t="s">
        <v>70</v>
      </c>
      <c r="Q270" t="s">
        <v>271</v>
      </c>
      <c r="R270" s="3">
        <v>20</v>
      </c>
      <c r="S270">
        <v>20</v>
      </c>
      <c r="T270" t="s">
        <v>131</v>
      </c>
      <c r="U270" t="s">
        <v>73</v>
      </c>
      <c r="V270" t="s">
        <v>94</v>
      </c>
      <c r="W270" t="s">
        <v>95</v>
      </c>
      <c r="X270">
        <v>3</v>
      </c>
      <c r="Y270">
        <v>3</v>
      </c>
      <c r="Z270">
        <v>3</v>
      </c>
      <c r="AA270">
        <v>3</v>
      </c>
      <c r="AB270">
        <v>3</v>
      </c>
      <c r="AC270">
        <v>3</v>
      </c>
      <c r="AD270">
        <v>3</v>
      </c>
      <c r="AE270">
        <v>3</v>
      </c>
      <c r="AF270">
        <v>3</v>
      </c>
      <c r="AG270">
        <v>3</v>
      </c>
      <c r="AH270">
        <v>3</v>
      </c>
      <c r="AI270">
        <v>3</v>
      </c>
      <c r="AJ270">
        <v>3</v>
      </c>
      <c r="AK270">
        <v>3</v>
      </c>
      <c r="AL270">
        <v>3</v>
      </c>
      <c r="AM270">
        <v>3</v>
      </c>
      <c r="AN270">
        <v>3</v>
      </c>
      <c r="AO270">
        <v>3</v>
      </c>
      <c r="AQ270">
        <v>0</v>
      </c>
      <c r="AR270" t="s">
        <v>69</v>
      </c>
      <c r="AT270">
        <v>0</v>
      </c>
      <c r="AU270" t="s">
        <v>69</v>
      </c>
      <c r="AW270">
        <v>0</v>
      </c>
      <c r="AX270" t="s">
        <v>69</v>
      </c>
      <c r="AY270" t="s">
        <v>532</v>
      </c>
      <c r="AZ270" t="s">
        <v>77</v>
      </c>
      <c r="BA270">
        <v>2</v>
      </c>
      <c r="BB270">
        <v>3</v>
      </c>
      <c r="BC270" t="s">
        <v>98</v>
      </c>
      <c r="BD270" t="s">
        <v>99</v>
      </c>
      <c r="BE270" t="s">
        <v>1295</v>
      </c>
      <c r="BF270" t="s">
        <v>157</v>
      </c>
      <c r="BG270" t="s">
        <v>98</v>
      </c>
      <c r="BH270" t="s">
        <v>99</v>
      </c>
      <c r="BI270" t="s">
        <v>263</v>
      </c>
    </row>
    <row r="271" spans="1:61" x14ac:dyDescent="0.35">
      <c r="A271">
        <v>270</v>
      </c>
      <c r="B271">
        <v>45842.727013888885</v>
      </c>
      <c r="C271" t="s">
        <v>1710</v>
      </c>
      <c r="D271" t="s">
        <v>1711</v>
      </c>
      <c r="E271" t="s">
        <v>63</v>
      </c>
      <c r="F271" t="s">
        <v>338</v>
      </c>
      <c r="G271" t="s">
        <v>1712</v>
      </c>
      <c r="H271" t="s">
        <v>210</v>
      </c>
      <c r="I271" t="s">
        <v>211</v>
      </c>
      <c r="J271" t="s">
        <v>1480</v>
      </c>
      <c r="K271" t="s">
        <v>1713</v>
      </c>
      <c r="L271" t="s">
        <v>69</v>
      </c>
      <c r="M271" t="s">
        <v>69</v>
      </c>
      <c r="N271" t="s">
        <v>69</v>
      </c>
      <c r="O271" t="s">
        <v>69</v>
      </c>
      <c r="P271" t="s">
        <v>106</v>
      </c>
      <c r="Q271" t="s">
        <v>271</v>
      </c>
      <c r="R271" s="3">
        <v>26</v>
      </c>
      <c r="S271">
        <v>26</v>
      </c>
      <c r="T271" t="s">
        <v>92</v>
      </c>
      <c r="U271" t="s">
        <v>73</v>
      </c>
      <c r="V271" t="s">
        <v>74</v>
      </c>
      <c r="W271" t="s">
        <v>74</v>
      </c>
      <c r="X271">
        <v>3</v>
      </c>
      <c r="Y271">
        <v>3</v>
      </c>
      <c r="Z271">
        <v>3</v>
      </c>
      <c r="AA271">
        <v>3</v>
      </c>
      <c r="AB271">
        <v>3</v>
      </c>
      <c r="AC271">
        <v>3</v>
      </c>
      <c r="AD271">
        <v>3</v>
      </c>
      <c r="AE271">
        <v>3</v>
      </c>
      <c r="AF271">
        <v>3</v>
      </c>
      <c r="AG271">
        <v>3</v>
      </c>
      <c r="AH271">
        <v>3</v>
      </c>
      <c r="AI271">
        <v>3</v>
      </c>
      <c r="AJ271">
        <v>3</v>
      </c>
      <c r="AK271">
        <v>3</v>
      </c>
      <c r="AL271">
        <v>3</v>
      </c>
      <c r="AM271">
        <v>3</v>
      </c>
      <c r="AN271">
        <v>3</v>
      </c>
      <c r="AO271">
        <v>3</v>
      </c>
      <c r="AQ271">
        <v>0</v>
      </c>
      <c r="AR271" t="s">
        <v>69</v>
      </c>
      <c r="AT271">
        <v>0</v>
      </c>
      <c r="AU271" t="s">
        <v>69</v>
      </c>
      <c r="AW271">
        <v>0</v>
      </c>
      <c r="AX271" t="s">
        <v>69</v>
      </c>
      <c r="AY271" t="s">
        <v>144</v>
      </c>
      <c r="AZ271" t="s">
        <v>144</v>
      </c>
      <c r="BA271">
        <v>2</v>
      </c>
      <c r="BB271">
        <v>3</v>
      </c>
      <c r="BC271" t="s">
        <v>98</v>
      </c>
      <c r="BD271" t="s">
        <v>99</v>
      </c>
      <c r="BE271" t="s">
        <v>98</v>
      </c>
      <c r="BF271" t="s">
        <v>99</v>
      </c>
      <c r="BG271" t="s">
        <v>98</v>
      </c>
      <c r="BH271" t="s">
        <v>99</v>
      </c>
      <c r="BI271" t="s">
        <v>98</v>
      </c>
    </row>
    <row r="272" spans="1:61" x14ac:dyDescent="0.35">
      <c r="A272">
        <v>271</v>
      </c>
      <c r="B272">
        <v>45842.736458333333</v>
      </c>
      <c r="C272" t="s">
        <v>1714</v>
      </c>
      <c r="D272" t="s">
        <v>1715</v>
      </c>
      <c r="E272" t="s">
        <v>63</v>
      </c>
      <c r="F272" t="s">
        <v>757</v>
      </c>
      <c r="G272" t="s">
        <v>1716</v>
      </c>
      <c r="H272" t="s">
        <v>65</v>
      </c>
      <c r="I272" t="s">
        <v>66</v>
      </c>
      <c r="J272" t="s">
        <v>1541</v>
      </c>
      <c r="K272" t="s">
        <v>1717</v>
      </c>
      <c r="L272" t="s">
        <v>69</v>
      </c>
      <c r="M272" t="s">
        <v>69</v>
      </c>
      <c r="N272" t="s">
        <v>69</v>
      </c>
      <c r="O272" t="s">
        <v>69</v>
      </c>
      <c r="P272" t="s">
        <v>106</v>
      </c>
      <c r="Q272" t="s">
        <v>1180</v>
      </c>
      <c r="R272" s="3">
        <v>32</v>
      </c>
      <c r="S272">
        <v>32</v>
      </c>
      <c r="T272" t="s">
        <v>109</v>
      </c>
      <c r="U272" t="s">
        <v>73</v>
      </c>
      <c r="V272" t="s">
        <v>74</v>
      </c>
      <c r="W272" t="s">
        <v>74</v>
      </c>
      <c r="X272">
        <v>4</v>
      </c>
      <c r="Y272">
        <v>4</v>
      </c>
      <c r="Z272">
        <v>4</v>
      </c>
      <c r="AA272">
        <v>4</v>
      </c>
      <c r="AB272">
        <v>4</v>
      </c>
      <c r="AC272">
        <v>4</v>
      </c>
      <c r="AD272">
        <v>0</v>
      </c>
      <c r="AE272">
        <v>0</v>
      </c>
      <c r="AF272">
        <v>3</v>
      </c>
      <c r="AG272">
        <v>3</v>
      </c>
      <c r="AH272">
        <v>4</v>
      </c>
      <c r="AI272">
        <v>4</v>
      </c>
      <c r="AJ272">
        <v>3</v>
      </c>
      <c r="AK272">
        <v>3</v>
      </c>
      <c r="AL272">
        <v>3</v>
      </c>
      <c r="AM272">
        <v>3</v>
      </c>
      <c r="AN272">
        <v>4</v>
      </c>
      <c r="AO272">
        <v>4</v>
      </c>
      <c r="AQ272">
        <v>0</v>
      </c>
      <c r="AR272" t="s">
        <v>69</v>
      </c>
      <c r="AT272">
        <v>0</v>
      </c>
      <c r="AU272" t="s">
        <v>69</v>
      </c>
      <c r="AW272">
        <v>0</v>
      </c>
      <c r="AX272" t="s">
        <v>69</v>
      </c>
      <c r="AY272" t="s">
        <v>1718</v>
      </c>
      <c r="AZ272" t="s">
        <v>186</v>
      </c>
      <c r="BA272">
        <v>1</v>
      </c>
      <c r="BB272">
        <v>4</v>
      </c>
      <c r="BC272" t="s">
        <v>1719</v>
      </c>
      <c r="BD272" t="s">
        <v>112</v>
      </c>
      <c r="BE272" t="s">
        <v>961</v>
      </c>
      <c r="BF272" t="s">
        <v>79</v>
      </c>
      <c r="BG272" t="s">
        <v>1720</v>
      </c>
      <c r="BH272" t="s">
        <v>146</v>
      </c>
      <c r="BI272" t="s">
        <v>83</v>
      </c>
    </row>
    <row r="273" spans="1:61" x14ac:dyDescent="0.35">
      <c r="A273">
        <v>272</v>
      </c>
      <c r="B273">
        <v>45842.739432870374</v>
      </c>
      <c r="C273" t="s">
        <v>1721</v>
      </c>
      <c r="D273" t="s">
        <v>1722</v>
      </c>
      <c r="E273" t="s">
        <v>1723</v>
      </c>
      <c r="F273" t="s">
        <v>1724</v>
      </c>
      <c r="G273" t="s">
        <v>1725</v>
      </c>
      <c r="H273" t="s">
        <v>517</v>
      </c>
      <c r="I273" t="s">
        <v>518</v>
      </c>
      <c r="J273" t="s">
        <v>1596</v>
      </c>
      <c r="K273" t="s">
        <v>1726</v>
      </c>
      <c r="L273" t="s">
        <v>69</v>
      </c>
      <c r="M273" t="s">
        <v>69</v>
      </c>
      <c r="N273" t="s">
        <v>69</v>
      </c>
      <c r="O273" t="s">
        <v>69</v>
      </c>
      <c r="P273" t="s">
        <v>106</v>
      </c>
      <c r="Q273" t="s">
        <v>1168</v>
      </c>
      <c r="R273" s="3" t="s">
        <v>873</v>
      </c>
      <c r="S273">
        <v>37</v>
      </c>
      <c r="T273" t="s">
        <v>153</v>
      </c>
      <c r="U273" t="s">
        <v>93</v>
      </c>
      <c r="V273" t="s">
        <v>74</v>
      </c>
      <c r="W273" t="s">
        <v>74</v>
      </c>
      <c r="X273">
        <v>3</v>
      </c>
      <c r="Y273">
        <v>3</v>
      </c>
      <c r="Z273">
        <v>4</v>
      </c>
      <c r="AA273">
        <v>4</v>
      </c>
      <c r="AB273">
        <v>4</v>
      </c>
      <c r="AC273">
        <v>3</v>
      </c>
      <c r="AD273">
        <v>0</v>
      </c>
      <c r="AE273">
        <v>0</v>
      </c>
      <c r="AF273">
        <v>4</v>
      </c>
      <c r="AG273">
        <v>3</v>
      </c>
      <c r="AH273">
        <v>4</v>
      </c>
      <c r="AI273">
        <v>3</v>
      </c>
      <c r="AJ273">
        <v>4</v>
      </c>
      <c r="AK273">
        <v>3</v>
      </c>
      <c r="AL273">
        <v>3</v>
      </c>
      <c r="AM273">
        <v>3</v>
      </c>
      <c r="AN273">
        <v>3</v>
      </c>
      <c r="AO273">
        <v>3</v>
      </c>
      <c r="AQ273">
        <v>0</v>
      </c>
      <c r="AR273" t="s">
        <v>69</v>
      </c>
      <c r="AT273">
        <v>0</v>
      </c>
      <c r="AU273" t="s">
        <v>69</v>
      </c>
      <c r="AW273">
        <v>0</v>
      </c>
      <c r="AX273" t="s">
        <v>69</v>
      </c>
      <c r="AY273" t="s">
        <v>1727</v>
      </c>
      <c r="AZ273" t="s">
        <v>144</v>
      </c>
      <c r="BA273">
        <v>2</v>
      </c>
      <c r="BB273">
        <v>3</v>
      </c>
      <c r="BC273" t="s">
        <v>1728</v>
      </c>
      <c r="BD273" t="s">
        <v>99</v>
      </c>
      <c r="BE273" t="s">
        <v>1729</v>
      </c>
      <c r="BF273" t="s">
        <v>79</v>
      </c>
      <c r="BG273" t="s">
        <v>1730</v>
      </c>
      <c r="BH273" t="s">
        <v>146</v>
      </c>
      <c r="BI273" t="s">
        <v>83</v>
      </c>
    </row>
    <row r="274" spans="1:61" x14ac:dyDescent="0.35">
      <c r="A274">
        <v>273</v>
      </c>
      <c r="B274">
        <v>45842.742222222223</v>
      </c>
      <c r="C274" t="s">
        <v>1731</v>
      </c>
      <c r="D274" t="s">
        <v>1732</v>
      </c>
      <c r="E274" t="s">
        <v>63</v>
      </c>
      <c r="F274" t="s">
        <v>312</v>
      </c>
      <c r="G274" t="s">
        <v>1733</v>
      </c>
      <c r="H274" t="s">
        <v>65</v>
      </c>
      <c r="I274" t="s">
        <v>66</v>
      </c>
      <c r="J274" t="s">
        <v>1541</v>
      </c>
      <c r="K274" t="s">
        <v>1734</v>
      </c>
      <c r="L274" t="s">
        <v>69</v>
      </c>
      <c r="M274" t="s">
        <v>69</v>
      </c>
      <c r="N274" t="s">
        <v>69</v>
      </c>
      <c r="O274" t="s">
        <v>69</v>
      </c>
      <c r="P274" t="s">
        <v>70</v>
      </c>
      <c r="Q274" t="s">
        <v>1168</v>
      </c>
      <c r="R274" s="3">
        <v>35</v>
      </c>
      <c r="S274">
        <v>35</v>
      </c>
      <c r="T274" t="s">
        <v>109</v>
      </c>
      <c r="U274" t="s">
        <v>273</v>
      </c>
      <c r="V274" t="s">
        <v>110</v>
      </c>
      <c r="W274" t="s">
        <v>110</v>
      </c>
      <c r="X274">
        <v>3</v>
      </c>
      <c r="Y274">
        <v>3</v>
      </c>
      <c r="Z274">
        <v>3</v>
      </c>
      <c r="AA274">
        <v>3</v>
      </c>
      <c r="AB274">
        <v>3</v>
      </c>
      <c r="AC274">
        <v>3</v>
      </c>
      <c r="AD274">
        <v>0</v>
      </c>
      <c r="AE274">
        <v>0</v>
      </c>
      <c r="AF274">
        <v>3</v>
      </c>
      <c r="AG274">
        <v>3</v>
      </c>
      <c r="AH274">
        <v>3</v>
      </c>
      <c r="AI274">
        <v>3</v>
      </c>
      <c r="AJ274">
        <v>3</v>
      </c>
      <c r="AK274">
        <v>3</v>
      </c>
      <c r="AL274">
        <v>3</v>
      </c>
      <c r="AM274">
        <v>3</v>
      </c>
      <c r="AN274">
        <v>3</v>
      </c>
      <c r="AO274">
        <v>3</v>
      </c>
      <c r="AQ274">
        <v>0</v>
      </c>
      <c r="AR274" t="s">
        <v>69</v>
      </c>
      <c r="AT274">
        <v>0</v>
      </c>
      <c r="AU274" t="s">
        <v>69</v>
      </c>
      <c r="AW274">
        <v>0</v>
      </c>
      <c r="AX274" t="s">
        <v>69</v>
      </c>
      <c r="AY274" t="s">
        <v>1735</v>
      </c>
      <c r="AZ274" t="s">
        <v>450</v>
      </c>
      <c r="BA274">
        <v>2</v>
      </c>
      <c r="BB274">
        <v>3</v>
      </c>
      <c r="BC274" t="s">
        <v>961</v>
      </c>
      <c r="BD274" t="s">
        <v>79</v>
      </c>
      <c r="BE274" t="s">
        <v>442</v>
      </c>
      <c r="BF274" t="s">
        <v>79</v>
      </c>
      <c r="BG274" t="s">
        <v>442</v>
      </c>
      <c r="BH274" t="s">
        <v>79</v>
      </c>
      <c r="BI274" t="s">
        <v>83</v>
      </c>
    </row>
    <row r="275" spans="1:61" x14ac:dyDescent="0.35">
      <c r="A275">
        <v>274</v>
      </c>
      <c r="B275">
        <v>45842.744143518517</v>
      </c>
      <c r="C275" t="s">
        <v>1736</v>
      </c>
      <c r="D275" t="s">
        <v>1737</v>
      </c>
      <c r="E275" t="s">
        <v>63</v>
      </c>
      <c r="F275" t="s">
        <v>312</v>
      </c>
      <c r="G275" t="s">
        <v>1738</v>
      </c>
      <c r="H275" t="s">
        <v>210</v>
      </c>
      <c r="I275" t="s">
        <v>211</v>
      </c>
      <c r="J275" t="s">
        <v>1480</v>
      </c>
      <c r="K275" t="s">
        <v>1739</v>
      </c>
      <c r="L275" t="s">
        <v>69</v>
      </c>
      <c r="M275" t="s">
        <v>69</v>
      </c>
      <c r="N275" t="s">
        <v>69</v>
      </c>
      <c r="O275" t="s">
        <v>69</v>
      </c>
      <c r="P275" t="s">
        <v>70</v>
      </c>
      <c r="Q275" t="s">
        <v>271</v>
      </c>
      <c r="R275" s="3">
        <v>36</v>
      </c>
      <c r="S275">
        <v>36</v>
      </c>
      <c r="T275" t="s">
        <v>153</v>
      </c>
      <c r="U275" t="s">
        <v>73</v>
      </c>
      <c r="V275" t="s">
        <v>74</v>
      </c>
      <c r="W275" t="s">
        <v>74</v>
      </c>
      <c r="X275">
        <v>3</v>
      </c>
      <c r="Y275">
        <v>3</v>
      </c>
      <c r="Z275">
        <v>3</v>
      </c>
      <c r="AA275">
        <v>3</v>
      </c>
      <c r="AB275">
        <v>3</v>
      </c>
      <c r="AC275">
        <v>3</v>
      </c>
      <c r="AD275">
        <v>3</v>
      </c>
      <c r="AE275">
        <v>3</v>
      </c>
      <c r="AF275">
        <v>3</v>
      </c>
      <c r="AG275">
        <v>3</v>
      </c>
      <c r="AH275">
        <v>3</v>
      </c>
      <c r="AI275">
        <v>3</v>
      </c>
      <c r="AJ275">
        <v>3</v>
      </c>
      <c r="AK275">
        <v>3</v>
      </c>
      <c r="AL275">
        <v>3</v>
      </c>
      <c r="AM275">
        <v>3</v>
      </c>
      <c r="AN275">
        <v>3</v>
      </c>
      <c r="AO275">
        <v>3</v>
      </c>
      <c r="AQ275">
        <v>0</v>
      </c>
      <c r="AR275" t="s">
        <v>69</v>
      </c>
      <c r="AT275">
        <v>0</v>
      </c>
      <c r="AU275" t="s">
        <v>69</v>
      </c>
      <c r="AW275">
        <v>0</v>
      </c>
      <c r="AX275" t="s">
        <v>69</v>
      </c>
      <c r="AY275" t="s">
        <v>1740</v>
      </c>
      <c r="AZ275" t="s">
        <v>144</v>
      </c>
      <c r="BA275">
        <v>2</v>
      </c>
      <c r="BB275">
        <v>3</v>
      </c>
      <c r="BC275" t="s">
        <v>98</v>
      </c>
      <c r="BD275" t="s">
        <v>99</v>
      </c>
      <c r="BE275" t="s">
        <v>1741</v>
      </c>
      <c r="BF275" t="s">
        <v>157</v>
      </c>
      <c r="BG275" t="s">
        <v>98</v>
      </c>
      <c r="BH275" t="s">
        <v>99</v>
      </c>
      <c r="BI275" t="s">
        <v>98</v>
      </c>
    </row>
    <row r="276" spans="1:61" x14ac:dyDescent="0.35">
      <c r="A276">
        <v>275</v>
      </c>
      <c r="B276">
        <v>45842.745821759258</v>
      </c>
      <c r="C276" t="s">
        <v>1742</v>
      </c>
      <c r="D276" t="s">
        <v>1743</v>
      </c>
      <c r="E276" t="s">
        <v>63</v>
      </c>
      <c r="F276" t="s">
        <v>63</v>
      </c>
      <c r="G276" t="s">
        <v>1744</v>
      </c>
      <c r="H276" t="s">
        <v>517</v>
      </c>
      <c r="I276" t="s">
        <v>518</v>
      </c>
      <c r="J276" t="s">
        <v>1596</v>
      </c>
      <c r="K276" t="s">
        <v>1745</v>
      </c>
      <c r="L276" t="s">
        <v>69</v>
      </c>
      <c r="M276" t="s">
        <v>69</v>
      </c>
      <c r="N276" t="s">
        <v>69</v>
      </c>
      <c r="O276" t="s">
        <v>69</v>
      </c>
      <c r="P276" t="s">
        <v>106</v>
      </c>
      <c r="Q276" t="s">
        <v>1168</v>
      </c>
      <c r="R276" s="3" t="s">
        <v>1342</v>
      </c>
      <c r="S276">
        <v>30</v>
      </c>
      <c r="T276" t="s">
        <v>92</v>
      </c>
      <c r="U276" t="s">
        <v>93</v>
      </c>
      <c r="V276" t="s">
        <v>74</v>
      </c>
      <c r="W276" t="s">
        <v>74</v>
      </c>
      <c r="X276">
        <v>3</v>
      </c>
      <c r="Y276">
        <v>3</v>
      </c>
      <c r="Z276">
        <v>3</v>
      </c>
      <c r="AA276">
        <v>3</v>
      </c>
      <c r="AB276">
        <v>4</v>
      </c>
      <c r="AC276">
        <v>4</v>
      </c>
      <c r="AD276">
        <v>0</v>
      </c>
      <c r="AE276">
        <v>0</v>
      </c>
      <c r="AF276">
        <v>4</v>
      </c>
      <c r="AG276">
        <v>4</v>
      </c>
      <c r="AH276">
        <v>3</v>
      </c>
      <c r="AI276">
        <v>4</v>
      </c>
      <c r="AJ276">
        <v>3</v>
      </c>
      <c r="AK276">
        <v>4</v>
      </c>
      <c r="AL276">
        <v>4</v>
      </c>
      <c r="AM276">
        <v>4</v>
      </c>
      <c r="AN276">
        <v>3</v>
      </c>
      <c r="AO276">
        <v>4</v>
      </c>
      <c r="AQ276">
        <v>0</v>
      </c>
      <c r="AR276" t="s">
        <v>69</v>
      </c>
      <c r="AT276">
        <v>0</v>
      </c>
      <c r="AU276" t="s">
        <v>69</v>
      </c>
      <c r="AW276">
        <v>0</v>
      </c>
      <c r="AX276" t="s">
        <v>69</v>
      </c>
      <c r="AY276" t="s">
        <v>1746</v>
      </c>
      <c r="AZ276" t="s">
        <v>186</v>
      </c>
      <c r="BA276">
        <v>1</v>
      </c>
      <c r="BB276">
        <v>4</v>
      </c>
      <c r="BC276" t="s">
        <v>1747</v>
      </c>
      <c r="BD276" t="s">
        <v>112</v>
      </c>
      <c r="BE276" t="s">
        <v>1748</v>
      </c>
      <c r="BF276" t="s">
        <v>112</v>
      </c>
      <c r="BG276" t="s">
        <v>1749</v>
      </c>
      <c r="BH276" t="s">
        <v>685</v>
      </c>
      <c r="BI276" t="s">
        <v>83</v>
      </c>
    </row>
    <row r="277" spans="1:61" x14ac:dyDescent="0.35">
      <c r="A277">
        <v>276</v>
      </c>
      <c r="B277">
        <v>45842.748379629629</v>
      </c>
      <c r="C277" t="s">
        <v>1750</v>
      </c>
      <c r="D277" t="s">
        <v>1751</v>
      </c>
      <c r="E277" t="s">
        <v>63</v>
      </c>
      <c r="F277" t="s">
        <v>179</v>
      </c>
      <c r="G277" t="s">
        <v>1752</v>
      </c>
      <c r="H277" t="s">
        <v>657</v>
      </c>
      <c r="I277" t="s">
        <v>66</v>
      </c>
      <c r="J277" t="s">
        <v>1634</v>
      </c>
      <c r="K277" t="s">
        <v>1753</v>
      </c>
      <c r="L277" t="s">
        <v>69</v>
      </c>
      <c r="M277" t="s">
        <v>69</v>
      </c>
      <c r="N277" t="s">
        <v>69</v>
      </c>
      <c r="O277" t="s">
        <v>69</v>
      </c>
      <c r="P277" t="s">
        <v>106</v>
      </c>
      <c r="Q277" t="s">
        <v>1180</v>
      </c>
      <c r="R277" s="3">
        <v>36</v>
      </c>
      <c r="S277">
        <v>36</v>
      </c>
      <c r="T277" t="s">
        <v>153</v>
      </c>
      <c r="U277" t="s">
        <v>73</v>
      </c>
      <c r="V277" t="s">
        <v>74</v>
      </c>
      <c r="W277" t="s">
        <v>74</v>
      </c>
      <c r="X277">
        <v>3</v>
      </c>
      <c r="Y277">
        <v>3</v>
      </c>
      <c r="Z277">
        <v>3</v>
      </c>
      <c r="AA277">
        <v>3</v>
      </c>
      <c r="AB277">
        <v>3</v>
      </c>
      <c r="AC277">
        <v>3</v>
      </c>
      <c r="AD277">
        <v>0</v>
      </c>
      <c r="AE277">
        <v>0</v>
      </c>
      <c r="AF277">
        <v>3</v>
      </c>
      <c r="AG277">
        <v>3</v>
      </c>
      <c r="AH277">
        <v>3</v>
      </c>
      <c r="AI277">
        <v>3</v>
      </c>
      <c r="AJ277">
        <v>3</v>
      </c>
      <c r="AK277">
        <v>3</v>
      </c>
      <c r="AL277">
        <v>3</v>
      </c>
      <c r="AM277">
        <v>3</v>
      </c>
      <c r="AN277">
        <v>3</v>
      </c>
      <c r="AO277">
        <v>3</v>
      </c>
      <c r="AQ277">
        <v>0</v>
      </c>
      <c r="AR277" t="s">
        <v>69</v>
      </c>
      <c r="AT277">
        <v>0</v>
      </c>
      <c r="AU277" t="s">
        <v>69</v>
      </c>
      <c r="AV277">
        <v>1</v>
      </c>
      <c r="AW277">
        <v>4</v>
      </c>
      <c r="AX277" t="s">
        <v>75</v>
      </c>
      <c r="AY277" t="s">
        <v>83</v>
      </c>
      <c r="AZ277" t="s">
        <v>96</v>
      </c>
      <c r="BA277">
        <v>0</v>
      </c>
      <c r="BB277">
        <v>0</v>
      </c>
      <c r="BC277" t="s">
        <v>442</v>
      </c>
      <c r="BD277" t="s">
        <v>79</v>
      </c>
      <c r="BE277" t="s">
        <v>1754</v>
      </c>
      <c r="BF277" t="s">
        <v>1755</v>
      </c>
      <c r="BG277" t="s">
        <v>248</v>
      </c>
      <c r="BH277" t="s">
        <v>79</v>
      </c>
      <c r="BI277" t="s">
        <v>83</v>
      </c>
    </row>
    <row r="278" spans="1:61" x14ac:dyDescent="0.35">
      <c r="A278">
        <v>277</v>
      </c>
      <c r="B278">
        <v>45842.749502314815</v>
      </c>
      <c r="C278" t="s">
        <v>1756</v>
      </c>
      <c r="D278" t="s">
        <v>1757</v>
      </c>
      <c r="E278" t="s">
        <v>63</v>
      </c>
      <c r="F278" t="s">
        <v>149</v>
      </c>
      <c r="G278" t="s">
        <v>1758</v>
      </c>
      <c r="H278" t="s">
        <v>210</v>
      </c>
      <c r="I278" t="s">
        <v>211</v>
      </c>
      <c r="J278" t="s">
        <v>1480</v>
      </c>
      <c r="K278" t="s">
        <v>1651</v>
      </c>
      <c r="L278" t="s">
        <v>69</v>
      </c>
      <c r="M278" t="s">
        <v>69</v>
      </c>
      <c r="N278" t="s">
        <v>69</v>
      </c>
      <c r="O278" t="s">
        <v>69</v>
      </c>
      <c r="P278" t="s">
        <v>106</v>
      </c>
      <c r="Q278" t="s">
        <v>271</v>
      </c>
      <c r="R278" s="3">
        <v>18</v>
      </c>
      <c r="S278">
        <v>18</v>
      </c>
      <c r="T278" t="s">
        <v>131</v>
      </c>
      <c r="U278" t="s">
        <v>73</v>
      </c>
      <c r="V278" t="s">
        <v>94</v>
      </c>
      <c r="W278" t="s">
        <v>95</v>
      </c>
      <c r="X278">
        <v>3</v>
      </c>
      <c r="Y278">
        <v>3</v>
      </c>
      <c r="Z278">
        <v>3</v>
      </c>
      <c r="AA278">
        <v>3</v>
      </c>
      <c r="AB278">
        <v>2</v>
      </c>
      <c r="AC278">
        <v>3</v>
      </c>
      <c r="AD278">
        <v>3</v>
      </c>
      <c r="AE278">
        <v>3</v>
      </c>
      <c r="AF278">
        <v>3</v>
      </c>
      <c r="AG278">
        <v>4</v>
      </c>
      <c r="AH278">
        <v>4</v>
      </c>
      <c r="AI278">
        <v>4</v>
      </c>
      <c r="AJ278">
        <v>3</v>
      </c>
      <c r="AK278">
        <v>3</v>
      </c>
      <c r="AL278">
        <v>4</v>
      </c>
      <c r="AM278">
        <v>4</v>
      </c>
      <c r="AN278">
        <v>3</v>
      </c>
      <c r="AO278">
        <v>3</v>
      </c>
      <c r="AQ278">
        <v>0</v>
      </c>
      <c r="AR278" t="s">
        <v>69</v>
      </c>
      <c r="AT278">
        <v>0</v>
      </c>
      <c r="AU278" t="s">
        <v>69</v>
      </c>
      <c r="AW278">
        <v>0</v>
      </c>
      <c r="AX278" t="s">
        <v>69</v>
      </c>
      <c r="AY278" t="s">
        <v>76</v>
      </c>
      <c r="AZ278" t="s">
        <v>77</v>
      </c>
      <c r="BA278">
        <v>2</v>
      </c>
      <c r="BB278">
        <v>3</v>
      </c>
      <c r="BC278" t="s">
        <v>98</v>
      </c>
      <c r="BD278" t="s">
        <v>99</v>
      </c>
      <c r="BE278" t="s">
        <v>1759</v>
      </c>
      <c r="BF278" t="s">
        <v>157</v>
      </c>
      <c r="BG278" t="s">
        <v>98</v>
      </c>
      <c r="BH278" t="s">
        <v>99</v>
      </c>
      <c r="BI278" t="s">
        <v>98</v>
      </c>
    </row>
    <row r="279" spans="1:61" x14ac:dyDescent="0.35">
      <c r="A279">
        <v>278</v>
      </c>
      <c r="B279">
        <v>45842.750405092593</v>
      </c>
      <c r="C279" t="s">
        <v>1760</v>
      </c>
      <c r="D279" t="s">
        <v>1761</v>
      </c>
      <c r="E279" t="s">
        <v>1762</v>
      </c>
      <c r="F279" t="s">
        <v>1763</v>
      </c>
      <c r="G279" t="s">
        <v>1764</v>
      </c>
      <c r="H279" t="s">
        <v>578</v>
      </c>
      <c r="I279" t="s">
        <v>588</v>
      </c>
      <c r="J279" t="s">
        <v>1432</v>
      </c>
      <c r="K279" t="s">
        <v>1765</v>
      </c>
      <c r="L279" t="s">
        <v>69</v>
      </c>
      <c r="M279" t="s">
        <v>69</v>
      </c>
      <c r="N279" t="s">
        <v>69</v>
      </c>
      <c r="O279" t="s">
        <v>69</v>
      </c>
      <c r="P279" t="s">
        <v>106</v>
      </c>
      <c r="Q279" t="s">
        <v>271</v>
      </c>
      <c r="R279" s="3" t="s">
        <v>217</v>
      </c>
      <c r="S279">
        <v>20</v>
      </c>
      <c r="T279" t="s">
        <v>131</v>
      </c>
      <c r="U279" t="s">
        <v>73</v>
      </c>
      <c r="V279" t="s">
        <v>94</v>
      </c>
      <c r="W279" t="s">
        <v>95</v>
      </c>
      <c r="X279">
        <v>3</v>
      </c>
      <c r="Y279">
        <v>3</v>
      </c>
      <c r="Z279">
        <v>3</v>
      </c>
      <c r="AA279">
        <v>3</v>
      </c>
      <c r="AB279">
        <v>3</v>
      </c>
      <c r="AC279">
        <v>3</v>
      </c>
      <c r="AD279">
        <v>3</v>
      </c>
      <c r="AE279">
        <v>3</v>
      </c>
      <c r="AF279">
        <v>4</v>
      </c>
      <c r="AG279">
        <v>3</v>
      </c>
      <c r="AH279">
        <v>3</v>
      </c>
      <c r="AI279">
        <v>3</v>
      </c>
      <c r="AJ279">
        <v>3</v>
      </c>
      <c r="AK279">
        <v>3</v>
      </c>
      <c r="AL279">
        <v>3</v>
      </c>
      <c r="AM279">
        <v>3</v>
      </c>
      <c r="AN279">
        <v>3</v>
      </c>
      <c r="AO279">
        <v>3</v>
      </c>
      <c r="AP279">
        <v>3</v>
      </c>
      <c r="AQ279">
        <v>2</v>
      </c>
      <c r="AR279" t="s">
        <v>75</v>
      </c>
      <c r="AT279">
        <v>0</v>
      </c>
      <c r="AU279" t="s">
        <v>69</v>
      </c>
      <c r="AW279">
        <v>0</v>
      </c>
      <c r="AX279" t="s">
        <v>69</v>
      </c>
      <c r="AY279" t="s">
        <v>83</v>
      </c>
      <c r="AZ279" t="s">
        <v>96</v>
      </c>
      <c r="BA279">
        <v>0</v>
      </c>
      <c r="BB279">
        <v>0</v>
      </c>
      <c r="BC279" t="s">
        <v>1766</v>
      </c>
      <c r="BD279" t="s">
        <v>235</v>
      </c>
      <c r="BE279" t="s">
        <v>1767</v>
      </c>
      <c r="BF279" t="s">
        <v>79</v>
      </c>
      <c r="BG279" t="s">
        <v>503</v>
      </c>
      <c r="BH279" t="s">
        <v>79</v>
      </c>
      <c r="BI279" t="s">
        <v>83</v>
      </c>
    </row>
    <row r="280" spans="1:61" x14ac:dyDescent="0.35">
      <c r="A280">
        <v>279</v>
      </c>
      <c r="B280">
        <v>45842.752997685187</v>
      </c>
      <c r="C280" t="s">
        <v>1768</v>
      </c>
      <c r="D280" t="s">
        <v>1769</v>
      </c>
      <c r="E280" t="s">
        <v>63</v>
      </c>
      <c r="F280" t="s">
        <v>86</v>
      </c>
      <c r="G280" t="s">
        <v>1770</v>
      </c>
      <c r="H280" t="s">
        <v>657</v>
      </c>
      <c r="I280" t="s">
        <v>66</v>
      </c>
      <c r="J280" t="s">
        <v>1634</v>
      </c>
      <c r="K280" t="s">
        <v>1771</v>
      </c>
      <c r="L280" t="s">
        <v>69</v>
      </c>
      <c r="M280" t="s">
        <v>69</v>
      </c>
      <c r="N280" t="s">
        <v>69</v>
      </c>
      <c r="O280" t="s">
        <v>69</v>
      </c>
      <c r="P280" t="s">
        <v>70</v>
      </c>
      <c r="Q280" t="s">
        <v>1168</v>
      </c>
      <c r="R280" s="3" t="s">
        <v>868</v>
      </c>
      <c r="S280">
        <v>33</v>
      </c>
      <c r="T280" t="s">
        <v>109</v>
      </c>
      <c r="U280" t="s">
        <v>73</v>
      </c>
      <c r="V280" t="s">
        <v>74</v>
      </c>
      <c r="W280" t="s">
        <v>74</v>
      </c>
      <c r="X280">
        <v>4</v>
      </c>
      <c r="Y280">
        <v>4</v>
      </c>
      <c r="Z280">
        <v>4</v>
      </c>
      <c r="AA280">
        <v>4</v>
      </c>
      <c r="AB280">
        <v>3</v>
      </c>
      <c r="AC280">
        <v>3</v>
      </c>
      <c r="AD280">
        <v>0</v>
      </c>
      <c r="AE280">
        <v>3</v>
      </c>
      <c r="AF280">
        <v>3</v>
      </c>
      <c r="AG280">
        <v>4</v>
      </c>
      <c r="AH280">
        <v>4</v>
      </c>
      <c r="AI280">
        <v>4</v>
      </c>
      <c r="AJ280">
        <v>4</v>
      </c>
      <c r="AK280">
        <v>4</v>
      </c>
      <c r="AL280">
        <v>4</v>
      </c>
      <c r="AM280">
        <v>4</v>
      </c>
      <c r="AN280">
        <v>3</v>
      </c>
      <c r="AO280">
        <v>3</v>
      </c>
      <c r="AQ280">
        <v>0</v>
      </c>
      <c r="AR280" t="s">
        <v>69</v>
      </c>
      <c r="AT280">
        <v>0</v>
      </c>
      <c r="AU280" t="s">
        <v>69</v>
      </c>
      <c r="AW280">
        <v>0</v>
      </c>
      <c r="AX280" t="s">
        <v>69</v>
      </c>
      <c r="AY280" t="s">
        <v>144</v>
      </c>
      <c r="AZ280" t="s">
        <v>144</v>
      </c>
      <c r="BA280">
        <v>2</v>
      </c>
      <c r="BB280">
        <v>3</v>
      </c>
      <c r="BC280" t="s">
        <v>1772</v>
      </c>
      <c r="BD280" t="s">
        <v>452</v>
      </c>
      <c r="BE280" t="s">
        <v>442</v>
      </c>
      <c r="BF280" t="s">
        <v>79</v>
      </c>
      <c r="BG280" t="s">
        <v>442</v>
      </c>
      <c r="BH280" t="s">
        <v>79</v>
      </c>
      <c r="BI280" t="s">
        <v>83</v>
      </c>
    </row>
    <row r="281" spans="1:61" x14ac:dyDescent="0.35">
      <c r="A281">
        <v>280</v>
      </c>
      <c r="B281">
        <v>45842.753483796296</v>
      </c>
      <c r="C281" t="s">
        <v>1773</v>
      </c>
      <c r="D281" t="s">
        <v>1774</v>
      </c>
      <c r="E281" t="s">
        <v>772</v>
      </c>
      <c r="F281" t="s">
        <v>1775</v>
      </c>
      <c r="G281" t="s">
        <v>1776</v>
      </c>
      <c r="H281" t="s">
        <v>210</v>
      </c>
      <c r="I281" t="s">
        <v>211</v>
      </c>
      <c r="J281" t="s">
        <v>1480</v>
      </c>
      <c r="K281" t="s">
        <v>1777</v>
      </c>
      <c r="L281" t="s">
        <v>69</v>
      </c>
      <c r="M281" t="s">
        <v>69</v>
      </c>
      <c r="N281" t="s">
        <v>69</v>
      </c>
      <c r="O281" t="s">
        <v>69</v>
      </c>
      <c r="P281" t="s">
        <v>106</v>
      </c>
      <c r="Q281" t="s">
        <v>271</v>
      </c>
      <c r="R281" s="3">
        <v>24</v>
      </c>
      <c r="S281">
        <v>24</v>
      </c>
      <c r="T281" t="s">
        <v>72</v>
      </c>
      <c r="U281" t="s">
        <v>273</v>
      </c>
      <c r="V281" t="s">
        <v>110</v>
      </c>
      <c r="W281" t="s">
        <v>110</v>
      </c>
      <c r="X281">
        <v>4</v>
      </c>
      <c r="Y281">
        <v>4</v>
      </c>
      <c r="Z281">
        <v>4</v>
      </c>
      <c r="AA281">
        <v>4</v>
      </c>
      <c r="AB281">
        <v>3</v>
      </c>
      <c r="AC281">
        <v>4</v>
      </c>
      <c r="AD281">
        <v>4</v>
      </c>
      <c r="AE281">
        <v>4</v>
      </c>
      <c r="AF281">
        <v>4</v>
      </c>
      <c r="AG281">
        <v>4</v>
      </c>
      <c r="AH281">
        <v>4</v>
      </c>
      <c r="AI281">
        <v>4</v>
      </c>
      <c r="AJ281">
        <v>4</v>
      </c>
      <c r="AK281">
        <v>4</v>
      </c>
      <c r="AL281">
        <v>4</v>
      </c>
      <c r="AM281">
        <v>4</v>
      </c>
      <c r="AN281">
        <v>4</v>
      </c>
      <c r="AO281">
        <v>4</v>
      </c>
      <c r="AQ281">
        <v>0</v>
      </c>
      <c r="AR281" t="s">
        <v>69</v>
      </c>
      <c r="AT281">
        <v>0</v>
      </c>
      <c r="AU281" t="s">
        <v>69</v>
      </c>
      <c r="AV281">
        <v>2</v>
      </c>
      <c r="AW281">
        <v>3</v>
      </c>
      <c r="AX281" t="s">
        <v>75</v>
      </c>
      <c r="AY281" t="s">
        <v>83</v>
      </c>
      <c r="AZ281" t="s">
        <v>96</v>
      </c>
      <c r="BA281">
        <v>0</v>
      </c>
      <c r="BB281">
        <v>0</v>
      </c>
      <c r="BC281" t="s">
        <v>98</v>
      </c>
      <c r="BD281" t="s">
        <v>99</v>
      </c>
      <c r="BE281" t="s">
        <v>98</v>
      </c>
      <c r="BF281" t="s">
        <v>99</v>
      </c>
      <c r="BG281" t="s">
        <v>263</v>
      </c>
      <c r="BH281" t="s">
        <v>99</v>
      </c>
      <c r="BI281" t="s">
        <v>98</v>
      </c>
    </row>
    <row r="282" spans="1:61" x14ac:dyDescent="0.35">
      <c r="A282">
        <v>281</v>
      </c>
      <c r="B282">
        <v>45842.760046296295</v>
      </c>
      <c r="C282" t="s">
        <v>1778</v>
      </c>
      <c r="D282" t="s">
        <v>1779</v>
      </c>
      <c r="E282" t="s">
        <v>63</v>
      </c>
      <c r="F282" t="s">
        <v>179</v>
      </c>
      <c r="G282" t="s">
        <v>1780</v>
      </c>
      <c r="H282" t="s">
        <v>210</v>
      </c>
      <c r="I282" t="s">
        <v>211</v>
      </c>
      <c r="J282" t="s">
        <v>1480</v>
      </c>
      <c r="K282" t="s">
        <v>1781</v>
      </c>
      <c r="L282" t="s">
        <v>69</v>
      </c>
      <c r="M282" t="s">
        <v>69</v>
      </c>
      <c r="N282" t="s">
        <v>69</v>
      </c>
      <c r="O282" t="s">
        <v>69</v>
      </c>
      <c r="P282" t="s">
        <v>106</v>
      </c>
      <c r="Q282" t="s">
        <v>271</v>
      </c>
      <c r="R282" s="3">
        <v>18</v>
      </c>
      <c r="S282">
        <v>18</v>
      </c>
      <c r="T282" t="s">
        <v>131</v>
      </c>
      <c r="U282" t="s">
        <v>73</v>
      </c>
      <c r="V282" t="s">
        <v>94</v>
      </c>
      <c r="W282" t="s">
        <v>95</v>
      </c>
      <c r="X282">
        <v>4</v>
      </c>
      <c r="Y282">
        <v>4</v>
      </c>
      <c r="Z282">
        <v>3</v>
      </c>
      <c r="AA282">
        <v>3</v>
      </c>
      <c r="AB282">
        <v>4</v>
      </c>
      <c r="AC282">
        <v>4</v>
      </c>
      <c r="AD282">
        <v>4</v>
      </c>
      <c r="AE282">
        <v>4</v>
      </c>
      <c r="AF282">
        <v>4</v>
      </c>
      <c r="AG282">
        <v>4</v>
      </c>
      <c r="AH282">
        <v>4</v>
      </c>
      <c r="AI282">
        <v>4</v>
      </c>
      <c r="AJ282">
        <v>4</v>
      </c>
      <c r="AK282">
        <v>4</v>
      </c>
      <c r="AL282">
        <v>4</v>
      </c>
      <c r="AM282">
        <v>4</v>
      </c>
      <c r="AN282">
        <v>4</v>
      </c>
      <c r="AO282">
        <v>4</v>
      </c>
      <c r="AQ282">
        <v>0</v>
      </c>
      <c r="AR282" t="s">
        <v>69</v>
      </c>
      <c r="AT282">
        <v>0</v>
      </c>
      <c r="AU282" t="s">
        <v>69</v>
      </c>
      <c r="AW282">
        <v>0</v>
      </c>
      <c r="AX282" t="s">
        <v>69</v>
      </c>
      <c r="AY282" t="s">
        <v>1782</v>
      </c>
      <c r="AZ282" t="s">
        <v>144</v>
      </c>
      <c r="BA282">
        <v>1</v>
      </c>
      <c r="BB282">
        <v>4</v>
      </c>
      <c r="BC282" t="s">
        <v>98</v>
      </c>
      <c r="BD282" t="s">
        <v>99</v>
      </c>
      <c r="BE282" t="s">
        <v>98</v>
      </c>
      <c r="BF282" t="s">
        <v>99</v>
      </c>
      <c r="BG282" t="s">
        <v>98</v>
      </c>
      <c r="BH282" t="s">
        <v>99</v>
      </c>
      <c r="BI282" t="s">
        <v>1783</v>
      </c>
    </row>
    <row r="283" spans="1:61" x14ac:dyDescent="0.35">
      <c r="A283">
        <v>282</v>
      </c>
      <c r="B283">
        <v>45842.76394675926</v>
      </c>
      <c r="C283" t="s">
        <v>1784</v>
      </c>
      <c r="D283" t="s">
        <v>1785</v>
      </c>
      <c r="E283" t="s">
        <v>63</v>
      </c>
      <c r="F283" t="s">
        <v>86</v>
      </c>
      <c r="G283" t="s">
        <v>1786</v>
      </c>
      <c r="H283" t="s">
        <v>210</v>
      </c>
      <c r="I283" t="s">
        <v>211</v>
      </c>
      <c r="J283" t="s">
        <v>1480</v>
      </c>
      <c r="K283" t="s">
        <v>1611</v>
      </c>
      <c r="L283" t="s">
        <v>69</v>
      </c>
      <c r="M283" t="s">
        <v>69</v>
      </c>
      <c r="N283" t="s">
        <v>69</v>
      </c>
      <c r="O283" t="s">
        <v>69</v>
      </c>
      <c r="P283" t="s">
        <v>106</v>
      </c>
      <c r="Q283" t="s">
        <v>292</v>
      </c>
      <c r="R283" s="3">
        <v>22</v>
      </c>
      <c r="S283">
        <v>22</v>
      </c>
      <c r="T283" t="s">
        <v>72</v>
      </c>
      <c r="U283" t="s">
        <v>73</v>
      </c>
      <c r="V283" t="s">
        <v>1218</v>
      </c>
      <c r="W283" t="s">
        <v>133</v>
      </c>
      <c r="X283">
        <v>3</v>
      </c>
      <c r="Y283">
        <v>3</v>
      </c>
      <c r="Z283">
        <v>3</v>
      </c>
      <c r="AA283">
        <v>3</v>
      </c>
      <c r="AB283">
        <v>3</v>
      </c>
      <c r="AC283">
        <v>3</v>
      </c>
      <c r="AD283">
        <v>3</v>
      </c>
      <c r="AE283">
        <v>3</v>
      </c>
      <c r="AF283">
        <v>3</v>
      </c>
      <c r="AG283">
        <v>3</v>
      </c>
      <c r="AH283">
        <v>4</v>
      </c>
      <c r="AI283">
        <v>4</v>
      </c>
      <c r="AJ283">
        <v>4</v>
      </c>
      <c r="AK283">
        <v>4</v>
      </c>
      <c r="AL283">
        <v>3</v>
      </c>
      <c r="AM283">
        <v>3</v>
      </c>
      <c r="AN283">
        <v>3</v>
      </c>
      <c r="AO283">
        <v>3</v>
      </c>
      <c r="AP283">
        <v>2</v>
      </c>
      <c r="AQ283">
        <v>3</v>
      </c>
      <c r="AR283" t="s">
        <v>75</v>
      </c>
      <c r="AT283">
        <v>0</v>
      </c>
      <c r="AU283" t="s">
        <v>69</v>
      </c>
      <c r="AW283">
        <v>0</v>
      </c>
      <c r="AX283" t="s">
        <v>69</v>
      </c>
      <c r="AY283" t="s">
        <v>83</v>
      </c>
      <c r="AZ283" t="s">
        <v>96</v>
      </c>
      <c r="BA283">
        <v>0</v>
      </c>
      <c r="BB283">
        <v>0</v>
      </c>
      <c r="BC283" t="s">
        <v>98</v>
      </c>
      <c r="BD283" t="s">
        <v>99</v>
      </c>
      <c r="BE283" t="s">
        <v>98</v>
      </c>
      <c r="BF283" t="s">
        <v>99</v>
      </c>
      <c r="BG283" t="s">
        <v>98</v>
      </c>
      <c r="BH283" t="s">
        <v>99</v>
      </c>
      <c r="BI283" t="s">
        <v>98</v>
      </c>
    </row>
    <row r="284" spans="1:61" x14ac:dyDescent="0.35">
      <c r="A284">
        <v>283</v>
      </c>
      <c r="B284">
        <v>45842.766655092593</v>
      </c>
      <c r="C284" t="s">
        <v>1787</v>
      </c>
      <c r="D284" t="s">
        <v>1788</v>
      </c>
      <c r="E284" t="s">
        <v>63</v>
      </c>
      <c r="F284" t="s">
        <v>757</v>
      </c>
      <c r="G284" t="s">
        <v>1789</v>
      </c>
      <c r="H284" t="s">
        <v>657</v>
      </c>
      <c r="I284" t="s">
        <v>66</v>
      </c>
      <c r="J284" t="s">
        <v>1634</v>
      </c>
      <c r="K284" t="s">
        <v>1790</v>
      </c>
      <c r="L284" t="s">
        <v>69</v>
      </c>
      <c r="M284" t="s">
        <v>69</v>
      </c>
      <c r="N284" t="s">
        <v>69</v>
      </c>
      <c r="O284" t="s">
        <v>69</v>
      </c>
      <c r="P284" t="s">
        <v>106</v>
      </c>
      <c r="Q284" t="s">
        <v>1168</v>
      </c>
      <c r="R284" s="3">
        <v>28</v>
      </c>
      <c r="S284">
        <v>28</v>
      </c>
      <c r="T284" t="s">
        <v>92</v>
      </c>
      <c r="U284" t="s">
        <v>254</v>
      </c>
      <c r="V284" t="s">
        <v>74</v>
      </c>
      <c r="W284" t="s">
        <v>74</v>
      </c>
      <c r="X284">
        <v>3</v>
      </c>
      <c r="Y284">
        <v>3</v>
      </c>
      <c r="Z284">
        <v>3</v>
      </c>
      <c r="AA284">
        <v>3</v>
      </c>
      <c r="AB284">
        <v>3</v>
      </c>
      <c r="AC284">
        <v>3</v>
      </c>
      <c r="AD284">
        <v>0</v>
      </c>
      <c r="AE284">
        <v>0</v>
      </c>
      <c r="AF284">
        <v>3</v>
      </c>
      <c r="AG284">
        <v>3</v>
      </c>
      <c r="AH284">
        <v>3</v>
      </c>
      <c r="AI284">
        <v>3</v>
      </c>
      <c r="AJ284">
        <v>3</v>
      </c>
      <c r="AK284">
        <v>3</v>
      </c>
      <c r="AL284">
        <v>3</v>
      </c>
      <c r="AM284">
        <v>3</v>
      </c>
      <c r="AN284">
        <v>3</v>
      </c>
      <c r="AO284">
        <v>3</v>
      </c>
      <c r="AQ284">
        <v>0</v>
      </c>
      <c r="AR284" t="s">
        <v>69</v>
      </c>
      <c r="AT284">
        <v>0</v>
      </c>
      <c r="AU284" t="s">
        <v>69</v>
      </c>
      <c r="AV284">
        <v>2</v>
      </c>
      <c r="AW284">
        <v>3</v>
      </c>
      <c r="AX284" t="s">
        <v>75</v>
      </c>
      <c r="AY284" t="s">
        <v>83</v>
      </c>
      <c r="AZ284" t="s">
        <v>96</v>
      </c>
      <c r="BA284">
        <v>0</v>
      </c>
      <c r="BB284">
        <v>0</v>
      </c>
      <c r="BC284" t="s">
        <v>442</v>
      </c>
      <c r="BD284" t="s">
        <v>79</v>
      </c>
      <c r="BE284" t="s">
        <v>442</v>
      </c>
      <c r="BF284" t="s">
        <v>79</v>
      </c>
      <c r="BG284" t="s">
        <v>442</v>
      </c>
      <c r="BH284" t="s">
        <v>79</v>
      </c>
      <c r="BI284" t="s">
        <v>83</v>
      </c>
    </row>
    <row r="285" spans="1:61" x14ac:dyDescent="0.35">
      <c r="A285">
        <v>284</v>
      </c>
      <c r="B285">
        <v>45842.768437500003</v>
      </c>
      <c r="C285" t="s">
        <v>1791</v>
      </c>
      <c r="D285" t="s">
        <v>1792</v>
      </c>
      <c r="E285" t="s">
        <v>63</v>
      </c>
      <c r="F285" t="s">
        <v>416</v>
      </c>
      <c r="G285" t="s">
        <v>1793</v>
      </c>
      <c r="H285" t="s">
        <v>210</v>
      </c>
      <c r="I285" t="s">
        <v>211</v>
      </c>
      <c r="J285" t="s">
        <v>1480</v>
      </c>
      <c r="K285" t="s">
        <v>1476</v>
      </c>
      <c r="L285" t="s">
        <v>69</v>
      </c>
      <c r="M285" t="s">
        <v>69</v>
      </c>
      <c r="N285" t="s">
        <v>69</v>
      </c>
      <c r="O285" t="s">
        <v>69</v>
      </c>
      <c r="P285" t="s">
        <v>70</v>
      </c>
      <c r="Q285" t="s">
        <v>292</v>
      </c>
      <c r="R285" s="3">
        <v>18</v>
      </c>
      <c r="S285">
        <v>18</v>
      </c>
      <c r="T285" t="s">
        <v>131</v>
      </c>
      <c r="U285" t="s">
        <v>73</v>
      </c>
      <c r="V285" t="s">
        <v>1794</v>
      </c>
      <c r="W285" t="s">
        <v>133</v>
      </c>
      <c r="X285">
        <v>3</v>
      </c>
      <c r="Y285">
        <v>4</v>
      </c>
      <c r="Z285">
        <v>4</v>
      </c>
      <c r="AA285">
        <v>4</v>
      </c>
      <c r="AB285">
        <v>3</v>
      </c>
      <c r="AC285">
        <v>4</v>
      </c>
      <c r="AD285">
        <v>4</v>
      </c>
      <c r="AE285">
        <v>4</v>
      </c>
      <c r="AF285">
        <v>3</v>
      </c>
      <c r="AG285">
        <v>4</v>
      </c>
      <c r="AH285">
        <v>4</v>
      </c>
      <c r="AI285">
        <v>4</v>
      </c>
      <c r="AJ285">
        <v>4</v>
      </c>
      <c r="AK285">
        <v>4</v>
      </c>
      <c r="AL285">
        <v>4</v>
      </c>
      <c r="AM285">
        <v>4</v>
      </c>
      <c r="AN285">
        <v>4</v>
      </c>
      <c r="AO285">
        <v>4</v>
      </c>
      <c r="AQ285">
        <v>0</v>
      </c>
      <c r="AR285" t="s">
        <v>69</v>
      </c>
      <c r="AT285">
        <v>0</v>
      </c>
      <c r="AU285" t="s">
        <v>69</v>
      </c>
      <c r="AW285">
        <v>0</v>
      </c>
      <c r="AX285" t="s">
        <v>69</v>
      </c>
      <c r="AY285" t="s">
        <v>1795</v>
      </c>
      <c r="AZ285" t="s">
        <v>77</v>
      </c>
      <c r="BA285">
        <v>2</v>
      </c>
      <c r="BB285">
        <v>3</v>
      </c>
      <c r="BC285" t="s">
        <v>98</v>
      </c>
      <c r="BD285" t="s">
        <v>99</v>
      </c>
      <c r="BE285" t="s">
        <v>98</v>
      </c>
      <c r="BF285" t="s">
        <v>99</v>
      </c>
      <c r="BG285" t="s">
        <v>98</v>
      </c>
      <c r="BH285" t="s">
        <v>99</v>
      </c>
      <c r="BI285" t="s">
        <v>98</v>
      </c>
    </row>
    <row r="286" spans="1:61" x14ac:dyDescent="0.35">
      <c r="A286">
        <v>285</v>
      </c>
      <c r="B286">
        <v>45842.772002314814</v>
      </c>
      <c r="C286" t="s">
        <v>1796</v>
      </c>
      <c r="D286" t="s">
        <v>1711</v>
      </c>
      <c r="E286" t="s">
        <v>338</v>
      </c>
      <c r="F286" t="s">
        <v>63</v>
      </c>
      <c r="G286" t="s">
        <v>1797</v>
      </c>
      <c r="H286" t="s">
        <v>1798</v>
      </c>
      <c r="I286" t="s">
        <v>66</v>
      </c>
      <c r="J286" t="s">
        <v>1541</v>
      </c>
      <c r="K286" t="s">
        <v>1799</v>
      </c>
      <c r="L286" t="s">
        <v>69</v>
      </c>
      <c r="M286" t="s">
        <v>69</v>
      </c>
      <c r="N286" t="s">
        <v>69</v>
      </c>
      <c r="O286" t="s">
        <v>69</v>
      </c>
      <c r="P286" t="s">
        <v>106</v>
      </c>
      <c r="Q286" t="s">
        <v>1168</v>
      </c>
      <c r="R286" s="3">
        <v>44</v>
      </c>
      <c r="S286">
        <v>44</v>
      </c>
      <c r="T286" t="s">
        <v>197</v>
      </c>
      <c r="U286" t="s">
        <v>73</v>
      </c>
      <c r="V286" t="s">
        <v>74</v>
      </c>
      <c r="W286" t="s">
        <v>74</v>
      </c>
      <c r="X286">
        <v>3</v>
      </c>
      <c r="Y286">
        <v>3</v>
      </c>
      <c r="Z286">
        <v>3</v>
      </c>
      <c r="AA286">
        <v>3</v>
      </c>
      <c r="AB286">
        <v>4</v>
      </c>
      <c r="AC286">
        <v>4</v>
      </c>
      <c r="AD286">
        <v>0</v>
      </c>
      <c r="AE286">
        <v>0</v>
      </c>
      <c r="AF286">
        <v>3</v>
      </c>
      <c r="AG286">
        <v>3</v>
      </c>
      <c r="AH286">
        <v>3</v>
      </c>
      <c r="AI286">
        <v>3</v>
      </c>
      <c r="AJ286">
        <v>3</v>
      </c>
      <c r="AK286">
        <v>3</v>
      </c>
      <c r="AL286">
        <v>3</v>
      </c>
      <c r="AM286">
        <v>3</v>
      </c>
      <c r="AN286">
        <v>4</v>
      </c>
      <c r="AO286">
        <v>4</v>
      </c>
      <c r="AQ286">
        <v>0</v>
      </c>
      <c r="AR286" t="s">
        <v>69</v>
      </c>
      <c r="AT286">
        <v>0</v>
      </c>
      <c r="AU286" t="s">
        <v>69</v>
      </c>
      <c r="AW286">
        <v>0</v>
      </c>
      <c r="AX286" t="s">
        <v>69</v>
      </c>
      <c r="AY286" t="s">
        <v>1800</v>
      </c>
      <c r="AZ286" t="s">
        <v>186</v>
      </c>
      <c r="BA286">
        <v>1</v>
      </c>
      <c r="BB286">
        <v>4</v>
      </c>
      <c r="BC286" t="s">
        <v>442</v>
      </c>
      <c r="BD286" t="s">
        <v>79</v>
      </c>
      <c r="BE286" t="s">
        <v>442</v>
      </c>
      <c r="BF286" t="s">
        <v>79</v>
      </c>
      <c r="BG286" t="s">
        <v>442</v>
      </c>
      <c r="BH286" t="s">
        <v>79</v>
      </c>
      <c r="BI286" t="s">
        <v>83</v>
      </c>
    </row>
    <row r="287" spans="1:61" x14ac:dyDescent="0.35">
      <c r="A287">
        <v>286</v>
      </c>
      <c r="B287">
        <v>45842.77380787037</v>
      </c>
      <c r="C287" t="s">
        <v>1801</v>
      </c>
      <c r="D287" t="s">
        <v>1802</v>
      </c>
      <c r="E287" t="s">
        <v>63</v>
      </c>
      <c r="F287" t="s">
        <v>179</v>
      </c>
      <c r="G287" t="s">
        <v>1803</v>
      </c>
      <c r="H287" t="s">
        <v>210</v>
      </c>
      <c r="I287" t="s">
        <v>211</v>
      </c>
      <c r="J287" t="s">
        <v>1480</v>
      </c>
      <c r="K287" t="s">
        <v>1804</v>
      </c>
      <c r="L287" t="s">
        <v>69</v>
      </c>
      <c r="M287" t="s">
        <v>69</v>
      </c>
      <c r="N287" t="s">
        <v>69</v>
      </c>
      <c r="O287" t="s">
        <v>69</v>
      </c>
      <c r="P287" t="s">
        <v>106</v>
      </c>
      <c r="Q287" t="s">
        <v>292</v>
      </c>
      <c r="R287" s="3">
        <v>24</v>
      </c>
      <c r="S287">
        <v>24</v>
      </c>
      <c r="T287" t="s">
        <v>72</v>
      </c>
      <c r="U287" t="s">
        <v>93</v>
      </c>
      <c r="V287" t="s">
        <v>1805</v>
      </c>
      <c r="W287" t="s">
        <v>1806</v>
      </c>
      <c r="X287">
        <v>3</v>
      </c>
      <c r="Y287">
        <v>3</v>
      </c>
      <c r="Z287">
        <v>3</v>
      </c>
      <c r="AA287">
        <v>3</v>
      </c>
      <c r="AB287">
        <v>3</v>
      </c>
      <c r="AC287">
        <v>3</v>
      </c>
      <c r="AD287">
        <v>3</v>
      </c>
      <c r="AE287">
        <v>3</v>
      </c>
      <c r="AF287">
        <v>3</v>
      </c>
      <c r="AG287">
        <v>3</v>
      </c>
      <c r="AH287">
        <v>3</v>
      </c>
      <c r="AI287">
        <v>3</v>
      </c>
      <c r="AJ287">
        <v>3</v>
      </c>
      <c r="AK287">
        <v>3</v>
      </c>
      <c r="AL287">
        <v>3</v>
      </c>
      <c r="AM287">
        <v>3</v>
      </c>
      <c r="AN287">
        <v>3</v>
      </c>
      <c r="AO287">
        <v>3</v>
      </c>
      <c r="AQ287">
        <v>0</v>
      </c>
      <c r="AR287" t="s">
        <v>69</v>
      </c>
      <c r="AT287">
        <v>0</v>
      </c>
      <c r="AU287" t="s">
        <v>69</v>
      </c>
      <c r="AW287">
        <v>0</v>
      </c>
      <c r="AX287" t="s">
        <v>69</v>
      </c>
      <c r="AY287" t="s">
        <v>1807</v>
      </c>
      <c r="AZ287" t="s">
        <v>450</v>
      </c>
      <c r="BA287">
        <v>2</v>
      </c>
      <c r="BB287">
        <v>3</v>
      </c>
      <c r="BC287" t="s">
        <v>98</v>
      </c>
      <c r="BD287" t="s">
        <v>99</v>
      </c>
      <c r="BE287" t="s">
        <v>98</v>
      </c>
      <c r="BF287" t="s">
        <v>99</v>
      </c>
      <c r="BG287" t="s">
        <v>98</v>
      </c>
      <c r="BH287" t="s">
        <v>99</v>
      </c>
      <c r="BI287" t="s">
        <v>263</v>
      </c>
    </row>
    <row r="288" spans="1:61" x14ac:dyDescent="0.35">
      <c r="A288">
        <v>287</v>
      </c>
      <c r="B288">
        <v>45842.778935185182</v>
      </c>
      <c r="C288" t="s">
        <v>1808</v>
      </c>
      <c r="D288" t="s">
        <v>1809</v>
      </c>
      <c r="E288" t="s">
        <v>63</v>
      </c>
      <c r="F288" t="s">
        <v>86</v>
      </c>
      <c r="G288" t="s">
        <v>1810</v>
      </c>
      <c r="H288" t="s">
        <v>88</v>
      </c>
      <c r="I288" t="s">
        <v>89</v>
      </c>
      <c r="J288" t="s">
        <v>1634</v>
      </c>
      <c r="K288" t="s">
        <v>1811</v>
      </c>
      <c r="L288" t="s">
        <v>69</v>
      </c>
      <c r="M288" t="s">
        <v>69</v>
      </c>
      <c r="N288" t="s">
        <v>69</v>
      </c>
      <c r="O288" t="s">
        <v>69</v>
      </c>
      <c r="P288" t="s">
        <v>106</v>
      </c>
      <c r="Q288" t="s">
        <v>1180</v>
      </c>
      <c r="R288" s="3" t="s">
        <v>1037</v>
      </c>
      <c r="S288">
        <v>51</v>
      </c>
      <c r="T288" t="s">
        <v>383</v>
      </c>
      <c r="U288" t="s">
        <v>93</v>
      </c>
      <c r="V288" t="s">
        <v>110</v>
      </c>
      <c r="W288" t="s">
        <v>110</v>
      </c>
      <c r="X288">
        <v>4</v>
      </c>
      <c r="Y288">
        <v>4</v>
      </c>
      <c r="Z288">
        <v>3</v>
      </c>
      <c r="AA288">
        <v>3</v>
      </c>
      <c r="AB288">
        <v>3</v>
      </c>
      <c r="AC288">
        <v>3</v>
      </c>
      <c r="AD288">
        <v>0</v>
      </c>
      <c r="AE288">
        <v>0</v>
      </c>
      <c r="AF288">
        <v>3</v>
      </c>
      <c r="AG288">
        <v>3</v>
      </c>
      <c r="AH288">
        <v>4</v>
      </c>
      <c r="AI288">
        <v>3</v>
      </c>
      <c r="AJ288">
        <v>4</v>
      </c>
      <c r="AK288">
        <v>3</v>
      </c>
      <c r="AL288">
        <v>4</v>
      </c>
      <c r="AM288">
        <v>3</v>
      </c>
      <c r="AN288">
        <v>4</v>
      </c>
      <c r="AO288">
        <v>3</v>
      </c>
      <c r="AQ288">
        <v>0</v>
      </c>
      <c r="AR288" t="s">
        <v>69</v>
      </c>
      <c r="AT288">
        <v>0</v>
      </c>
      <c r="AU288" t="s">
        <v>69</v>
      </c>
      <c r="AV288">
        <v>1</v>
      </c>
      <c r="AW288">
        <v>4</v>
      </c>
      <c r="AX288" t="s">
        <v>75</v>
      </c>
      <c r="AY288" t="s">
        <v>83</v>
      </c>
      <c r="AZ288" t="s">
        <v>96</v>
      </c>
      <c r="BA288">
        <v>0</v>
      </c>
      <c r="BB288">
        <v>0</v>
      </c>
      <c r="BC288" t="s">
        <v>98</v>
      </c>
      <c r="BD288" t="s">
        <v>99</v>
      </c>
      <c r="BE288" t="s">
        <v>98</v>
      </c>
      <c r="BF288" t="s">
        <v>99</v>
      </c>
      <c r="BG288" t="s">
        <v>98</v>
      </c>
      <c r="BH288" t="s">
        <v>99</v>
      </c>
      <c r="BI288" t="s">
        <v>98</v>
      </c>
    </row>
    <row r="289" spans="1:61" x14ac:dyDescent="0.35">
      <c r="A289">
        <v>288</v>
      </c>
      <c r="B289">
        <v>45842.785590277781</v>
      </c>
      <c r="C289" t="s">
        <v>1812</v>
      </c>
      <c r="D289" t="s">
        <v>1813</v>
      </c>
      <c r="E289" t="s">
        <v>63</v>
      </c>
      <c r="F289" t="s">
        <v>757</v>
      </c>
      <c r="G289" t="s">
        <v>1814</v>
      </c>
      <c r="H289" t="s">
        <v>210</v>
      </c>
      <c r="I289" t="s">
        <v>211</v>
      </c>
      <c r="J289" t="s">
        <v>1480</v>
      </c>
      <c r="K289" t="s">
        <v>1628</v>
      </c>
      <c r="L289" t="s">
        <v>69</v>
      </c>
      <c r="M289" t="s">
        <v>69</v>
      </c>
      <c r="N289" t="s">
        <v>69</v>
      </c>
      <c r="O289" t="s">
        <v>69</v>
      </c>
      <c r="P289" t="s">
        <v>70</v>
      </c>
      <c r="Q289" t="s">
        <v>292</v>
      </c>
      <c r="R289" s="3">
        <v>21</v>
      </c>
      <c r="S289">
        <v>21</v>
      </c>
      <c r="T289" t="s">
        <v>72</v>
      </c>
      <c r="U289" t="s">
        <v>73</v>
      </c>
      <c r="V289" t="s">
        <v>94</v>
      </c>
      <c r="W289" t="s">
        <v>95</v>
      </c>
      <c r="X289">
        <v>3</v>
      </c>
      <c r="Y289">
        <v>4</v>
      </c>
      <c r="Z289">
        <v>4</v>
      </c>
      <c r="AA289">
        <v>4</v>
      </c>
      <c r="AB289">
        <v>3</v>
      </c>
      <c r="AC289">
        <v>3</v>
      </c>
      <c r="AD289">
        <v>4</v>
      </c>
      <c r="AE289">
        <v>4</v>
      </c>
      <c r="AF289">
        <v>3</v>
      </c>
      <c r="AG289">
        <v>3</v>
      </c>
      <c r="AH289">
        <v>4</v>
      </c>
      <c r="AI289">
        <v>4</v>
      </c>
      <c r="AJ289">
        <v>4</v>
      </c>
      <c r="AK289">
        <v>4</v>
      </c>
      <c r="AL289">
        <v>4</v>
      </c>
      <c r="AM289">
        <v>4</v>
      </c>
      <c r="AN289">
        <v>3</v>
      </c>
      <c r="AO289">
        <v>3</v>
      </c>
      <c r="AQ289">
        <v>0</v>
      </c>
      <c r="AR289" t="s">
        <v>69</v>
      </c>
      <c r="AT289">
        <v>0</v>
      </c>
      <c r="AU289" t="s">
        <v>69</v>
      </c>
      <c r="AV289">
        <v>1</v>
      </c>
      <c r="AW289">
        <v>4</v>
      </c>
      <c r="AX289" t="s">
        <v>75</v>
      </c>
      <c r="AY289" t="s">
        <v>83</v>
      </c>
      <c r="AZ289" t="s">
        <v>96</v>
      </c>
      <c r="BA289">
        <v>0</v>
      </c>
      <c r="BB289">
        <v>0</v>
      </c>
      <c r="BC289" t="s">
        <v>98</v>
      </c>
      <c r="BD289" t="s">
        <v>99</v>
      </c>
      <c r="BE289" t="s">
        <v>98</v>
      </c>
      <c r="BF289" t="s">
        <v>99</v>
      </c>
      <c r="BG289" t="s">
        <v>98</v>
      </c>
      <c r="BH289" t="s">
        <v>99</v>
      </c>
      <c r="BI289" t="s">
        <v>1815</v>
      </c>
    </row>
    <row r="290" spans="1:61" x14ac:dyDescent="0.35">
      <c r="A290">
        <v>289</v>
      </c>
      <c r="B290">
        <v>45842.789571759262</v>
      </c>
      <c r="C290" t="s">
        <v>1816</v>
      </c>
      <c r="D290" t="s">
        <v>1817</v>
      </c>
      <c r="E290" t="s">
        <v>63</v>
      </c>
      <c r="F290" t="s">
        <v>312</v>
      </c>
      <c r="G290" t="s">
        <v>1818</v>
      </c>
      <c r="H290" t="s">
        <v>210</v>
      </c>
      <c r="I290" t="s">
        <v>211</v>
      </c>
      <c r="J290" t="s">
        <v>1480</v>
      </c>
      <c r="K290" t="s">
        <v>1647</v>
      </c>
      <c r="L290" t="s">
        <v>69</v>
      </c>
      <c r="M290" t="s">
        <v>69</v>
      </c>
      <c r="N290" t="s">
        <v>69</v>
      </c>
      <c r="O290" t="s">
        <v>69</v>
      </c>
      <c r="P290" t="s">
        <v>70</v>
      </c>
      <c r="Q290" t="s">
        <v>292</v>
      </c>
      <c r="R290" s="3">
        <v>18</v>
      </c>
      <c r="S290">
        <v>18</v>
      </c>
      <c r="T290" t="s">
        <v>131</v>
      </c>
      <c r="U290" t="s">
        <v>73</v>
      </c>
      <c r="V290" t="s">
        <v>94</v>
      </c>
      <c r="W290" t="s">
        <v>95</v>
      </c>
      <c r="X290">
        <v>4</v>
      </c>
      <c r="Y290">
        <v>4</v>
      </c>
      <c r="Z290">
        <v>3</v>
      </c>
      <c r="AA290">
        <v>4</v>
      </c>
      <c r="AB290">
        <v>4</v>
      </c>
      <c r="AC290">
        <v>4</v>
      </c>
      <c r="AD290">
        <v>4</v>
      </c>
      <c r="AE290">
        <v>4</v>
      </c>
      <c r="AF290">
        <v>4</v>
      </c>
      <c r="AG290">
        <v>4</v>
      </c>
      <c r="AH290">
        <v>4</v>
      </c>
      <c r="AI290">
        <v>4</v>
      </c>
      <c r="AJ290">
        <v>4</v>
      </c>
      <c r="AK290">
        <v>4</v>
      </c>
      <c r="AL290">
        <v>4</v>
      </c>
      <c r="AM290">
        <v>4</v>
      </c>
      <c r="AN290">
        <v>4</v>
      </c>
      <c r="AO290">
        <v>4</v>
      </c>
      <c r="AP290">
        <v>2</v>
      </c>
      <c r="AQ290">
        <v>3</v>
      </c>
      <c r="AR290" t="s">
        <v>69</v>
      </c>
      <c r="AT290">
        <v>0</v>
      </c>
      <c r="AU290" t="s">
        <v>75</v>
      </c>
      <c r="AW290">
        <v>0</v>
      </c>
      <c r="AX290" t="s">
        <v>69</v>
      </c>
      <c r="AY290" t="s">
        <v>83</v>
      </c>
      <c r="AZ290" t="s">
        <v>96</v>
      </c>
      <c r="BA290">
        <v>0</v>
      </c>
      <c r="BB290">
        <v>0</v>
      </c>
      <c r="BC290" t="s">
        <v>98</v>
      </c>
      <c r="BD290" t="s">
        <v>99</v>
      </c>
      <c r="BE290" t="s">
        <v>98</v>
      </c>
      <c r="BF290" t="s">
        <v>99</v>
      </c>
      <c r="BG290" t="s">
        <v>1819</v>
      </c>
      <c r="BH290" t="s">
        <v>190</v>
      </c>
      <c r="BI290" t="s">
        <v>98</v>
      </c>
    </row>
    <row r="291" spans="1:61" x14ac:dyDescent="0.35">
      <c r="A291">
        <v>290</v>
      </c>
      <c r="B291">
        <v>45842.814386574071</v>
      </c>
      <c r="C291" t="s">
        <v>1820</v>
      </c>
      <c r="D291" t="s">
        <v>1821</v>
      </c>
      <c r="E291" t="s">
        <v>63</v>
      </c>
      <c r="F291" t="s">
        <v>86</v>
      </c>
      <c r="G291" t="s">
        <v>1822</v>
      </c>
      <c r="H291" t="s">
        <v>981</v>
      </c>
      <c r="I291" t="s">
        <v>982</v>
      </c>
      <c r="J291" t="s">
        <v>1541</v>
      </c>
      <c r="K291" t="s">
        <v>1823</v>
      </c>
      <c r="L291" t="s">
        <v>69</v>
      </c>
      <c r="M291" t="s">
        <v>69</v>
      </c>
      <c r="N291" t="s">
        <v>69</v>
      </c>
      <c r="O291" t="s">
        <v>69</v>
      </c>
      <c r="P291" t="s">
        <v>106</v>
      </c>
      <c r="Q291" t="s">
        <v>1168</v>
      </c>
      <c r="R291" s="3" t="s">
        <v>538</v>
      </c>
      <c r="S291">
        <v>41</v>
      </c>
      <c r="T291" t="s">
        <v>197</v>
      </c>
      <c r="U291" t="s">
        <v>93</v>
      </c>
      <c r="V291" t="s">
        <v>1824</v>
      </c>
      <c r="W291" t="s">
        <v>413</v>
      </c>
      <c r="X291">
        <v>3</v>
      </c>
      <c r="Y291">
        <v>3</v>
      </c>
      <c r="Z291">
        <v>3</v>
      </c>
      <c r="AA291">
        <v>3</v>
      </c>
      <c r="AB291">
        <v>2</v>
      </c>
      <c r="AC291">
        <v>4</v>
      </c>
      <c r="AD291">
        <v>0</v>
      </c>
      <c r="AE291">
        <v>0</v>
      </c>
      <c r="AF291">
        <v>3</v>
      </c>
      <c r="AG291">
        <v>3</v>
      </c>
      <c r="AH291">
        <v>3</v>
      </c>
      <c r="AI291">
        <v>3</v>
      </c>
      <c r="AJ291">
        <v>4</v>
      </c>
      <c r="AK291">
        <v>4</v>
      </c>
      <c r="AL291">
        <v>3</v>
      </c>
      <c r="AM291">
        <v>4</v>
      </c>
      <c r="AN291">
        <v>3</v>
      </c>
      <c r="AO291">
        <v>4</v>
      </c>
      <c r="AQ291">
        <v>0</v>
      </c>
      <c r="AR291" t="s">
        <v>69</v>
      </c>
      <c r="AT291">
        <v>0</v>
      </c>
      <c r="AU291" t="s">
        <v>69</v>
      </c>
      <c r="AV291">
        <v>1</v>
      </c>
      <c r="AW291">
        <v>4</v>
      </c>
      <c r="AX291" t="s">
        <v>75</v>
      </c>
      <c r="AY291" t="s">
        <v>83</v>
      </c>
      <c r="AZ291" t="s">
        <v>96</v>
      </c>
      <c r="BA291">
        <v>0</v>
      </c>
      <c r="BB291">
        <v>0</v>
      </c>
      <c r="BC291" t="s">
        <v>1825</v>
      </c>
      <c r="BD291" t="s">
        <v>112</v>
      </c>
      <c r="BE291" t="s">
        <v>1826</v>
      </c>
      <c r="BF291" t="s">
        <v>112</v>
      </c>
      <c r="BG291" t="s">
        <v>985</v>
      </c>
      <c r="BH291" t="s">
        <v>79</v>
      </c>
      <c r="BI291" t="s">
        <v>83</v>
      </c>
    </row>
    <row r="292" spans="1:61" x14ac:dyDescent="0.35">
      <c r="A292">
        <v>291</v>
      </c>
      <c r="B292">
        <v>45842.818530092591</v>
      </c>
      <c r="C292" t="s">
        <v>1827</v>
      </c>
      <c r="D292" t="s">
        <v>1828</v>
      </c>
      <c r="E292" t="s">
        <v>63</v>
      </c>
      <c r="F292" t="s">
        <v>742</v>
      </c>
      <c r="G292" t="s">
        <v>1829</v>
      </c>
      <c r="H292" t="s">
        <v>981</v>
      </c>
      <c r="I292" t="s">
        <v>982</v>
      </c>
      <c r="J292" t="s">
        <v>1541</v>
      </c>
      <c r="K292" t="s">
        <v>1830</v>
      </c>
      <c r="L292" t="s">
        <v>69</v>
      </c>
      <c r="M292" t="s">
        <v>69</v>
      </c>
      <c r="N292" t="s">
        <v>69</v>
      </c>
      <c r="O292" t="s">
        <v>69</v>
      </c>
      <c r="P292" t="s">
        <v>70</v>
      </c>
      <c r="Q292" t="s">
        <v>1168</v>
      </c>
      <c r="R292" s="3" t="s">
        <v>475</v>
      </c>
      <c r="S292">
        <v>54</v>
      </c>
      <c r="T292" t="s">
        <v>383</v>
      </c>
      <c r="U292" t="s">
        <v>273</v>
      </c>
      <c r="V292" t="s">
        <v>232</v>
      </c>
      <c r="W292" t="s">
        <v>232</v>
      </c>
      <c r="X292">
        <v>4</v>
      </c>
      <c r="Y292">
        <v>4</v>
      </c>
      <c r="Z292">
        <v>4</v>
      </c>
      <c r="AA292">
        <v>3</v>
      </c>
      <c r="AB292">
        <v>4</v>
      </c>
      <c r="AC292">
        <v>4</v>
      </c>
      <c r="AD292">
        <v>0</v>
      </c>
      <c r="AE292">
        <v>0</v>
      </c>
      <c r="AF292">
        <v>4</v>
      </c>
      <c r="AG292">
        <v>4</v>
      </c>
      <c r="AH292">
        <v>4</v>
      </c>
      <c r="AI292">
        <v>4</v>
      </c>
      <c r="AJ292">
        <v>4</v>
      </c>
      <c r="AK292">
        <v>3</v>
      </c>
      <c r="AL292">
        <v>4</v>
      </c>
      <c r="AM292">
        <v>3</v>
      </c>
      <c r="AN292">
        <v>4</v>
      </c>
      <c r="AO292">
        <v>3</v>
      </c>
      <c r="AQ292">
        <v>0</v>
      </c>
      <c r="AR292" t="s">
        <v>69</v>
      </c>
      <c r="AT292">
        <v>0</v>
      </c>
      <c r="AU292" t="s">
        <v>69</v>
      </c>
      <c r="AW292">
        <v>0</v>
      </c>
      <c r="AX292" t="s">
        <v>69</v>
      </c>
      <c r="AY292" t="s">
        <v>144</v>
      </c>
      <c r="AZ292" t="s">
        <v>144</v>
      </c>
      <c r="BA292">
        <v>1</v>
      </c>
      <c r="BB292">
        <v>4</v>
      </c>
      <c r="BC292" t="s">
        <v>985</v>
      </c>
      <c r="BD292" t="s">
        <v>79</v>
      </c>
      <c r="BE292" t="s">
        <v>985</v>
      </c>
      <c r="BF292" t="s">
        <v>79</v>
      </c>
      <c r="BG292" t="s">
        <v>985</v>
      </c>
      <c r="BH292" t="s">
        <v>79</v>
      </c>
      <c r="BI292" t="s">
        <v>83</v>
      </c>
    </row>
    <row r="293" spans="1:61" x14ac:dyDescent="0.35">
      <c r="A293">
        <v>292</v>
      </c>
      <c r="B293">
        <v>45842.822256944448</v>
      </c>
      <c r="C293" t="s">
        <v>1831</v>
      </c>
      <c r="D293" t="s">
        <v>1832</v>
      </c>
      <c r="E293" t="s">
        <v>63</v>
      </c>
      <c r="F293" t="s">
        <v>1402</v>
      </c>
      <c r="G293" t="s">
        <v>1833</v>
      </c>
      <c r="H293" t="s">
        <v>981</v>
      </c>
      <c r="I293" t="s">
        <v>982</v>
      </c>
      <c r="J293" t="s">
        <v>1541</v>
      </c>
      <c r="K293" t="s">
        <v>1834</v>
      </c>
      <c r="L293" t="s">
        <v>69</v>
      </c>
      <c r="M293" t="s">
        <v>69</v>
      </c>
      <c r="N293" t="s">
        <v>69</v>
      </c>
      <c r="O293" t="s">
        <v>69</v>
      </c>
      <c r="P293" t="s">
        <v>106</v>
      </c>
      <c r="Q293" t="s">
        <v>1168</v>
      </c>
      <c r="R293" s="3" t="s">
        <v>826</v>
      </c>
      <c r="S293">
        <v>44</v>
      </c>
      <c r="T293" t="s">
        <v>197</v>
      </c>
      <c r="U293" t="s">
        <v>93</v>
      </c>
      <c r="V293" t="s">
        <v>154</v>
      </c>
      <c r="W293" t="s">
        <v>154</v>
      </c>
      <c r="X293">
        <v>4</v>
      </c>
      <c r="Y293">
        <v>4</v>
      </c>
      <c r="Z293">
        <v>4</v>
      </c>
      <c r="AA293">
        <v>4</v>
      </c>
      <c r="AB293">
        <v>4</v>
      </c>
      <c r="AC293">
        <v>4</v>
      </c>
      <c r="AD293">
        <v>0</v>
      </c>
      <c r="AE293">
        <v>0</v>
      </c>
      <c r="AF293">
        <v>4</v>
      </c>
      <c r="AG293">
        <v>4</v>
      </c>
      <c r="AH293">
        <v>4</v>
      </c>
      <c r="AI293">
        <v>4</v>
      </c>
      <c r="AJ293">
        <v>4</v>
      </c>
      <c r="AK293">
        <v>4</v>
      </c>
      <c r="AL293">
        <v>4</v>
      </c>
      <c r="AM293">
        <v>4</v>
      </c>
      <c r="AN293">
        <v>4</v>
      </c>
      <c r="AO293">
        <v>4</v>
      </c>
      <c r="AQ293">
        <v>0</v>
      </c>
      <c r="AR293" t="s">
        <v>69</v>
      </c>
      <c r="AT293">
        <v>0</v>
      </c>
      <c r="AU293" t="s">
        <v>69</v>
      </c>
      <c r="AV293">
        <v>1</v>
      </c>
      <c r="AW293">
        <v>4</v>
      </c>
      <c r="AX293" t="s">
        <v>75</v>
      </c>
      <c r="AY293" t="s">
        <v>83</v>
      </c>
      <c r="AZ293" t="s">
        <v>96</v>
      </c>
      <c r="BA293">
        <v>0</v>
      </c>
      <c r="BB293">
        <v>0</v>
      </c>
      <c r="BC293" t="s">
        <v>985</v>
      </c>
      <c r="BD293" t="s">
        <v>79</v>
      </c>
      <c r="BE293" t="s">
        <v>985</v>
      </c>
      <c r="BF293" t="s">
        <v>79</v>
      </c>
      <c r="BG293" t="s">
        <v>985</v>
      </c>
      <c r="BH293" t="s">
        <v>79</v>
      </c>
      <c r="BI293" t="s">
        <v>83</v>
      </c>
    </row>
    <row r="294" spans="1:61" x14ac:dyDescent="0.35">
      <c r="A294">
        <v>293</v>
      </c>
      <c r="B294">
        <v>45842.86141203704</v>
      </c>
      <c r="C294" t="s">
        <v>1835</v>
      </c>
      <c r="D294" t="s">
        <v>1836</v>
      </c>
      <c r="E294" t="s">
        <v>63</v>
      </c>
      <c r="F294" t="s">
        <v>240</v>
      </c>
      <c r="G294" t="s">
        <v>1837</v>
      </c>
      <c r="H294" t="s">
        <v>981</v>
      </c>
      <c r="I294" t="s">
        <v>982</v>
      </c>
      <c r="J294" t="s">
        <v>1541</v>
      </c>
      <c r="K294" t="s">
        <v>1838</v>
      </c>
      <c r="L294" t="s">
        <v>69</v>
      </c>
      <c r="M294" t="s">
        <v>69</v>
      </c>
      <c r="N294" t="s">
        <v>69</v>
      </c>
      <c r="O294" t="s">
        <v>69</v>
      </c>
      <c r="P294" t="s">
        <v>106</v>
      </c>
      <c r="Q294" t="s">
        <v>1180</v>
      </c>
      <c r="R294" s="3" t="s">
        <v>1325</v>
      </c>
      <c r="S294">
        <v>50</v>
      </c>
      <c r="T294" t="s">
        <v>225</v>
      </c>
      <c r="U294" t="s">
        <v>73</v>
      </c>
      <c r="V294" t="s">
        <v>142</v>
      </c>
      <c r="W294" t="s">
        <v>143</v>
      </c>
      <c r="X294">
        <v>4</v>
      </c>
      <c r="Y294">
        <v>4</v>
      </c>
      <c r="Z294">
        <v>4</v>
      </c>
      <c r="AA294">
        <v>4</v>
      </c>
      <c r="AB294">
        <v>4</v>
      </c>
      <c r="AC294">
        <v>4</v>
      </c>
      <c r="AD294">
        <v>0</v>
      </c>
      <c r="AE294">
        <v>0</v>
      </c>
      <c r="AF294">
        <v>4</v>
      </c>
      <c r="AG294">
        <v>4</v>
      </c>
      <c r="AH294">
        <v>4</v>
      </c>
      <c r="AI294">
        <v>4</v>
      </c>
      <c r="AJ294">
        <v>4</v>
      </c>
      <c r="AK294">
        <v>4</v>
      </c>
      <c r="AL294">
        <v>4</v>
      </c>
      <c r="AM294">
        <v>4</v>
      </c>
      <c r="AN294">
        <v>4</v>
      </c>
      <c r="AO294">
        <v>4</v>
      </c>
      <c r="AQ294">
        <v>0</v>
      </c>
      <c r="AR294" t="s">
        <v>69</v>
      </c>
      <c r="AT294">
        <v>0</v>
      </c>
      <c r="AU294" t="s">
        <v>69</v>
      </c>
      <c r="AV294">
        <v>1</v>
      </c>
      <c r="AW294">
        <v>4</v>
      </c>
      <c r="AX294" t="s">
        <v>75</v>
      </c>
      <c r="AY294" t="s">
        <v>83</v>
      </c>
      <c r="AZ294" t="s">
        <v>96</v>
      </c>
      <c r="BA294">
        <v>0</v>
      </c>
      <c r="BB294">
        <v>0</v>
      </c>
      <c r="BC294" t="s">
        <v>985</v>
      </c>
      <c r="BD294" t="s">
        <v>79</v>
      </c>
      <c r="BE294" t="s">
        <v>985</v>
      </c>
      <c r="BF294" t="s">
        <v>79</v>
      </c>
      <c r="BG294" t="s">
        <v>985</v>
      </c>
      <c r="BH294" t="s">
        <v>79</v>
      </c>
      <c r="BI294" t="s">
        <v>83</v>
      </c>
    </row>
    <row r="295" spans="1:61" x14ac:dyDescent="0.35">
      <c r="A295">
        <v>294</v>
      </c>
      <c r="B295">
        <v>45842.870648148149</v>
      </c>
      <c r="C295" t="s">
        <v>1839</v>
      </c>
      <c r="D295" t="s">
        <v>1840</v>
      </c>
      <c r="E295" t="s">
        <v>1841</v>
      </c>
      <c r="F295" t="s">
        <v>1842</v>
      </c>
      <c r="G295" t="s">
        <v>1843</v>
      </c>
      <c r="H295" t="s">
        <v>981</v>
      </c>
      <c r="I295" t="s">
        <v>982</v>
      </c>
      <c r="J295" t="s">
        <v>1541</v>
      </c>
      <c r="K295" t="s">
        <v>1424</v>
      </c>
      <c r="L295" t="s">
        <v>69</v>
      </c>
      <c r="M295" t="s">
        <v>69</v>
      </c>
      <c r="N295" t="s">
        <v>69</v>
      </c>
      <c r="O295" t="s">
        <v>69</v>
      </c>
      <c r="P295" t="s">
        <v>106</v>
      </c>
      <c r="Q295" t="s">
        <v>1180</v>
      </c>
      <c r="R295" s="3" t="s">
        <v>1844</v>
      </c>
      <c r="S295">
        <v>52</v>
      </c>
      <c r="T295" t="s">
        <v>383</v>
      </c>
      <c r="U295" t="s">
        <v>93</v>
      </c>
      <c r="V295" t="s">
        <v>110</v>
      </c>
      <c r="W295" t="s">
        <v>110</v>
      </c>
      <c r="X295">
        <v>4</v>
      </c>
      <c r="Y295">
        <v>4</v>
      </c>
      <c r="Z295">
        <v>4</v>
      </c>
      <c r="AA295">
        <v>4</v>
      </c>
      <c r="AB295">
        <v>4</v>
      </c>
      <c r="AC295">
        <v>4</v>
      </c>
      <c r="AD295">
        <v>0</v>
      </c>
      <c r="AE295">
        <v>0</v>
      </c>
      <c r="AF295">
        <v>4</v>
      </c>
      <c r="AG295">
        <v>4</v>
      </c>
      <c r="AH295">
        <v>4</v>
      </c>
      <c r="AI295">
        <v>4</v>
      </c>
      <c r="AJ295">
        <v>4</v>
      </c>
      <c r="AK295">
        <v>4</v>
      </c>
      <c r="AL295">
        <v>4</v>
      </c>
      <c r="AM295">
        <v>4</v>
      </c>
      <c r="AN295">
        <v>4</v>
      </c>
      <c r="AO295">
        <v>4</v>
      </c>
      <c r="AQ295">
        <v>0</v>
      </c>
      <c r="AR295" t="s">
        <v>69</v>
      </c>
      <c r="AT295">
        <v>0</v>
      </c>
      <c r="AU295" t="s">
        <v>69</v>
      </c>
      <c r="AV295">
        <v>1</v>
      </c>
      <c r="AW295">
        <v>4</v>
      </c>
      <c r="AX295" t="s">
        <v>75</v>
      </c>
      <c r="AY295" t="s">
        <v>83</v>
      </c>
      <c r="AZ295" t="s">
        <v>96</v>
      </c>
      <c r="BA295">
        <v>0</v>
      </c>
      <c r="BB295">
        <v>0</v>
      </c>
      <c r="BC295" t="s">
        <v>985</v>
      </c>
      <c r="BD295" t="s">
        <v>79</v>
      </c>
      <c r="BE295" t="s">
        <v>985</v>
      </c>
      <c r="BF295" t="s">
        <v>79</v>
      </c>
      <c r="BG295" t="s">
        <v>985</v>
      </c>
      <c r="BH295" t="s">
        <v>79</v>
      </c>
      <c r="BI295" t="s">
        <v>83</v>
      </c>
    </row>
    <row r="296" spans="1:61" x14ac:dyDescent="0.35">
      <c r="A296">
        <v>295</v>
      </c>
      <c r="B296">
        <v>45843.23877314815</v>
      </c>
      <c r="C296" t="s">
        <v>1845</v>
      </c>
      <c r="D296" t="s">
        <v>1846</v>
      </c>
      <c r="E296" t="s">
        <v>63</v>
      </c>
      <c r="F296" t="s">
        <v>312</v>
      </c>
      <c r="G296" t="s">
        <v>1847</v>
      </c>
      <c r="H296" t="s">
        <v>242</v>
      </c>
      <c r="I296" t="s">
        <v>243</v>
      </c>
      <c r="J296" t="s">
        <v>1189</v>
      </c>
      <c r="K296" t="s">
        <v>1848</v>
      </c>
      <c r="L296" t="s">
        <v>69</v>
      </c>
      <c r="M296" t="s">
        <v>69</v>
      </c>
      <c r="N296" t="s">
        <v>69</v>
      </c>
      <c r="O296" t="s">
        <v>69</v>
      </c>
      <c r="P296" t="s">
        <v>106</v>
      </c>
      <c r="Q296" t="s">
        <v>107</v>
      </c>
      <c r="R296" s="3" t="s">
        <v>868</v>
      </c>
      <c r="S296">
        <v>33</v>
      </c>
      <c r="T296" t="s">
        <v>109</v>
      </c>
      <c r="U296" t="s">
        <v>254</v>
      </c>
      <c r="V296" t="s">
        <v>74</v>
      </c>
      <c r="W296" t="s">
        <v>74</v>
      </c>
      <c r="X296">
        <v>4</v>
      </c>
      <c r="Y296">
        <v>4</v>
      </c>
      <c r="Z296">
        <v>4</v>
      </c>
      <c r="AA296">
        <v>4</v>
      </c>
      <c r="AB296">
        <v>4</v>
      </c>
      <c r="AC296">
        <v>4</v>
      </c>
      <c r="AD296">
        <v>0</v>
      </c>
      <c r="AE296">
        <v>0</v>
      </c>
      <c r="AF296">
        <v>4</v>
      </c>
      <c r="AG296">
        <v>4</v>
      </c>
      <c r="AH296">
        <v>4</v>
      </c>
      <c r="AI296">
        <v>4</v>
      </c>
      <c r="AJ296">
        <v>4</v>
      </c>
      <c r="AK296">
        <v>4</v>
      </c>
      <c r="AL296">
        <v>4</v>
      </c>
      <c r="AM296">
        <v>4</v>
      </c>
      <c r="AN296">
        <v>4</v>
      </c>
      <c r="AO296">
        <v>4</v>
      </c>
      <c r="AQ296">
        <v>0</v>
      </c>
      <c r="AR296" t="s">
        <v>69</v>
      </c>
      <c r="AS296">
        <v>1</v>
      </c>
      <c r="AT296">
        <v>4</v>
      </c>
      <c r="AU296" t="s">
        <v>75</v>
      </c>
      <c r="AW296">
        <v>0</v>
      </c>
      <c r="AX296" t="s">
        <v>69</v>
      </c>
      <c r="AY296" t="s">
        <v>83</v>
      </c>
      <c r="AZ296" t="s">
        <v>96</v>
      </c>
      <c r="BA296">
        <v>0</v>
      </c>
      <c r="BB296">
        <v>0</v>
      </c>
      <c r="BC296" t="s">
        <v>248</v>
      </c>
      <c r="BD296" t="s">
        <v>79</v>
      </c>
      <c r="BE296" t="s">
        <v>248</v>
      </c>
      <c r="BF296" t="s">
        <v>79</v>
      </c>
      <c r="BG296" t="s">
        <v>248</v>
      </c>
      <c r="BH296" t="s">
        <v>79</v>
      </c>
      <c r="BI296" t="s">
        <v>96</v>
      </c>
    </row>
    <row r="297" spans="1:61" x14ac:dyDescent="0.35">
      <c r="A297">
        <v>296</v>
      </c>
      <c r="B297">
        <v>45843.243587962963</v>
      </c>
      <c r="C297" t="s">
        <v>1849</v>
      </c>
      <c r="D297" t="s">
        <v>1850</v>
      </c>
      <c r="E297" t="s">
        <v>63</v>
      </c>
      <c r="F297" t="s">
        <v>63</v>
      </c>
      <c r="G297" t="s">
        <v>1851</v>
      </c>
      <c r="H297" t="s">
        <v>242</v>
      </c>
      <c r="I297" t="s">
        <v>243</v>
      </c>
      <c r="J297" t="s">
        <v>1852</v>
      </c>
      <c r="K297" t="s">
        <v>785</v>
      </c>
      <c r="L297" t="s">
        <v>69</v>
      </c>
      <c r="M297" t="s">
        <v>69</v>
      </c>
      <c r="N297" t="s">
        <v>69</v>
      </c>
      <c r="O297" t="s">
        <v>69</v>
      </c>
      <c r="P297" t="s">
        <v>106</v>
      </c>
      <c r="Q297" t="s">
        <v>107</v>
      </c>
      <c r="R297" s="3" t="s">
        <v>566</v>
      </c>
      <c r="S297">
        <v>25</v>
      </c>
      <c r="T297" t="s">
        <v>72</v>
      </c>
      <c r="U297" t="s">
        <v>73</v>
      </c>
      <c r="V297" t="s">
        <v>1853</v>
      </c>
      <c r="W297" t="s">
        <v>1853</v>
      </c>
      <c r="X297">
        <v>3</v>
      </c>
      <c r="Y297">
        <v>3</v>
      </c>
      <c r="Z297">
        <v>3</v>
      </c>
      <c r="AA297">
        <v>3</v>
      </c>
      <c r="AB297">
        <v>3</v>
      </c>
      <c r="AC297">
        <v>3</v>
      </c>
      <c r="AD297">
        <v>0</v>
      </c>
      <c r="AE297">
        <v>0</v>
      </c>
      <c r="AF297">
        <v>3</v>
      </c>
      <c r="AG297">
        <v>3</v>
      </c>
      <c r="AH297">
        <v>3</v>
      </c>
      <c r="AI297">
        <v>3</v>
      </c>
      <c r="AJ297">
        <v>4</v>
      </c>
      <c r="AK297">
        <v>3</v>
      </c>
      <c r="AL297">
        <v>3</v>
      </c>
      <c r="AM297">
        <v>3</v>
      </c>
      <c r="AN297">
        <v>3</v>
      </c>
      <c r="AO297">
        <v>4</v>
      </c>
      <c r="AP297">
        <v>1</v>
      </c>
      <c r="AQ297">
        <v>4</v>
      </c>
      <c r="AR297" t="s">
        <v>75</v>
      </c>
      <c r="AT297">
        <v>0</v>
      </c>
      <c r="AU297" t="s">
        <v>69</v>
      </c>
      <c r="AW297">
        <v>0</v>
      </c>
      <c r="AX297" t="s">
        <v>69</v>
      </c>
      <c r="AY297" t="s">
        <v>83</v>
      </c>
      <c r="AZ297" t="s">
        <v>96</v>
      </c>
      <c r="BA297">
        <v>0</v>
      </c>
      <c r="BB297">
        <v>0</v>
      </c>
      <c r="BC297" t="s">
        <v>248</v>
      </c>
      <c r="BD297" t="s">
        <v>79</v>
      </c>
      <c r="BE297" t="s">
        <v>248</v>
      </c>
      <c r="BF297" t="s">
        <v>79</v>
      </c>
      <c r="BG297" t="s">
        <v>802</v>
      </c>
      <c r="BH297" t="s">
        <v>79</v>
      </c>
      <c r="BI297" t="s">
        <v>1203</v>
      </c>
    </row>
    <row r="298" spans="1:61" x14ac:dyDescent="0.35">
      <c r="A298">
        <v>297</v>
      </c>
      <c r="B298">
        <v>45843.246724537035</v>
      </c>
      <c r="C298" t="s">
        <v>1854</v>
      </c>
      <c r="D298" t="s">
        <v>1855</v>
      </c>
      <c r="E298" t="s">
        <v>1468</v>
      </c>
      <c r="F298" t="s">
        <v>1856</v>
      </c>
      <c r="G298" t="s">
        <v>830</v>
      </c>
      <c r="H298" t="s">
        <v>242</v>
      </c>
      <c r="I298" t="s">
        <v>243</v>
      </c>
      <c r="J298" t="s">
        <v>1852</v>
      </c>
      <c r="K298" t="s">
        <v>1012</v>
      </c>
      <c r="L298" t="s">
        <v>69</v>
      </c>
      <c r="M298" t="s">
        <v>69</v>
      </c>
      <c r="N298" t="s">
        <v>69</v>
      </c>
      <c r="O298" t="s">
        <v>69</v>
      </c>
      <c r="P298" t="s">
        <v>106</v>
      </c>
      <c r="Q298" t="s">
        <v>107</v>
      </c>
      <c r="R298" s="3" t="s">
        <v>566</v>
      </c>
      <c r="S298">
        <v>25</v>
      </c>
      <c r="T298" t="s">
        <v>72</v>
      </c>
      <c r="U298" t="s">
        <v>73</v>
      </c>
      <c r="V298" t="s">
        <v>74</v>
      </c>
      <c r="W298" t="s">
        <v>74</v>
      </c>
      <c r="X298">
        <v>4</v>
      </c>
      <c r="Y298">
        <v>4</v>
      </c>
      <c r="Z298">
        <v>4</v>
      </c>
      <c r="AA298">
        <v>3</v>
      </c>
      <c r="AB298">
        <v>4</v>
      </c>
      <c r="AC298">
        <v>4</v>
      </c>
      <c r="AD298">
        <v>0</v>
      </c>
      <c r="AE298">
        <v>0</v>
      </c>
      <c r="AF298">
        <v>4</v>
      </c>
      <c r="AG298">
        <v>4</v>
      </c>
      <c r="AH298">
        <v>4</v>
      </c>
      <c r="AI298">
        <v>4</v>
      </c>
      <c r="AJ298">
        <v>4</v>
      </c>
      <c r="AK298">
        <v>4</v>
      </c>
      <c r="AL298">
        <v>4</v>
      </c>
      <c r="AM298">
        <v>4</v>
      </c>
      <c r="AN298">
        <v>4</v>
      </c>
      <c r="AO298">
        <v>4</v>
      </c>
      <c r="AP298">
        <v>1</v>
      </c>
      <c r="AQ298">
        <v>4</v>
      </c>
      <c r="AR298" t="s">
        <v>75</v>
      </c>
      <c r="AT298">
        <v>0</v>
      </c>
      <c r="AU298" t="s">
        <v>69</v>
      </c>
      <c r="AW298">
        <v>0</v>
      </c>
      <c r="AX298" t="s">
        <v>69</v>
      </c>
      <c r="AY298" t="s">
        <v>83</v>
      </c>
      <c r="AZ298" t="s">
        <v>96</v>
      </c>
      <c r="BA298">
        <v>0</v>
      </c>
      <c r="BB298">
        <v>0</v>
      </c>
      <c r="BC298" t="s">
        <v>248</v>
      </c>
      <c r="BD298" t="s">
        <v>79</v>
      </c>
      <c r="BE298" t="s">
        <v>802</v>
      </c>
      <c r="BF298" t="s">
        <v>79</v>
      </c>
      <c r="BG298" t="s">
        <v>248</v>
      </c>
      <c r="BH298" t="s">
        <v>79</v>
      </c>
      <c r="BI298" t="s">
        <v>1857</v>
      </c>
    </row>
    <row r="299" spans="1:61" x14ac:dyDescent="0.35">
      <c r="A299">
        <v>298</v>
      </c>
      <c r="B299">
        <v>45843.323530092595</v>
      </c>
      <c r="C299" t="s">
        <v>1858</v>
      </c>
      <c r="D299" t="s">
        <v>1859</v>
      </c>
      <c r="E299" t="s">
        <v>63</v>
      </c>
      <c r="F299" t="s">
        <v>757</v>
      </c>
      <c r="G299" t="s">
        <v>1860</v>
      </c>
      <c r="H299" t="s">
        <v>242</v>
      </c>
      <c r="I299" t="s">
        <v>243</v>
      </c>
      <c r="J299" t="s">
        <v>1852</v>
      </c>
      <c r="K299" t="s">
        <v>1861</v>
      </c>
      <c r="L299" t="s">
        <v>69</v>
      </c>
      <c r="M299" t="s">
        <v>69</v>
      </c>
      <c r="N299" t="s">
        <v>69</v>
      </c>
      <c r="O299" t="s">
        <v>69</v>
      </c>
      <c r="P299" t="s">
        <v>106</v>
      </c>
      <c r="Q299" t="s">
        <v>1180</v>
      </c>
      <c r="R299" s="3" t="s">
        <v>1862</v>
      </c>
      <c r="S299">
        <v>35</v>
      </c>
      <c r="T299" t="s">
        <v>109</v>
      </c>
      <c r="U299" t="s">
        <v>73</v>
      </c>
      <c r="V299" t="s">
        <v>110</v>
      </c>
      <c r="W299" t="s">
        <v>110</v>
      </c>
      <c r="X299">
        <v>3</v>
      </c>
      <c r="Y299">
        <v>3</v>
      </c>
      <c r="Z299">
        <v>3</v>
      </c>
      <c r="AA299">
        <v>3</v>
      </c>
      <c r="AB299">
        <v>3</v>
      </c>
      <c r="AC299">
        <v>4</v>
      </c>
      <c r="AD299">
        <v>2</v>
      </c>
      <c r="AE299">
        <v>3</v>
      </c>
      <c r="AF299">
        <v>3</v>
      </c>
      <c r="AG299">
        <v>3</v>
      </c>
      <c r="AH299">
        <v>3</v>
      </c>
      <c r="AI299">
        <v>3</v>
      </c>
      <c r="AJ299">
        <v>3</v>
      </c>
      <c r="AK299">
        <v>4</v>
      </c>
      <c r="AL299">
        <v>3</v>
      </c>
      <c r="AM299">
        <v>3</v>
      </c>
      <c r="AN299">
        <v>3</v>
      </c>
      <c r="AO299">
        <v>3</v>
      </c>
      <c r="AQ299">
        <v>0</v>
      </c>
      <c r="AR299" t="s">
        <v>69</v>
      </c>
      <c r="AT299">
        <v>0</v>
      </c>
      <c r="AU299" t="s">
        <v>69</v>
      </c>
      <c r="AV299">
        <v>2</v>
      </c>
      <c r="AW299">
        <v>3</v>
      </c>
      <c r="AX299" t="s">
        <v>69</v>
      </c>
      <c r="AY299" t="s">
        <v>83</v>
      </c>
      <c r="AZ299" t="s">
        <v>96</v>
      </c>
      <c r="BA299">
        <v>0</v>
      </c>
      <c r="BB299">
        <v>0</v>
      </c>
      <c r="BC299" t="s">
        <v>1863</v>
      </c>
      <c r="BD299" t="s">
        <v>79</v>
      </c>
      <c r="BE299" t="s">
        <v>1864</v>
      </c>
      <c r="BF299" t="s">
        <v>157</v>
      </c>
      <c r="BG299" t="s">
        <v>1863</v>
      </c>
      <c r="BH299" t="s">
        <v>79</v>
      </c>
      <c r="BI299" t="s">
        <v>1865</v>
      </c>
    </row>
    <row r="300" spans="1:61" x14ac:dyDescent="0.35">
      <c r="A300">
        <v>299</v>
      </c>
      <c r="B300">
        <v>45843.327847222223</v>
      </c>
      <c r="C300" t="s">
        <v>1866</v>
      </c>
      <c r="D300" t="s">
        <v>1867</v>
      </c>
      <c r="E300" t="s">
        <v>63</v>
      </c>
      <c r="F300" t="s">
        <v>63</v>
      </c>
      <c r="G300" t="s">
        <v>1868</v>
      </c>
      <c r="H300" t="s">
        <v>242</v>
      </c>
      <c r="I300" t="s">
        <v>243</v>
      </c>
      <c r="J300" t="s">
        <v>1869</v>
      </c>
      <c r="K300" t="s">
        <v>845</v>
      </c>
      <c r="L300" t="s">
        <v>69</v>
      </c>
      <c r="M300" t="s">
        <v>69</v>
      </c>
      <c r="N300" t="s">
        <v>69</v>
      </c>
      <c r="O300" t="s">
        <v>69</v>
      </c>
      <c r="P300" t="s">
        <v>106</v>
      </c>
      <c r="Q300" t="s">
        <v>1180</v>
      </c>
      <c r="R300" s="3" t="s">
        <v>1123</v>
      </c>
      <c r="S300">
        <v>48</v>
      </c>
      <c r="T300" t="s">
        <v>225</v>
      </c>
      <c r="U300" t="s">
        <v>254</v>
      </c>
      <c r="V300" t="s">
        <v>74</v>
      </c>
      <c r="W300" t="s">
        <v>74</v>
      </c>
      <c r="X300">
        <v>4</v>
      </c>
      <c r="Y300">
        <v>4</v>
      </c>
      <c r="Z300">
        <v>4</v>
      </c>
      <c r="AA300">
        <v>4</v>
      </c>
      <c r="AB300">
        <v>4</v>
      </c>
      <c r="AC300">
        <v>4</v>
      </c>
      <c r="AD300">
        <v>4</v>
      </c>
      <c r="AE300">
        <v>4</v>
      </c>
      <c r="AF300">
        <v>4</v>
      </c>
      <c r="AG300">
        <v>4</v>
      </c>
      <c r="AH300">
        <v>3</v>
      </c>
      <c r="AI300">
        <v>4</v>
      </c>
      <c r="AJ300">
        <v>4</v>
      </c>
      <c r="AK300">
        <v>4</v>
      </c>
      <c r="AL300">
        <v>4</v>
      </c>
      <c r="AM300">
        <v>4</v>
      </c>
      <c r="AN300">
        <v>4</v>
      </c>
      <c r="AO300">
        <v>4</v>
      </c>
      <c r="AP300">
        <v>1</v>
      </c>
      <c r="AQ300">
        <v>4</v>
      </c>
      <c r="AR300" t="s">
        <v>69</v>
      </c>
      <c r="AT300">
        <v>0</v>
      </c>
      <c r="AU300" t="s">
        <v>69</v>
      </c>
      <c r="AW300">
        <v>0</v>
      </c>
      <c r="AX300" t="s">
        <v>69</v>
      </c>
      <c r="AY300" t="s">
        <v>83</v>
      </c>
      <c r="AZ300" t="s">
        <v>96</v>
      </c>
      <c r="BA300">
        <v>0</v>
      </c>
      <c r="BB300">
        <v>0</v>
      </c>
      <c r="BC300" t="s">
        <v>1863</v>
      </c>
      <c r="BD300" t="s">
        <v>79</v>
      </c>
      <c r="BE300" t="s">
        <v>1863</v>
      </c>
      <c r="BF300" t="s">
        <v>79</v>
      </c>
      <c r="BG300" t="s">
        <v>1863</v>
      </c>
      <c r="BH300" t="s">
        <v>79</v>
      </c>
      <c r="BI300" t="s">
        <v>1203</v>
      </c>
    </row>
    <row r="301" spans="1:61" x14ac:dyDescent="0.35">
      <c r="A301">
        <v>300</v>
      </c>
      <c r="B301">
        <v>45843.331261574072</v>
      </c>
      <c r="C301" t="s">
        <v>1870</v>
      </c>
      <c r="D301" t="s">
        <v>1871</v>
      </c>
      <c r="E301" t="s">
        <v>63</v>
      </c>
      <c r="F301" t="s">
        <v>86</v>
      </c>
      <c r="G301" t="s">
        <v>1872</v>
      </c>
      <c r="H301" t="s">
        <v>242</v>
      </c>
      <c r="I301" t="s">
        <v>243</v>
      </c>
      <c r="J301" t="s">
        <v>1869</v>
      </c>
      <c r="K301" t="s">
        <v>1873</v>
      </c>
      <c r="L301" t="s">
        <v>69</v>
      </c>
      <c r="M301" t="s">
        <v>69</v>
      </c>
      <c r="N301" t="s">
        <v>69</v>
      </c>
      <c r="O301" t="s">
        <v>69</v>
      </c>
      <c r="P301" t="s">
        <v>106</v>
      </c>
      <c r="Q301" t="s">
        <v>1168</v>
      </c>
      <c r="R301" s="3" t="s">
        <v>1160</v>
      </c>
      <c r="S301">
        <v>56</v>
      </c>
      <c r="T301" t="s">
        <v>182</v>
      </c>
      <c r="U301" t="s">
        <v>273</v>
      </c>
      <c r="V301" t="s">
        <v>74</v>
      </c>
      <c r="W301" t="s">
        <v>74</v>
      </c>
      <c r="X301">
        <v>4</v>
      </c>
      <c r="Y301">
        <v>3</v>
      </c>
      <c r="Z301">
        <v>3</v>
      </c>
      <c r="AA301">
        <v>3</v>
      </c>
      <c r="AB301">
        <v>3</v>
      </c>
      <c r="AC301">
        <v>3</v>
      </c>
      <c r="AD301">
        <v>0</v>
      </c>
      <c r="AE301">
        <v>0</v>
      </c>
      <c r="AF301">
        <v>3</v>
      </c>
      <c r="AG301">
        <v>4</v>
      </c>
      <c r="AH301">
        <v>3</v>
      </c>
      <c r="AI301">
        <v>4</v>
      </c>
      <c r="AJ301">
        <v>4</v>
      </c>
      <c r="AK301">
        <v>4</v>
      </c>
      <c r="AL301">
        <v>4</v>
      </c>
      <c r="AM301">
        <v>4</v>
      </c>
      <c r="AN301">
        <v>3</v>
      </c>
      <c r="AO301">
        <v>4</v>
      </c>
      <c r="AQ301">
        <v>0</v>
      </c>
      <c r="AR301" t="s">
        <v>69</v>
      </c>
      <c r="AT301">
        <v>0</v>
      </c>
      <c r="AU301" t="s">
        <v>75</v>
      </c>
      <c r="AV301">
        <v>1</v>
      </c>
      <c r="AW301">
        <v>4</v>
      </c>
      <c r="AX301" t="s">
        <v>69</v>
      </c>
      <c r="AY301" t="s">
        <v>83</v>
      </c>
      <c r="AZ301" t="s">
        <v>96</v>
      </c>
      <c r="BA301">
        <v>0</v>
      </c>
      <c r="BB301">
        <v>0</v>
      </c>
      <c r="BC301" t="s">
        <v>248</v>
      </c>
      <c r="BD301" t="s">
        <v>79</v>
      </c>
      <c r="BE301" t="s">
        <v>802</v>
      </c>
      <c r="BF301" t="s">
        <v>79</v>
      </c>
      <c r="BG301" t="s">
        <v>1874</v>
      </c>
      <c r="BH301" t="s">
        <v>1875</v>
      </c>
      <c r="BI301" t="s">
        <v>1857</v>
      </c>
    </row>
    <row r="302" spans="1:61" x14ac:dyDescent="0.35">
      <c r="A302">
        <v>301</v>
      </c>
      <c r="B302">
        <v>45843.33730324074</v>
      </c>
      <c r="C302" t="s">
        <v>1876</v>
      </c>
      <c r="D302" t="s">
        <v>1877</v>
      </c>
      <c r="E302" t="s">
        <v>63</v>
      </c>
      <c r="F302" t="s">
        <v>397</v>
      </c>
      <c r="G302" t="s">
        <v>1878</v>
      </c>
      <c r="H302" t="s">
        <v>242</v>
      </c>
      <c r="I302" t="s">
        <v>243</v>
      </c>
      <c r="J302" t="s">
        <v>1189</v>
      </c>
      <c r="K302" t="s">
        <v>1879</v>
      </c>
      <c r="L302" t="s">
        <v>69</v>
      </c>
      <c r="M302" t="s">
        <v>69</v>
      </c>
      <c r="N302" t="s">
        <v>69</v>
      </c>
      <c r="O302" t="s">
        <v>69</v>
      </c>
      <c r="P302" t="s">
        <v>70</v>
      </c>
      <c r="Q302" t="s">
        <v>1168</v>
      </c>
      <c r="R302" s="3" t="s">
        <v>807</v>
      </c>
      <c r="S302">
        <v>36</v>
      </c>
      <c r="T302" t="s">
        <v>153</v>
      </c>
      <c r="U302" t="s">
        <v>73</v>
      </c>
      <c r="V302" t="s">
        <v>232</v>
      </c>
      <c r="W302" t="s">
        <v>232</v>
      </c>
      <c r="X302">
        <v>3</v>
      </c>
      <c r="Y302">
        <v>3</v>
      </c>
      <c r="Z302">
        <v>3</v>
      </c>
      <c r="AA302">
        <v>3</v>
      </c>
      <c r="AB302">
        <v>3</v>
      </c>
      <c r="AC302">
        <v>4</v>
      </c>
      <c r="AD302">
        <v>0</v>
      </c>
      <c r="AE302">
        <v>0</v>
      </c>
      <c r="AF302">
        <v>3</v>
      </c>
      <c r="AG302">
        <v>3</v>
      </c>
      <c r="AH302">
        <v>3</v>
      </c>
      <c r="AI302">
        <v>4</v>
      </c>
      <c r="AJ302">
        <v>4</v>
      </c>
      <c r="AK302">
        <v>4</v>
      </c>
      <c r="AL302">
        <v>3</v>
      </c>
      <c r="AM302">
        <v>4</v>
      </c>
      <c r="AN302">
        <v>4</v>
      </c>
      <c r="AO302">
        <v>4</v>
      </c>
      <c r="AQ302">
        <v>0</v>
      </c>
      <c r="AR302" t="s">
        <v>69</v>
      </c>
      <c r="AT302">
        <v>0</v>
      </c>
      <c r="AU302" t="s">
        <v>69</v>
      </c>
      <c r="AV302">
        <v>2</v>
      </c>
      <c r="AW302">
        <v>3</v>
      </c>
      <c r="AX302" t="s">
        <v>69</v>
      </c>
      <c r="AY302" t="s">
        <v>83</v>
      </c>
      <c r="AZ302" t="s">
        <v>96</v>
      </c>
      <c r="BA302">
        <v>0</v>
      </c>
      <c r="BB302">
        <v>0</v>
      </c>
      <c r="BC302" t="s">
        <v>248</v>
      </c>
      <c r="BD302" t="s">
        <v>79</v>
      </c>
      <c r="BE302" t="s">
        <v>1880</v>
      </c>
      <c r="BF302" t="s">
        <v>157</v>
      </c>
      <c r="BG302" t="s">
        <v>248</v>
      </c>
      <c r="BH302" t="s">
        <v>79</v>
      </c>
      <c r="BI302" t="s">
        <v>1857</v>
      </c>
    </row>
    <row r="303" spans="1:61" x14ac:dyDescent="0.35">
      <c r="A303">
        <v>302</v>
      </c>
      <c r="B303">
        <v>45843.340752314813</v>
      </c>
      <c r="C303" t="s">
        <v>1881</v>
      </c>
      <c r="D303" t="s">
        <v>1882</v>
      </c>
      <c r="E303" t="s">
        <v>1883</v>
      </c>
      <c r="F303" t="s">
        <v>416</v>
      </c>
      <c r="G303" t="s">
        <v>1884</v>
      </c>
      <c r="H303" t="s">
        <v>242</v>
      </c>
      <c r="I303" t="s">
        <v>243</v>
      </c>
      <c r="J303" t="s">
        <v>1869</v>
      </c>
      <c r="K303" t="s">
        <v>1885</v>
      </c>
      <c r="L303" t="s">
        <v>69</v>
      </c>
      <c r="M303" t="s">
        <v>69</v>
      </c>
      <c r="N303" t="s">
        <v>69</v>
      </c>
      <c r="O303" t="s">
        <v>69</v>
      </c>
      <c r="P303" t="s">
        <v>106</v>
      </c>
      <c r="Q303" t="s">
        <v>1180</v>
      </c>
      <c r="R303" s="3" t="s">
        <v>1208</v>
      </c>
      <c r="S303">
        <v>55</v>
      </c>
      <c r="T303" t="s">
        <v>383</v>
      </c>
      <c r="U303" t="s">
        <v>73</v>
      </c>
      <c r="V303" t="s">
        <v>74</v>
      </c>
      <c r="W303" t="s">
        <v>74</v>
      </c>
      <c r="X303">
        <v>3</v>
      </c>
      <c r="Y303">
        <v>4</v>
      </c>
      <c r="Z303">
        <v>3</v>
      </c>
      <c r="AA303">
        <v>4</v>
      </c>
      <c r="AB303">
        <v>3</v>
      </c>
      <c r="AC303">
        <v>4</v>
      </c>
      <c r="AD303">
        <v>0</v>
      </c>
      <c r="AE303">
        <v>0</v>
      </c>
      <c r="AF303">
        <v>4</v>
      </c>
      <c r="AG303">
        <v>3</v>
      </c>
      <c r="AH303">
        <v>3</v>
      </c>
      <c r="AI303">
        <v>3</v>
      </c>
      <c r="AJ303">
        <v>3</v>
      </c>
      <c r="AK303">
        <v>4</v>
      </c>
      <c r="AL303">
        <v>3</v>
      </c>
      <c r="AM303">
        <v>4</v>
      </c>
      <c r="AN303">
        <v>3</v>
      </c>
      <c r="AO303">
        <v>3</v>
      </c>
      <c r="AQ303">
        <v>0</v>
      </c>
      <c r="AR303" t="s">
        <v>75</v>
      </c>
      <c r="AT303">
        <v>0</v>
      </c>
      <c r="AU303" t="s">
        <v>69</v>
      </c>
      <c r="AW303">
        <v>0</v>
      </c>
      <c r="AX303" t="s">
        <v>69</v>
      </c>
      <c r="AY303" t="s">
        <v>144</v>
      </c>
      <c r="AZ303" t="s">
        <v>144</v>
      </c>
      <c r="BA303">
        <v>2</v>
      </c>
      <c r="BB303">
        <v>3</v>
      </c>
      <c r="BC303" t="s">
        <v>248</v>
      </c>
      <c r="BD303" t="s">
        <v>79</v>
      </c>
      <c r="BE303" t="s">
        <v>1886</v>
      </c>
      <c r="BF303" t="s">
        <v>157</v>
      </c>
      <c r="BG303" t="s">
        <v>248</v>
      </c>
      <c r="BH303" t="s">
        <v>79</v>
      </c>
      <c r="BI303" t="s">
        <v>1857</v>
      </c>
    </row>
    <row r="304" spans="1:61" x14ac:dyDescent="0.35">
      <c r="A304">
        <v>303</v>
      </c>
      <c r="B304">
        <v>45843.343738425923</v>
      </c>
      <c r="C304" t="s">
        <v>1887</v>
      </c>
      <c r="D304" t="s">
        <v>1888</v>
      </c>
      <c r="E304" t="s">
        <v>63</v>
      </c>
      <c r="F304" t="s">
        <v>338</v>
      </c>
      <c r="G304" t="s">
        <v>1889</v>
      </c>
      <c r="H304" t="s">
        <v>242</v>
      </c>
      <c r="I304" t="s">
        <v>243</v>
      </c>
      <c r="J304" t="s">
        <v>1869</v>
      </c>
      <c r="K304" t="s">
        <v>1890</v>
      </c>
      <c r="L304" t="s">
        <v>69</v>
      </c>
      <c r="M304" t="s">
        <v>69</v>
      </c>
      <c r="N304" t="s">
        <v>69</v>
      </c>
      <c r="O304" t="s">
        <v>69</v>
      </c>
      <c r="P304" t="s">
        <v>70</v>
      </c>
      <c r="Q304" t="s">
        <v>1168</v>
      </c>
      <c r="R304" s="3" t="s">
        <v>272</v>
      </c>
      <c r="S304">
        <v>43</v>
      </c>
      <c r="T304" t="s">
        <v>197</v>
      </c>
      <c r="U304" t="s">
        <v>73</v>
      </c>
      <c r="V304" t="s">
        <v>1891</v>
      </c>
      <c r="W304" t="s">
        <v>110</v>
      </c>
      <c r="X304">
        <v>3</v>
      </c>
      <c r="Y304">
        <v>4</v>
      </c>
      <c r="Z304">
        <v>3</v>
      </c>
      <c r="AA304">
        <v>3</v>
      </c>
      <c r="AB304">
        <v>3</v>
      </c>
      <c r="AC304">
        <v>4</v>
      </c>
      <c r="AD304">
        <v>0</v>
      </c>
      <c r="AE304">
        <v>0</v>
      </c>
      <c r="AF304">
        <v>3</v>
      </c>
      <c r="AG304">
        <v>3</v>
      </c>
      <c r="AH304">
        <v>3</v>
      </c>
      <c r="AI304">
        <v>3</v>
      </c>
      <c r="AJ304">
        <v>4</v>
      </c>
      <c r="AK304">
        <v>3</v>
      </c>
      <c r="AL304">
        <v>3</v>
      </c>
      <c r="AM304">
        <v>3</v>
      </c>
      <c r="AN304">
        <v>3</v>
      </c>
      <c r="AO304">
        <v>3</v>
      </c>
      <c r="AQ304">
        <v>0</v>
      </c>
      <c r="AR304" t="s">
        <v>69</v>
      </c>
      <c r="AT304">
        <v>0</v>
      </c>
      <c r="AU304" t="s">
        <v>69</v>
      </c>
      <c r="AV304">
        <v>2</v>
      </c>
      <c r="AW304">
        <v>3</v>
      </c>
      <c r="AX304" t="s">
        <v>69</v>
      </c>
      <c r="AY304" t="s">
        <v>83</v>
      </c>
      <c r="AZ304" t="s">
        <v>96</v>
      </c>
      <c r="BA304">
        <v>0</v>
      </c>
      <c r="BB304">
        <v>0</v>
      </c>
      <c r="BC304" t="s">
        <v>248</v>
      </c>
      <c r="BD304" t="s">
        <v>79</v>
      </c>
      <c r="BE304" t="s">
        <v>248</v>
      </c>
      <c r="BF304" t="s">
        <v>79</v>
      </c>
      <c r="BG304" t="s">
        <v>248</v>
      </c>
      <c r="BH304" t="s">
        <v>79</v>
      </c>
      <c r="BI304" t="s">
        <v>1857</v>
      </c>
    </row>
    <row r="305" spans="1:61" x14ac:dyDescent="0.35">
      <c r="A305">
        <v>304</v>
      </c>
      <c r="B305">
        <v>45843.349664351852</v>
      </c>
      <c r="C305" t="s">
        <v>1892</v>
      </c>
      <c r="D305" t="s">
        <v>1893</v>
      </c>
      <c r="E305" t="s">
        <v>63</v>
      </c>
      <c r="F305" t="s">
        <v>338</v>
      </c>
      <c r="G305" t="s">
        <v>1894</v>
      </c>
      <c r="H305" t="s">
        <v>242</v>
      </c>
      <c r="I305" t="s">
        <v>243</v>
      </c>
      <c r="J305" t="s">
        <v>1634</v>
      </c>
      <c r="K305" t="s">
        <v>1895</v>
      </c>
      <c r="L305" t="s">
        <v>69</v>
      </c>
      <c r="M305" t="s">
        <v>69</v>
      </c>
      <c r="N305" t="s">
        <v>69</v>
      </c>
      <c r="O305" t="s">
        <v>69</v>
      </c>
      <c r="P305" t="s">
        <v>70</v>
      </c>
      <c r="Q305" t="s">
        <v>1168</v>
      </c>
      <c r="R305" s="3" t="s">
        <v>1045</v>
      </c>
      <c r="S305">
        <v>29</v>
      </c>
      <c r="T305" t="s">
        <v>92</v>
      </c>
      <c r="U305" t="s">
        <v>93</v>
      </c>
      <c r="V305" t="s">
        <v>74</v>
      </c>
      <c r="W305" t="s">
        <v>74</v>
      </c>
      <c r="X305">
        <v>3</v>
      </c>
      <c r="Y305">
        <v>3</v>
      </c>
      <c r="Z305">
        <v>3</v>
      </c>
      <c r="AA305">
        <v>3</v>
      </c>
      <c r="AB305">
        <v>2</v>
      </c>
      <c r="AC305">
        <v>3</v>
      </c>
      <c r="AD305">
        <v>0</v>
      </c>
      <c r="AE305">
        <v>0</v>
      </c>
      <c r="AF305">
        <v>3</v>
      </c>
      <c r="AG305">
        <v>3</v>
      </c>
      <c r="AH305">
        <v>3</v>
      </c>
      <c r="AI305">
        <v>3</v>
      </c>
      <c r="AJ305">
        <v>4</v>
      </c>
      <c r="AK305">
        <v>4</v>
      </c>
      <c r="AL305">
        <v>3</v>
      </c>
      <c r="AM305">
        <v>4</v>
      </c>
      <c r="AN305">
        <v>3</v>
      </c>
      <c r="AO305">
        <v>4</v>
      </c>
      <c r="AQ305">
        <v>0</v>
      </c>
      <c r="AR305" t="s">
        <v>69</v>
      </c>
      <c r="AS305">
        <v>2</v>
      </c>
      <c r="AT305">
        <v>3</v>
      </c>
      <c r="AU305" t="s">
        <v>69</v>
      </c>
      <c r="AW305">
        <v>0</v>
      </c>
      <c r="AX305" t="s">
        <v>69</v>
      </c>
      <c r="AY305" t="s">
        <v>83</v>
      </c>
      <c r="AZ305" t="s">
        <v>96</v>
      </c>
      <c r="BA305">
        <v>0</v>
      </c>
      <c r="BB305">
        <v>0</v>
      </c>
      <c r="BC305" t="s">
        <v>1896</v>
      </c>
      <c r="BD305" t="s">
        <v>433</v>
      </c>
      <c r="BE305" t="s">
        <v>1897</v>
      </c>
      <c r="BF305" t="s">
        <v>502</v>
      </c>
      <c r="BG305" t="s">
        <v>248</v>
      </c>
      <c r="BH305" t="s">
        <v>79</v>
      </c>
      <c r="BI305" t="s">
        <v>1898</v>
      </c>
    </row>
    <row r="306" spans="1:61" x14ac:dyDescent="0.35">
      <c r="A306">
        <v>305</v>
      </c>
      <c r="B306">
        <v>45843.356365740743</v>
      </c>
      <c r="C306" t="s">
        <v>1899</v>
      </c>
      <c r="D306" t="s">
        <v>1900</v>
      </c>
      <c r="E306" t="s">
        <v>63</v>
      </c>
      <c r="F306" t="s">
        <v>149</v>
      </c>
      <c r="G306" t="s">
        <v>1901</v>
      </c>
      <c r="H306" t="s">
        <v>242</v>
      </c>
      <c r="I306" t="s">
        <v>243</v>
      </c>
      <c r="J306" t="s">
        <v>1869</v>
      </c>
      <c r="K306" t="s">
        <v>1902</v>
      </c>
      <c r="L306" t="s">
        <v>69</v>
      </c>
      <c r="M306" t="s">
        <v>69</v>
      </c>
      <c r="N306" t="s">
        <v>69</v>
      </c>
      <c r="O306" t="s">
        <v>69</v>
      </c>
      <c r="P306" t="s">
        <v>70</v>
      </c>
      <c r="Q306" t="s">
        <v>1168</v>
      </c>
      <c r="R306" s="3" t="s">
        <v>561</v>
      </c>
      <c r="S306">
        <v>45</v>
      </c>
      <c r="T306" t="s">
        <v>197</v>
      </c>
      <c r="U306" t="s">
        <v>73</v>
      </c>
      <c r="V306" t="s">
        <v>232</v>
      </c>
      <c r="W306" t="s">
        <v>232</v>
      </c>
      <c r="X306">
        <v>3</v>
      </c>
      <c r="Y306">
        <v>3</v>
      </c>
      <c r="Z306">
        <v>3</v>
      </c>
      <c r="AA306">
        <v>3</v>
      </c>
      <c r="AB306">
        <v>3</v>
      </c>
      <c r="AC306">
        <v>3</v>
      </c>
      <c r="AD306">
        <v>0</v>
      </c>
      <c r="AE306">
        <v>0</v>
      </c>
      <c r="AF306">
        <v>3</v>
      </c>
      <c r="AG306">
        <v>3</v>
      </c>
      <c r="AH306">
        <v>3</v>
      </c>
      <c r="AI306">
        <v>4</v>
      </c>
      <c r="AJ306">
        <v>4</v>
      </c>
      <c r="AK306">
        <v>4</v>
      </c>
      <c r="AL306">
        <v>3</v>
      </c>
      <c r="AM306">
        <v>4</v>
      </c>
      <c r="AN306">
        <v>3</v>
      </c>
      <c r="AO306">
        <v>4</v>
      </c>
      <c r="AQ306">
        <v>0</v>
      </c>
      <c r="AR306" t="s">
        <v>69</v>
      </c>
      <c r="AT306">
        <v>0</v>
      </c>
      <c r="AU306" t="s">
        <v>69</v>
      </c>
      <c r="AV306">
        <v>2</v>
      </c>
      <c r="AW306">
        <v>3</v>
      </c>
      <c r="AX306" t="s">
        <v>69</v>
      </c>
      <c r="AY306" t="s">
        <v>83</v>
      </c>
      <c r="AZ306" t="s">
        <v>96</v>
      </c>
      <c r="BA306">
        <v>0</v>
      </c>
      <c r="BB306">
        <v>0</v>
      </c>
      <c r="BC306" t="s">
        <v>248</v>
      </c>
      <c r="BD306" t="s">
        <v>79</v>
      </c>
      <c r="BE306" t="s">
        <v>248</v>
      </c>
      <c r="BF306" t="s">
        <v>79</v>
      </c>
      <c r="BG306" t="s">
        <v>1903</v>
      </c>
      <c r="BH306" t="s">
        <v>237</v>
      </c>
      <c r="BI306" t="s">
        <v>1857</v>
      </c>
    </row>
    <row r="307" spans="1:61" x14ac:dyDescent="0.35">
      <c r="A307">
        <v>306</v>
      </c>
      <c r="B307">
        <v>45843.360578703701</v>
      </c>
      <c r="C307" t="s">
        <v>1904</v>
      </c>
      <c r="D307" t="s">
        <v>1905</v>
      </c>
      <c r="E307" t="s">
        <v>772</v>
      </c>
      <c r="F307" t="s">
        <v>1906</v>
      </c>
      <c r="G307" t="s">
        <v>1907</v>
      </c>
      <c r="H307" t="s">
        <v>242</v>
      </c>
      <c r="I307" t="s">
        <v>243</v>
      </c>
      <c r="J307" t="s">
        <v>1869</v>
      </c>
      <c r="K307" t="s">
        <v>512</v>
      </c>
      <c r="L307" t="s">
        <v>69</v>
      </c>
      <c r="M307" t="s">
        <v>69</v>
      </c>
      <c r="N307" t="s">
        <v>69</v>
      </c>
      <c r="O307" t="s">
        <v>69</v>
      </c>
      <c r="P307" t="s">
        <v>70</v>
      </c>
      <c r="Q307" t="s">
        <v>1168</v>
      </c>
      <c r="R307" s="3" t="s">
        <v>272</v>
      </c>
      <c r="S307">
        <v>43</v>
      </c>
      <c r="T307" t="s">
        <v>197</v>
      </c>
      <c r="U307" t="s">
        <v>73</v>
      </c>
      <c r="V307" t="s">
        <v>232</v>
      </c>
      <c r="W307" t="s">
        <v>232</v>
      </c>
      <c r="X307">
        <v>3</v>
      </c>
      <c r="Y307">
        <v>3</v>
      </c>
      <c r="Z307">
        <v>3</v>
      </c>
      <c r="AA307">
        <v>3</v>
      </c>
      <c r="AB307">
        <v>2</v>
      </c>
      <c r="AC307">
        <v>4</v>
      </c>
      <c r="AD307">
        <v>0</v>
      </c>
      <c r="AE307">
        <v>0</v>
      </c>
      <c r="AF307">
        <v>3</v>
      </c>
      <c r="AG307">
        <v>3</v>
      </c>
      <c r="AH307">
        <v>4</v>
      </c>
      <c r="AI307">
        <v>3</v>
      </c>
      <c r="AJ307">
        <v>4</v>
      </c>
      <c r="AK307">
        <v>4</v>
      </c>
      <c r="AL307">
        <v>3</v>
      </c>
      <c r="AM307">
        <v>4</v>
      </c>
      <c r="AN307">
        <v>3</v>
      </c>
      <c r="AO307">
        <v>4</v>
      </c>
      <c r="AQ307">
        <v>0</v>
      </c>
      <c r="AR307" t="s">
        <v>69</v>
      </c>
      <c r="AT307">
        <v>0</v>
      </c>
      <c r="AU307" t="s">
        <v>69</v>
      </c>
      <c r="AW307">
        <v>0</v>
      </c>
      <c r="AX307" t="s">
        <v>69</v>
      </c>
      <c r="AY307" t="s">
        <v>1908</v>
      </c>
      <c r="AZ307" t="s">
        <v>77</v>
      </c>
      <c r="BA307">
        <v>2</v>
      </c>
      <c r="BB307">
        <v>3</v>
      </c>
      <c r="BC307" t="s">
        <v>278</v>
      </c>
      <c r="BD307" t="s">
        <v>79</v>
      </c>
      <c r="BE307" t="s">
        <v>1909</v>
      </c>
      <c r="BF307" t="s">
        <v>502</v>
      </c>
      <c r="BG307" t="s">
        <v>248</v>
      </c>
      <c r="BH307" t="s">
        <v>79</v>
      </c>
      <c r="BI307" t="s">
        <v>1910</v>
      </c>
    </row>
    <row r="308" spans="1:61" x14ac:dyDescent="0.35">
      <c r="A308">
        <v>307</v>
      </c>
      <c r="B308">
        <v>45843.372546296298</v>
      </c>
      <c r="C308" t="s">
        <v>1911</v>
      </c>
      <c r="D308" t="s">
        <v>1912</v>
      </c>
      <c r="E308" t="s">
        <v>63</v>
      </c>
      <c r="F308" t="s">
        <v>63</v>
      </c>
      <c r="G308" t="s">
        <v>1913</v>
      </c>
      <c r="H308" t="s">
        <v>242</v>
      </c>
      <c r="I308" t="s">
        <v>243</v>
      </c>
      <c r="J308" t="s">
        <v>1869</v>
      </c>
      <c r="K308" t="s">
        <v>1914</v>
      </c>
      <c r="L308" t="s">
        <v>69</v>
      </c>
      <c r="M308" t="s">
        <v>69</v>
      </c>
      <c r="N308" t="s">
        <v>69</v>
      </c>
      <c r="O308" t="s">
        <v>69</v>
      </c>
      <c r="P308" t="s">
        <v>70</v>
      </c>
      <c r="Q308" t="s">
        <v>1168</v>
      </c>
      <c r="R308" s="3" t="s">
        <v>1160</v>
      </c>
      <c r="S308">
        <v>56</v>
      </c>
      <c r="T308" t="s">
        <v>182</v>
      </c>
      <c r="U308" t="s">
        <v>93</v>
      </c>
      <c r="V308" t="s">
        <v>232</v>
      </c>
      <c r="W308" t="s">
        <v>232</v>
      </c>
      <c r="X308">
        <v>3</v>
      </c>
      <c r="Y308">
        <v>4</v>
      </c>
      <c r="Z308">
        <v>3</v>
      </c>
      <c r="AA308">
        <v>3</v>
      </c>
      <c r="AB308">
        <v>3</v>
      </c>
      <c r="AC308">
        <v>3</v>
      </c>
      <c r="AD308">
        <v>0</v>
      </c>
      <c r="AE308">
        <v>0</v>
      </c>
      <c r="AF308">
        <v>2</v>
      </c>
      <c r="AG308">
        <v>3</v>
      </c>
      <c r="AH308">
        <v>1</v>
      </c>
      <c r="AI308">
        <v>4</v>
      </c>
      <c r="AJ308">
        <v>2</v>
      </c>
      <c r="AK308">
        <v>4</v>
      </c>
      <c r="AL308">
        <v>2</v>
      </c>
      <c r="AM308">
        <v>4</v>
      </c>
      <c r="AN308">
        <v>3</v>
      </c>
      <c r="AO308">
        <v>3</v>
      </c>
      <c r="AQ308">
        <v>0</v>
      </c>
      <c r="AR308" t="s">
        <v>69</v>
      </c>
      <c r="AT308">
        <v>0</v>
      </c>
      <c r="AU308" t="s">
        <v>69</v>
      </c>
      <c r="AW308">
        <v>0</v>
      </c>
      <c r="AX308" t="s">
        <v>69</v>
      </c>
      <c r="AY308" t="s">
        <v>1915</v>
      </c>
      <c r="AZ308" t="s">
        <v>77</v>
      </c>
      <c r="BA308">
        <v>2</v>
      </c>
      <c r="BB308">
        <v>3</v>
      </c>
      <c r="BC308" t="s">
        <v>1916</v>
      </c>
      <c r="BD308" t="s">
        <v>235</v>
      </c>
      <c r="BE308" t="s">
        <v>1917</v>
      </c>
      <c r="BF308" t="s">
        <v>112</v>
      </c>
      <c r="BG308" t="s">
        <v>278</v>
      </c>
      <c r="BH308" t="s">
        <v>79</v>
      </c>
      <c r="BI308" t="s">
        <v>1857</v>
      </c>
    </row>
    <row r="309" spans="1:61" x14ac:dyDescent="0.35">
      <c r="A309">
        <v>308</v>
      </c>
      <c r="B309">
        <v>45843.375520833331</v>
      </c>
      <c r="C309" t="s">
        <v>1918</v>
      </c>
      <c r="D309" t="s">
        <v>1919</v>
      </c>
      <c r="E309" t="s">
        <v>63</v>
      </c>
      <c r="F309" t="s">
        <v>63</v>
      </c>
      <c r="G309" t="s">
        <v>1920</v>
      </c>
      <c r="H309" t="s">
        <v>242</v>
      </c>
      <c r="I309" t="s">
        <v>243</v>
      </c>
      <c r="J309" t="s">
        <v>1869</v>
      </c>
      <c r="K309" t="s">
        <v>1921</v>
      </c>
      <c r="L309" t="s">
        <v>69</v>
      </c>
      <c r="M309" t="s">
        <v>69</v>
      </c>
      <c r="N309" t="s">
        <v>69</v>
      </c>
      <c r="O309" t="s">
        <v>69</v>
      </c>
      <c r="P309" t="s">
        <v>106</v>
      </c>
      <c r="Q309" t="s">
        <v>1168</v>
      </c>
      <c r="R309" s="3" t="s">
        <v>884</v>
      </c>
      <c r="S309">
        <v>38</v>
      </c>
      <c r="T309" t="s">
        <v>153</v>
      </c>
      <c r="U309" t="s">
        <v>73</v>
      </c>
      <c r="V309" t="s">
        <v>74</v>
      </c>
      <c r="W309" t="s">
        <v>74</v>
      </c>
      <c r="X309">
        <v>3</v>
      </c>
      <c r="Y309">
        <v>3</v>
      </c>
      <c r="Z309">
        <v>3</v>
      </c>
      <c r="AA309">
        <v>3</v>
      </c>
      <c r="AB309">
        <v>4</v>
      </c>
      <c r="AC309">
        <v>4</v>
      </c>
      <c r="AD309">
        <v>0</v>
      </c>
      <c r="AE309">
        <v>0</v>
      </c>
      <c r="AF309">
        <v>4</v>
      </c>
      <c r="AG309">
        <v>4</v>
      </c>
      <c r="AH309">
        <v>3</v>
      </c>
      <c r="AI309">
        <v>4</v>
      </c>
      <c r="AJ309">
        <v>3</v>
      </c>
      <c r="AK309">
        <v>4</v>
      </c>
      <c r="AL309">
        <v>3</v>
      </c>
      <c r="AM309">
        <v>4</v>
      </c>
      <c r="AN309">
        <v>4</v>
      </c>
      <c r="AO309">
        <v>3</v>
      </c>
      <c r="AQ309">
        <v>0</v>
      </c>
      <c r="AR309" t="s">
        <v>69</v>
      </c>
      <c r="AT309">
        <v>0</v>
      </c>
      <c r="AU309" t="s">
        <v>69</v>
      </c>
      <c r="AV309">
        <v>2</v>
      </c>
      <c r="AW309">
        <v>3</v>
      </c>
      <c r="AX309" t="s">
        <v>75</v>
      </c>
      <c r="AY309" t="s">
        <v>83</v>
      </c>
      <c r="AZ309" t="s">
        <v>96</v>
      </c>
      <c r="BA309">
        <v>0</v>
      </c>
      <c r="BB309">
        <v>0</v>
      </c>
      <c r="BC309" t="s">
        <v>248</v>
      </c>
      <c r="BD309" t="s">
        <v>79</v>
      </c>
      <c r="BE309" t="s">
        <v>248</v>
      </c>
      <c r="BF309" t="s">
        <v>79</v>
      </c>
      <c r="BG309" t="s">
        <v>248</v>
      </c>
      <c r="BH309" t="s">
        <v>79</v>
      </c>
      <c r="BI309" t="s">
        <v>1857</v>
      </c>
    </row>
    <row r="310" spans="1:61" x14ac:dyDescent="0.35">
      <c r="A310">
        <v>309</v>
      </c>
      <c r="B310">
        <v>45843.378668981481</v>
      </c>
      <c r="C310" t="s">
        <v>1922</v>
      </c>
      <c r="D310" t="s">
        <v>1923</v>
      </c>
      <c r="E310" t="s">
        <v>772</v>
      </c>
      <c r="F310" t="s">
        <v>1924</v>
      </c>
      <c r="G310" t="s">
        <v>1925</v>
      </c>
      <c r="H310" t="s">
        <v>242</v>
      </c>
      <c r="I310" t="s">
        <v>243</v>
      </c>
      <c r="J310" t="s">
        <v>1869</v>
      </c>
      <c r="K310" t="s">
        <v>105</v>
      </c>
      <c r="L310" t="s">
        <v>69</v>
      </c>
      <c r="M310" t="s">
        <v>69</v>
      </c>
      <c r="N310" t="s">
        <v>69</v>
      </c>
      <c r="O310" t="s">
        <v>69</v>
      </c>
      <c r="P310" t="s">
        <v>106</v>
      </c>
      <c r="Q310" t="s">
        <v>1168</v>
      </c>
      <c r="R310" s="3" t="s">
        <v>404</v>
      </c>
      <c r="S310">
        <v>42</v>
      </c>
      <c r="T310" t="s">
        <v>197</v>
      </c>
      <c r="U310" t="s">
        <v>73</v>
      </c>
      <c r="V310" t="s">
        <v>110</v>
      </c>
      <c r="W310" t="s">
        <v>110</v>
      </c>
      <c r="X310">
        <v>3</v>
      </c>
      <c r="Y310">
        <v>3</v>
      </c>
      <c r="Z310">
        <v>3</v>
      </c>
      <c r="AA310">
        <v>3</v>
      </c>
      <c r="AB310">
        <v>3</v>
      </c>
      <c r="AC310">
        <v>3</v>
      </c>
      <c r="AD310">
        <v>0</v>
      </c>
      <c r="AE310">
        <v>0</v>
      </c>
      <c r="AF310">
        <v>3</v>
      </c>
      <c r="AG310">
        <v>4</v>
      </c>
      <c r="AH310">
        <v>3</v>
      </c>
      <c r="AI310">
        <v>3</v>
      </c>
      <c r="AJ310">
        <v>3</v>
      </c>
      <c r="AK310">
        <v>3</v>
      </c>
      <c r="AL310">
        <v>3</v>
      </c>
      <c r="AM310">
        <v>3</v>
      </c>
      <c r="AN310">
        <v>3</v>
      </c>
      <c r="AO310">
        <v>3</v>
      </c>
      <c r="AQ310">
        <v>0</v>
      </c>
      <c r="AR310" t="s">
        <v>69</v>
      </c>
      <c r="AT310">
        <v>0</v>
      </c>
      <c r="AU310" t="s">
        <v>69</v>
      </c>
      <c r="AW310">
        <v>0</v>
      </c>
      <c r="AX310" t="s">
        <v>69</v>
      </c>
      <c r="AY310" t="s">
        <v>144</v>
      </c>
      <c r="AZ310" t="s">
        <v>144</v>
      </c>
      <c r="BA310">
        <v>1</v>
      </c>
      <c r="BB310">
        <v>4</v>
      </c>
      <c r="BC310" t="s">
        <v>248</v>
      </c>
      <c r="BD310" t="s">
        <v>79</v>
      </c>
      <c r="BE310" t="s">
        <v>1926</v>
      </c>
      <c r="BF310" t="s">
        <v>157</v>
      </c>
      <c r="BG310" t="s">
        <v>802</v>
      </c>
      <c r="BH310" t="s">
        <v>79</v>
      </c>
      <c r="BI310" t="s">
        <v>1857</v>
      </c>
    </row>
    <row r="311" spans="1:61" x14ac:dyDescent="0.35">
      <c r="A311">
        <v>310</v>
      </c>
      <c r="B311">
        <v>45843.383981481478</v>
      </c>
      <c r="C311" t="s">
        <v>1927</v>
      </c>
      <c r="D311" t="s">
        <v>1928</v>
      </c>
      <c r="E311" t="s">
        <v>63</v>
      </c>
      <c r="F311" t="s">
        <v>136</v>
      </c>
      <c r="G311" t="s">
        <v>1929</v>
      </c>
      <c r="H311" t="s">
        <v>242</v>
      </c>
      <c r="I311" t="s">
        <v>243</v>
      </c>
      <c r="J311" t="s">
        <v>1869</v>
      </c>
      <c r="K311" t="s">
        <v>1930</v>
      </c>
      <c r="L311" t="s">
        <v>69</v>
      </c>
      <c r="M311" t="s">
        <v>69</v>
      </c>
      <c r="N311" t="s">
        <v>69</v>
      </c>
      <c r="O311" t="s">
        <v>69</v>
      </c>
      <c r="P311" t="s">
        <v>70</v>
      </c>
      <c r="Q311" t="s">
        <v>1168</v>
      </c>
      <c r="R311" s="3" t="s">
        <v>108</v>
      </c>
      <c r="S311">
        <v>32</v>
      </c>
      <c r="T311" t="s">
        <v>109</v>
      </c>
      <c r="U311" t="s">
        <v>73</v>
      </c>
      <c r="V311" t="s">
        <v>232</v>
      </c>
      <c r="W311" t="s">
        <v>232</v>
      </c>
      <c r="X311">
        <v>3</v>
      </c>
      <c r="Y311">
        <v>3</v>
      </c>
      <c r="Z311">
        <v>3</v>
      </c>
      <c r="AA311">
        <v>3</v>
      </c>
      <c r="AB311">
        <v>3</v>
      </c>
      <c r="AC311">
        <v>4</v>
      </c>
      <c r="AD311">
        <v>0</v>
      </c>
      <c r="AE311">
        <v>0</v>
      </c>
      <c r="AF311">
        <v>3</v>
      </c>
      <c r="AG311">
        <v>4</v>
      </c>
      <c r="AH311">
        <v>3</v>
      </c>
      <c r="AI311">
        <v>4</v>
      </c>
      <c r="AJ311">
        <v>3</v>
      </c>
      <c r="AK311">
        <v>4</v>
      </c>
      <c r="AL311">
        <v>3</v>
      </c>
      <c r="AM311">
        <v>4</v>
      </c>
      <c r="AN311">
        <v>3</v>
      </c>
      <c r="AO311">
        <v>4</v>
      </c>
      <c r="AQ311">
        <v>0</v>
      </c>
      <c r="AR311" t="s">
        <v>69</v>
      </c>
      <c r="AT311">
        <v>0</v>
      </c>
      <c r="AU311" t="s">
        <v>69</v>
      </c>
      <c r="AW311">
        <v>0</v>
      </c>
      <c r="AX311" t="s">
        <v>69</v>
      </c>
      <c r="AY311" t="s">
        <v>144</v>
      </c>
      <c r="AZ311" t="s">
        <v>144</v>
      </c>
      <c r="BA311">
        <v>2</v>
      </c>
      <c r="BB311">
        <v>3</v>
      </c>
      <c r="BC311" t="s">
        <v>248</v>
      </c>
      <c r="BD311" t="s">
        <v>79</v>
      </c>
      <c r="BE311" t="s">
        <v>1931</v>
      </c>
      <c r="BF311" t="s">
        <v>112</v>
      </c>
      <c r="BG311" t="s">
        <v>248</v>
      </c>
      <c r="BH311" t="s">
        <v>79</v>
      </c>
      <c r="BI311" t="s">
        <v>1898</v>
      </c>
    </row>
    <row r="312" spans="1:61" x14ac:dyDescent="0.35">
      <c r="A312">
        <v>311</v>
      </c>
      <c r="B312">
        <v>45843.389965277776</v>
      </c>
      <c r="C312" t="s">
        <v>1932</v>
      </c>
      <c r="D312" t="s">
        <v>1933</v>
      </c>
      <c r="E312" t="s">
        <v>63</v>
      </c>
      <c r="F312" t="s">
        <v>397</v>
      </c>
      <c r="G312" t="s">
        <v>1934</v>
      </c>
      <c r="H312" t="s">
        <v>138</v>
      </c>
      <c r="I312" t="s">
        <v>139</v>
      </c>
      <c r="J312" t="s">
        <v>1869</v>
      </c>
      <c r="K312" t="s">
        <v>1935</v>
      </c>
      <c r="L312" t="s">
        <v>69</v>
      </c>
      <c r="M312" t="s">
        <v>69</v>
      </c>
      <c r="N312" t="s">
        <v>69</v>
      </c>
      <c r="O312" t="s">
        <v>69</v>
      </c>
      <c r="P312" t="s">
        <v>70</v>
      </c>
      <c r="Q312" t="s">
        <v>1168</v>
      </c>
      <c r="R312" s="3" t="s">
        <v>1208</v>
      </c>
      <c r="S312">
        <v>55</v>
      </c>
      <c r="T312" t="s">
        <v>383</v>
      </c>
      <c r="U312" t="s">
        <v>273</v>
      </c>
      <c r="V312" t="s">
        <v>74</v>
      </c>
      <c r="W312" t="s">
        <v>74</v>
      </c>
      <c r="X312">
        <v>3</v>
      </c>
      <c r="Y312">
        <v>3</v>
      </c>
      <c r="Z312">
        <v>3</v>
      </c>
      <c r="AA312">
        <v>3</v>
      </c>
      <c r="AB312">
        <v>3</v>
      </c>
      <c r="AC312">
        <v>3</v>
      </c>
      <c r="AD312">
        <v>0</v>
      </c>
      <c r="AE312">
        <v>0</v>
      </c>
      <c r="AF312">
        <v>3</v>
      </c>
      <c r="AG312">
        <v>3</v>
      </c>
      <c r="AH312">
        <v>3</v>
      </c>
      <c r="AI312">
        <v>3</v>
      </c>
      <c r="AJ312">
        <v>3</v>
      </c>
      <c r="AK312">
        <v>3</v>
      </c>
      <c r="AL312">
        <v>3</v>
      </c>
      <c r="AM312">
        <v>3</v>
      </c>
      <c r="AN312">
        <v>3</v>
      </c>
      <c r="AO312">
        <v>4</v>
      </c>
      <c r="AQ312">
        <v>0</v>
      </c>
      <c r="AR312" t="s">
        <v>69</v>
      </c>
      <c r="AT312">
        <v>0</v>
      </c>
      <c r="AU312" t="s">
        <v>69</v>
      </c>
      <c r="AW312">
        <v>0</v>
      </c>
      <c r="AX312" t="s">
        <v>69</v>
      </c>
      <c r="AY312" t="s">
        <v>379</v>
      </c>
      <c r="AZ312" t="s">
        <v>77</v>
      </c>
      <c r="BA312">
        <v>2</v>
      </c>
      <c r="BB312">
        <v>3</v>
      </c>
      <c r="BC312" t="s">
        <v>248</v>
      </c>
      <c r="BD312" t="s">
        <v>79</v>
      </c>
      <c r="BE312" t="s">
        <v>248</v>
      </c>
      <c r="BF312" t="s">
        <v>79</v>
      </c>
      <c r="BG312" t="s">
        <v>248</v>
      </c>
      <c r="BH312" t="s">
        <v>79</v>
      </c>
      <c r="BI312" t="s">
        <v>1898</v>
      </c>
    </row>
    <row r="313" spans="1:61" x14ac:dyDescent="0.35">
      <c r="A313">
        <v>312</v>
      </c>
      <c r="B313">
        <v>45843.39912037037</v>
      </c>
      <c r="C313" t="s">
        <v>1936</v>
      </c>
      <c r="D313" t="s">
        <v>1937</v>
      </c>
      <c r="E313" t="s">
        <v>63</v>
      </c>
      <c r="F313" t="s">
        <v>136</v>
      </c>
      <c r="G313" t="s">
        <v>1938</v>
      </c>
      <c r="H313" t="s">
        <v>210</v>
      </c>
      <c r="I313" t="s">
        <v>211</v>
      </c>
      <c r="J313" t="s">
        <v>1869</v>
      </c>
      <c r="K313" t="s">
        <v>1939</v>
      </c>
      <c r="L313" t="s">
        <v>69</v>
      </c>
      <c r="M313" t="s">
        <v>69</v>
      </c>
      <c r="N313" t="s">
        <v>69</v>
      </c>
      <c r="O313" t="s">
        <v>69</v>
      </c>
      <c r="P313" t="s">
        <v>106</v>
      </c>
      <c r="Q313" t="s">
        <v>1168</v>
      </c>
      <c r="R313" s="3" t="s">
        <v>1006</v>
      </c>
      <c r="S313">
        <v>26</v>
      </c>
      <c r="T313" t="s">
        <v>92</v>
      </c>
      <c r="U313" t="s">
        <v>73</v>
      </c>
      <c r="V313" t="s">
        <v>1853</v>
      </c>
      <c r="W313" t="s">
        <v>1853</v>
      </c>
      <c r="X313">
        <v>3</v>
      </c>
      <c r="Y313">
        <v>4</v>
      </c>
      <c r="Z313">
        <v>3</v>
      </c>
      <c r="AA313">
        <v>3</v>
      </c>
      <c r="AB313">
        <v>3</v>
      </c>
      <c r="AC313">
        <v>3</v>
      </c>
      <c r="AD313">
        <v>0</v>
      </c>
      <c r="AE313">
        <v>0</v>
      </c>
      <c r="AF313">
        <v>3</v>
      </c>
      <c r="AG313">
        <v>3</v>
      </c>
      <c r="AH313">
        <v>3</v>
      </c>
      <c r="AI313">
        <v>3</v>
      </c>
      <c r="AJ313">
        <v>3</v>
      </c>
      <c r="AK313">
        <v>3</v>
      </c>
      <c r="AL313">
        <v>3</v>
      </c>
      <c r="AM313">
        <v>3</v>
      </c>
      <c r="AN313">
        <v>3</v>
      </c>
      <c r="AO313">
        <v>4</v>
      </c>
      <c r="AQ313">
        <v>0</v>
      </c>
      <c r="AR313" t="s">
        <v>69</v>
      </c>
      <c r="AT313">
        <v>0</v>
      </c>
      <c r="AU313" t="s">
        <v>69</v>
      </c>
      <c r="AW313">
        <v>0</v>
      </c>
      <c r="AX313" t="s">
        <v>69</v>
      </c>
      <c r="AY313" t="s">
        <v>1499</v>
      </c>
      <c r="AZ313" t="s">
        <v>450</v>
      </c>
      <c r="BA313">
        <v>2</v>
      </c>
      <c r="BB313">
        <v>3</v>
      </c>
      <c r="BC313" t="s">
        <v>278</v>
      </c>
      <c r="BD313" t="s">
        <v>79</v>
      </c>
      <c r="BE313" t="s">
        <v>1940</v>
      </c>
      <c r="BF313" t="s">
        <v>157</v>
      </c>
      <c r="BG313" t="s">
        <v>278</v>
      </c>
      <c r="BH313" t="s">
        <v>79</v>
      </c>
      <c r="BI313" t="s">
        <v>1857</v>
      </c>
    </row>
    <row r="314" spans="1:61" x14ac:dyDescent="0.35">
      <c r="A314">
        <v>313</v>
      </c>
      <c r="B314">
        <v>45843.413171296299</v>
      </c>
      <c r="C314" t="s">
        <v>1941</v>
      </c>
      <c r="D314" t="s">
        <v>1942</v>
      </c>
      <c r="E314" t="s">
        <v>63</v>
      </c>
      <c r="F314" t="s">
        <v>480</v>
      </c>
      <c r="G314" t="s">
        <v>1943</v>
      </c>
      <c r="H314" t="s">
        <v>981</v>
      </c>
      <c r="I314" t="s">
        <v>982</v>
      </c>
      <c r="J314" t="s">
        <v>1944</v>
      </c>
      <c r="K314" t="s">
        <v>1945</v>
      </c>
      <c r="L314" t="s">
        <v>69</v>
      </c>
      <c r="M314" t="s">
        <v>69</v>
      </c>
      <c r="N314" t="s">
        <v>69</v>
      </c>
      <c r="O314" t="s">
        <v>69</v>
      </c>
      <c r="P314" t="s">
        <v>106</v>
      </c>
      <c r="Q314" t="s">
        <v>1168</v>
      </c>
      <c r="R314" s="3" t="s">
        <v>884</v>
      </c>
      <c r="S314">
        <v>38</v>
      </c>
      <c r="T314" t="s">
        <v>153</v>
      </c>
      <c r="U314" t="s">
        <v>73</v>
      </c>
      <c r="V314" t="s">
        <v>74</v>
      </c>
      <c r="W314" t="s">
        <v>74</v>
      </c>
      <c r="X314">
        <v>4</v>
      </c>
      <c r="Y314">
        <v>3</v>
      </c>
      <c r="Z314">
        <v>4</v>
      </c>
      <c r="AA314">
        <v>3</v>
      </c>
      <c r="AB314">
        <v>3</v>
      </c>
      <c r="AC314">
        <v>4</v>
      </c>
      <c r="AD314">
        <v>0</v>
      </c>
      <c r="AE314">
        <v>0</v>
      </c>
      <c r="AF314">
        <v>4</v>
      </c>
      <c r="AG314">
        <v>4</v>
      </c>
      <c r="AH314">
        <v>4</v>
      </c>
      <c r="AI314">
        <v>4</v>
      </c>
      <c r="AJ314">
        <v>4</v>
      </c>
      <c r="AK314">
        <v>3</v>
      </c>
      <c r="AL314">
        <v>4</v>
      </c>
      <c r="AM314">
        <v>4</v>
      </c>
      <c r="AN314">
        <v>4</v>
      </c>
      <c r="AO314">
        <v>3</v>
      </c>
      <c r="AQ314">
        <v>0</v>
      </c>
      <c r="AR314" t="s">
        <v>69</v>
      </c>
      <c r="AT314">
        <v>0</v>
      </c>
      <c r="AU314" t="s">
        <v>69</v>
      </c>
      <c r="AV314">
        <v>1</v>
      </c>
      <c r="AW314">
        <v>4</v>
      </c>
      <c r="AX314" t="s">
        <v>75</v>
      </c>
      <c r="AY314" t="s">
        <v>83</v>
      </c>
      <c r="AZ314" t="s">
        <v>96</v>
      </c>
      <c r="BA314">
        <v>0</v>
      </c>
      <c r="BB314">
        <v>0</v>
      </c>
      <c r="BC314" t="s">
        <v>985</v>
      </c>
      <c r="BD314" t="s">
        <v>79</v>
      </c>
      <c r="BE314" t="s">
        <v>1946</v>
      </c>
      <c r="BF314" t="s">
        <v>157</v>
      </c>
      <c r="BG314" t="s">
        <v>985</v>
      </c>
      <c r="BH314" t="s">
        <v>79</v>
      </c>
      <c r="BI314" t="s">
        <v>83</v>
      </c>
    </row>
    <row r="315" spans="1:61" x14ac:dyDescent="0.35">
      <c r="A315">
        <v>314</v>
      </c>
      <c r="B315">
        <v>45843.463726851849</v>
      </c>
      <c r="C315" t="s">
        <v>1947</v>
      </c>
      <c r="D315" t="s">
        <v>1948</v>
      </c>
      <c r="E315" t="s">
        <v>63</v>
      </c>
      <c r="F315" t="s">
        <v>480</v>
      </c>
      <c r="G315" t="s">
        <v>1949</v>
      </c>
      <c r="H315" t="s">
        <v>981</v>
      </c>
      <c r="I315" t="s">
        <v>982</v>
      </c>
      <c r="J315" t="s">
        <v>1950</v>
      </c>
      <c r="K315" t="s">
        <v>1116</v>
      </c>
      <c r="L315" t="s">
        <v>69</v>
      </c>
      <c r="M315" t="s">
        <v>69</v>
      </c>
      <c r="N315" t="s">
        <v>69</v>
      </c>
      <c r="O315" t="s">
        <v>69</v>
      </c>
      <c r="P315" t="s">
        <v>106</v>
      </c>
      <c r="Q315" t="s">
        <v>1168</v>
      </c>
      <c r="R315" s="3" t="s">
        <v>1160</v>
      </c>
      <c r="S315">
        <v>56</v>
      </c>
      <c r="T315" t="s">
        <v>182</v>
      </c>
      <c r="U315" t="s">
        <v>93</v>
      </c>
      <c r="V315" t="s">
        <v>110</v>
      </c>
      <c r="W315" t="s">
        <v>110</v>
      </c>
      <c r="X315">
        <v>3</v>
      </c>
      <c r="Y315">
        <v>3</v>
      </c>
      <c r="Z315">
        <v>2</v>
      </c>
      <c r="AA315">
        <v>3</v>
      </c>
      <c r="AB315">
        <v>2</v>
      </c>
      <c r="AC315">
        <v>4</v>
      </c>
      <c r="AD315">
        <v>0</v>
      </c>
      <c r="AE315">
        <v>0</v>
      </c>
      <c r="AF315">
        <v>3</v>
      </c>
      <c r="AG315">
        <v>4</v>
      </c>
      <c r="AH315">
        <v>3</v>
      </c>
      <c r="AI315">
        <v>4</v>
      </c>
      <c r="AJ315">
        <v>4</v>
      </c>
      <c r="AK315">
        <v>3</v>
      </c>
      <c r="AL315">
        <v>4</v>
      </c>
      <c r="AM315">
        <v>3</v>
      </c>
      <c r="AN315">
        <v>4</v>
      </c>
      <c r="AO315">
        <v>3</v>
      </c>
      <c r="AP315">
        <v>1</v>
      </c>
      <c r="AQ315">
        <v>4</v>
      </c>
      <c r="AR315" t="s">
        <v>75</v>
      </c>
      <c r="AT315">
        <v>0</v>
      </c>
      <c r="AU315" t="s">
        <v>69</v>
      </c>
      <c r="AW315">
        <v>0</v>
      </c>
      <c r="AX315" t="s">
        <v>69</v>
      </c>
      <c r="AY315" t="s">
        <v>83</v>
      </c>
      <c r="AZ315" t="s">
        <v>96</v>
      </c>
      <c r="BA315">
        <v>0</v>
      </c>
      <c r="BB315">
        <v>0</v>
      </c>
      <c r="BC315" t="s">
        <v>985</v>
      </c>
      <c r="BD315" t="s">
        <v>79</v>
      </c>
      <c r="BE315" t="s">
        <v>1951</v>
      </c>
      <c r="BF315" t="s">
        <v>157</v>
      </c>
      <c r="BG315" t="s">
        <v>985</v>
      </c>
      <c r="BH315" t="s">
        <v>79</v>
      </c>
      <c r="BI315" t="s">
        <v>83</v>
      </c>
    </row>
    <row r="316" spans="1:61" x14ac:dyDescent="0.35">
      <c r="A316">
        <v>315</v>
      </c>
      <c r="B316">
        <v>45843.499166666668</v>
      </c>
      <c r="C316" t="s">
        <v>1952</v>
      </c>
      <c r="D316" t="s">
        <v>1953</v>
      </c>
      <c r="E316" t="s">
        <v>1954</v>
      </c>
      <c r="F316" t="s">
        <v>1409</v>
      </c>
      <c r="G316" t="s">
        <v>1955</v>
      </c>
      <c r="H316" t="s">
        <v>103</v>
      </c>
      <c r="I316" t="s">
        <v>1956</v>
      </c>
      <c r="J316" t="s">
        <v>1944</v>
      </c>
      <c r="K316" t="s">
        <v>1957</v>
      </c>
      <c r="L316" t="s">
        <v>69</v>
      </c>
      <c r="M316" t="s">
        <v>69</v>
      </c>
      <c r="N316" t="s">
        <v>69</v>
      </c>
      <c r="O316" t="s">
        <v>69</v>
      </c>
      <c r="P316" t="s">
        <v>106</v>
      </c>
      <c r="Q316" t="s">
        <v>1168</v>
      </c>
      <c r="R316" s="3" t="s">
        <v>224</v>
      </c>
      <c r="S316">
        <v>46</v>
      </c>
      <c r="T316" t="s">
        <v>225</v>
      </c>
      <c r="U316" t="s">
        <v>93</v>
      </c>
      <c r="V316" t="s">
        <v>154</v>
      </c>
      <c r="W316" t="s">
        <v>154</v>
      </c>
      <c r="X316">
        <v>3</v>
      </c>
      <c r="Y316">
        <v>3</v>
      </c>
      <c r="Z316">
        <v>3</v>
      </c>
      <c r="AA316">
        <v>3</v>
      </c>
      <c r="AB316">
        <v>3</v>
      </c>
      <c r="AC316">
        <v>3</v>
      </c>
      <c r="AD316">
        <v>0</v>
      </c>
      <c r="AE316">
        <v>0</v>
      </c>
      <c r="AF316">
        <v>3</v>
      </c>
      <c r="AG316">
        <v>3</v>
      </c>
      <c r="AH316">
        <v>3</v>
      </c>
      <c r="AI316">
        <v>3</v>
      </c>
      <c r="AJ316">
        <v>3</v>
      </c>
      <c r="AK316">
        <v>3</v>
      </c>
      <c r="AL316">
        <v>3</v>
      </c>
      <c r="AM316">
        <v>3</v>
      </c>
      <c r="AN316">
        <v>3</v>
      </c>
      <c r="AO316">
        <v>3</v>
      </c>
      <c r="AQ316">
        <v>0</v>
      </c>
      <c r="AR316" t="s">
        <v>69</v>
      </c>
      <c r="AT316">
        <v>0</v>
      </c>
      <c r="AU316" t="s">
        <v>69</v>
      </c>
      <c r="AV316">
        <v>2</v>
      </c>
      <c r="AW316">
        <v>3</v>
      </c>
      <c r="AX316" t="s">
        <v>75</v>
      </c>
      <c r="AY316" t="s">
        <v>83</v>
      </c>
      <c r="AZ316" t="s">
        <v>96</v>
      </c>
      <c r="BA316">
        <v>0</v>
      </c>
      <c r="BB316">
        <v>0</v>
      </c>
      <c r="BC316" t="s">
        <v>1958</v>
      </c>
      <c r="BD316" t="s">
        <v>79</v>
      </c>
      <c r="BE316" t="s">
        <v>1958</v>
      </c>
      <c r="BF316" t="s">
        <v>79</v>
      </c>
      <c r="BG316" t="s">
        <v>1959</v>
      </c>
      <c r="BH316" t="s">
        <v>190</v>
      </c>
      <c r="BI316" t="s">
        <v>83</v>
      </c>
    </row>
    <row r="317" spans="1:61" x14ac:dyDescent="0.35">
      <c r="A317">
        <v>316</v>
      </c>
      <c r="B317">
        <v>45844.433310185188</v>
      </c>
      <c r="C317" t="s">
        <v>1960</v>
      </c>
      <c r="D317" t="s">
        <v>1961</v>
      </c>
      <c r="E317" t="s">
        <v>1962</v>
      </c>
      <c r="F317" t="s">
        <v>1963</v>
      </c>
      <c r="G317" t="s">
        <v>1964</v>
      </c>
      <c r="H317" t="s">
        <v>517</v>
      </c>
      <c r="I317" t="s">
        <v>518</v>
      </c>
      <c r="J317" t="s">
        <v>1965</v>
      </c>
      <c r="K317" t="s">
        <v>1966</v>
      </c>
      <c r="L317" t="s">
        <v>69</v>
      </c>
      <c r="M317" t="s">
        <v>69</v>
      </c>
      <c r="N317" t="s">
        <v>69</v>
      </c>
      <c r="O317" t="s">
        <v>69</v>
      </c>
      <c r="P317" t="s">
        <v>106</v>
      </c>
      <c r="Q317" t="s">
        <v>1180</v>
      </c>
      <c r="R317" s="3" t="s">
        <v>873</v>
      </c>
      <c r="S317">
        <v>37</v>
      </c>
      <c r="T317" t="s">
        <v>153</v>
      </c>
      <c r="U317" t="s">
        <v>93</v>
      </c>
      <c r="V317" t="s">
        <v>74</v>
      </c>
      <c r="W317" t="s">
        <v>74</v>
      </c>
      <c r="X317">
        <v>3</v>
      </c>
      <c r="Y317">
        <v>4</v>
      </c>
      <c r="Z317">
        <v>4</v>
      </c>
      <c r="AA317">
        <v>4</v>
      </c>
      <c r="AB317">
        <v>3</v>
      </c>
      <c r="AC317">
        <v>3</v>
      </c>
      <c r="AD317">
        <v>0</v>
      </c>
      <c r="AE317">
        <v>0</v>
      </c>
      <c r="AF317">
        <v>4</v>
      </c>
      <c r="AG317">
        <v>4</v>
      </c>
      <c r="AH317">
        <v>3</v>
      </c>
      <c r="AI317">
        <v>3</v>
      </c>
      <c r="AJ317">
        <v>3</v>
      </c>
      <c r="AK317">
        <v>3</v>
      </c>
      <c r="AL317">
        <v>3</v>
      </c>
      <c r="AM317">
        <v>3</v>
      </c>
      <c r="AN317">
        <v>3</v>
      </c>
      <c r="AO317">
        <v>3</v>
      </c>
      <c r="AQ317">
        <v>0</v>
      </c>
      <c r="AR317" t="s">
        <v>69</v>
      </c>
      <c r="AT317">
        <v>0</v>
      </c>
      <c r="AU317" t="s">
        <v>69</v>
      </c>
      <c r="AV317">
        <v>2</v>
      </c>
      <c r="AW317">
        <v>3</v>
      </c>
      <c r="AX317" t="s">
        <v>75</v>
      </c>
      <c r="AY317" t="s">
        <v>83</v>
      </c>
      <c r="AZ317" t="s">
        <v>96</v>
      </c>
      <c r="BA317">
        <v>0</v>
      </c>
      <c r="BB317">
        <v>0</v>
      </c>
      <c r="BC317" t="s">
        <v>1967</v>
      </c>
      <c r="BD317" t="s">
        <v>79</v>
      </c>
      <c r="BE317" t="s">
        <v>1968</v>
      </c>
      <c r="BF317" t="s">
        <v>112</v>
      </c>
      <c r="BG317" t="s">
        <v>503</v>
      </c>
      <c r="BH317" t="s">
        <v>79</v>
      </c>
      <c r="BI317" t="s">
        <v>83</v>
      </c>
    </row>
    <row r="318" spans="1:61" x14ac:dyDescent="0.35">
      <c r="A318">
        <v>317</v>
      </c>
      <c r="B318">
        <v>45844.569722222222</v>
      </c>
      <c r="C318" t="s">
        <v>1969</v>
      </c>
      <c r="D318" t="s">
        <v>1970</v>
      </c>
      <c r="E318" t="s">
        <v>63</v>
      </c>
      <c r="F318" t="s">
        <v>125</v>
      </c>
      <c r="G318" t="s">
        <v>1971</v>
      </c>
      <c r="H318" t="s">
        <v>65</v>
      </c>
      <c r="I318" t="s">
        <v>66</v>
      </c>
      <c r="J318" t="s">
        <v>1972</v>
      </c>
      <c r="K318" t="s">
        <v>1973</v>
      </c>
      <c r="L318" t="s">
        <v>69</v>
      </c>
      <c r="M318" t="s">
        <v>69</v>
      </c>
      <c r="N318" t="s">
        <v>69</v>
      </c>
      <c r="O318" t="s">
        <v>69</v>
      </c>
      <c r="P318" t="s">
        <v>106</v>
      </c>
      <c r="Q318" t="s">
        <v>1168</v>
      </c>
      <c r="R318" s="3" t="s">
        <v>1342</v>
      </c>
      <c r="S318">
        <v>30</v>
      </c>
      <c r="T318" t="s">
        <v>92</v>
      </c>
      <c r="U318" t="s">
        <v>73</v>
      </c>
      <c r="V318" t="s">
        <v>74</v>
      </c>
      <c r="W318" t="s">
        <v>74</v>
      </c>
      <c r="X318">
        <v>4</v>
      </c>
      <c r="Y318">
        <v>4</v>
      </c>
      <c r="Z318">
        <v>4</v>
      </c>
      <c r="AA318">
        <v>4</v>
      </c>
      <c r="AB318">
        <v>4</v>
      </c>
      <c r="AC318">
        <v>4</v>
      </c>
      <c r="AD318">
        <v>0</v>
      </c>
      <c r="AE318">
        <v>0</v>
      </c>
      <c r="AF318">
        <v>4</v>
      </c>
      <c r="AG318">
        <v>4</v>
      </c>
      <c r="AH318">
        <v>4</v>
      </c>
      <c r="AI318">
        <v>4</v>
      </c>
      <c r="AJ318">
        <v>4</v>
      </c>
      <c r="AK318">
        <v>4</v>
      </c>
      <c r="AL318">
        <v>4</v>
      </c>
      <c r="AM318">
        <v>4</v>
      </c>
      <c r="AN318">
        <v>3</v>
      </c>
      <c r="AO318">
        <v>3</v>
      </c>
      <c r="AQ318">
        <v>0</v>
      </c>
      <c r="AR318" t="s">
        <v>69</v>
      </c>
      <c r="AT318">
        <v>0</v>
      </c>
      <c r="AU318" t="s">
        <v>69</v>
      </c>
      <c r="AV318">
        <v>1</v>
      </c>
      <c r="AW318">
        <v>4</v>
      </c>
      <c r="AX318" t="s">
        <v>69</v>
      </c>
      <c r="AY318" t="s">
        <v>83</v>
      </c>
      <c r="AZ318" t="s">
        <v>96</v>
      </c>
      <c r="BA318">
        <v>0</v>
      </c>
      <c r="BB318">
        <v>0</v>
      </c>
      <c r="BC318" t="s">
        <v>1974</v>
      </c>
      <c r="BD318" t="s">
        <v>112</v>
      </c>
      <c r="BE318" t="s">
        <v>248</v>
      </c>
      <c r="BF318" t="s">
        <v>79</v>
      </c>
      <c r="BG318" t="s">
        <v>528</v>
      </c>
      <c r="BH318" t="s">
        <v>79</v>
      </c>
      <c r="BI318" t="s">
        <v>83</v>
      </c>
    </row>
    <row r="319" spans="1:61" x14ac:dyDescent="0.35">
      <c r="A319">
        <v>318</v>
      </c>
      <c r="B319">
        <v>45844.573541666665</v>
      </c>
      <c r="C319" t="s">
        <v>1975</v>
      </c>
      <c r="D319" t="s">
        <v>1976</v>
      </c>
      <c r="E319" t="s">
        <v>352</v>
      </c>
      <c r="F319" t="s">
        <v>1977</v>
      </c>
      <c r="G319" t="s">
        <v>1978</v>
      </c>
      <c r="H319" t="s">
        <v>65</v>
      </c>
      <c r="I319" t="s">
        <v>66</v>
      </c>
      <c r="J319" t="s">
        <v>1972</v>
      </c>
      <c r="K319" t="s">
        <v>1979</v>
      </c>
      <c r="L319" t="s">
        <v>69</v>
      </c>
      <c r="M319" t="s">
        <v>69</v>
      </c>
      <c r="N319" t="s">
        <v>69</v>
      </c>
      <c r="O319" t="s">
        <v>69</v>
      </c>
      <c r="P319" t="s">
        <v>70</v>
      </c>
      <c r="Q319" t="s">
        <v>1168</v>
      </c>
      <c r="R319" s="3" t="s">
        <v>1208</v>
      </c>
      <c r="S319">
        <v>55</v>
      </c>
      <c r="T319" t="s">
        <v>383</v>
      </c>
      <c r="U319" t="s">
        <v>73</v>
      </c>
      <c r="V319" t="s">
        <v>74</v>
      </c>
      <c r="W319" t="s">
        <v>74</v>
      </c>
      <c r="X319">
        <v>3</v>
      </c>
      <c r="Y319">
        <v>3</v>
      </c>
      <c r="Z319">
        <v>4</v>
      </c>
      <c r="AA319">
        <v>4</v>
      </c>
      <c r="AB319">
        <v>4</v>
      </c>
      <c r="AC319">
        <v>4</v>
      </c>
      <c r="AD319">
        <v>0</v>
      </c>
      <c r="AE319">
        <v>0</v>
      </c>
      <c r="AF319">
        <v>3</v>
      </c>
      <c r="AG319">
        <v>3</v>
      </c>
      <c r="AH319">
        <v>3</v>
      </c>
      <c r="AI319">
        <v>3</v>
      </c>
      <c r="AJ319">
        <v>3</v>
      </c>
      <c r="AK319">
        <v>3</v>
      </c>
      <c r="AL319">
        <v>3</v>
      </c>
      <c r="AM319">
        <v>3</v>
      </c>
      <c r="AN319">
        <v>3</v>
      </c>
      <c r="AO319">
        <v>3</v>
      </c>
      <c r="AQ319">
        <v>0</v>
      </c>
      <c r="AR319" t="s">
        <v>69</v>
      </c>
      <c r="AT319">
        <v>0</v>
      </c>
      <c r="AU319" t="s">
        <v>69</v>
      </c>
      <c r="AV319">
        <v>1</v>
      </c>
      <c r="AW319">
        <v>4</v>
      </c>
      <c r="AX319" t="s">
        <v>75</v>
      </c>
      <c r="AY319" t="s">
        <v>1980</v>
      </c>
      <c r="AZ319" t="s">
        <v>450</v>
      </c>
      <c r="BA319">
        <v>1</v>
      </c>
      <c r="BB319">
        <v>4</v>
      </c>
      <c r="BC319" t="s">
        <v>1981</v>
      </c>
      <c r="BD319" t="s">
        <v>99</v>
      </c>
      <c r="BE319" t="s">
        <v>1305</v>
      </c>
      <c r="BF319" t="s">
        <v>81</v>
      </c>
      <c r="BG319" t="s">
        <v>1982</v>
      </c>
      <c r="BH319" t="s">
        <v>79</v>
      </c>
      <c r="BI319" t="s">
        <v>83</v>
      </c>
    </row>
    <row r="320" spans="1:61" x14ac:dyDescent="0.35">
      <c r="A320">
        <v>319</v>
      </c>
      <c r="B320">
        <v>45844.701435185183</v>
      </c>
      <c r="C320" t="s">
        <v>1983</v>
      </c>
      <c r="D320" t="s">
        <v>1984</v>
      </c>
      <c r="E320" t="s">
        <v>63</v>
      </c>
      <c r="F320" t="s">
        <v>1372</v>
      </c>
      <c r="G320" t="s">
        <v>1985</v>
      </c>
      <c r="H320" t="s">
        <v>517</v>
      </c>
      <c r="I320" t="s">
        <v>518</v>
      </c>
      <c r="J320" t="s">
        <v>1965</v>
      </c>
      <c r="K320" t="s">
        <v>1986</v>
      </c>
      <c r="L320" t="s">
        <v>69</v>
      </c>
      <c r="M320" t="s">
        <v>69</v>
      </c>
      <c r="N320" t="s">
        <v>69</v>
      </c>
      <c r="O320" t="s">
        <v>69</v>
      </c>
      <c r="P320" t="s">
        <v>70</v>
      </c>
      <c r="Q320" t="s">
        <v>1168</v>
      </c>
      <c r="R320" s="3" t="s">
        <v>1160</v>
      </c>
      <c r="S320">
        <v>56</v>
      </c>
      <c r="T320" t="s">
        <v>182</v>
      </c>
      <c r="U320" t="s">
        <v>273</v>
      </c>
      <c r="V320" t="s">
        <v>232</v>
      </c>
      <c r="W320" t="s">
        <v>232</v>
      </c>
      <c r="X320">
        <v>4</v>
      </c>
      <c r="Y320">
        <v>4</v>
      </c>
      <c r="Z320">
        <v>4</v>
      </c>
      <c r="AA320">
        <v>4</v>
      </c>
      <c r="AB320">
        <v>4</v>
      </c>
      <c r="AC320">
        <v>4</v>
      </c>
      <c r="AD320">
        <v>0</v>
      </c>
      <c r="AE320">
        <v>0</v>
      </c>
      <c r="AF320">
        <v>3</v>
      </c>
      <c r="AG320">
        <v>4</v>
      </c>
      <c r="AH320">
        <v>4</v>
      </c>
      <c r="AI320">
        <v>4</v>
      </c>
      <c r="AJ320">
        <v>4</v>
      </c>
      <c r="AK320">
        <v>4</v>
      </c>
      <c r="AL320">
        <v>4</v>
      </c>
      <c r="AM320">
        <v>4</v>
      </c>
      <c r="AN320">
        <v>4</v>
      </c>
      <c r="AO320">
        <v>4</v>
      </c>
      <c r="AQ320">
        <v>0</v>
      </c>
      <c r="AR320" t="s">
        <v>69</v>
      </c>
      <c r="AT320">
        <v>0</v>
      </c>
      <c r="AU320" t="s">
        <v>69</v>
      </c>
      <c r="AW320">
        <v>0</v>
      </c>
      <c r="AX320" t="s">
        <v>69</v>
      </c>
      <c r="AY320" t="s">
        <v>1223</v>
      </c>
      <c r="AZ320" t="s">
        <v>186</v>
      </c>
      <c r="BA320">
        <v>3</v>
      </c>
      <c r="BB320">
        <v>2</v>
      </c>
      <c r="BC320" t="s">
        <v>503</v>
      </c>
      <c r="BD320" t="s">
        <v>79</v>
      </c>
      <c r="BE320" t="s">
        <v>503</v>
      </c>
      <c r="BF320" t="s">
        <v>79</v>
      </c>
      <c r="BG320" t="s">
        <v>503</v>
      </c>
      <c r="BH320" t="s">
        <v>79</v>
      </c>
      <c r="BI320" t="s">
        <v>83</v>
      </c>
    </row>
    <row r="321" spans="1:61" x14ac:dyDescent="0.35">
      <c r="A321">
        <v>320</v>
      </c>
      <c r="B321">
        <v>45844.798263888886</v>
      </c>
      <c r="C321" t="s">
        <v>1987</v>
      </c>
      <c r="D321" t="s">
        <v>1988</v>
      </c>
      <c r="E321" t="s">
        <v>63</v>
      </c>
      <c r="F321" t="s">
        <v>86</v>
      </c>
      <c r="G321" t="s">
        <v>1989</v>
      </c>
      <c r="H321" t="s">
        <v>210</v>
      </c>
      <c r="I321" t="s">
        <v>211</v>
      </c>
      <c r="J321" t="s">
        <v>1990</v>
      </c>
      <c r="K321" t="s">
        <v>1699</v>
      </c>
      <c r="L321" t="s">
        <v>69</v>
      </c>
      <c r="M321" t="s">
        <v>69</v>
      </c>
      <c r="N321" t="s">
        <v>69</v>
      </c>
      <c r="O321" t="s">
        <v>69</v>
      </c>
      <c r="P321" t="s">
        <v>106</v>
      </c>
      <c r="Q321" t="s">
        <v>1168</v>
      </c>
      <c r="R321" s="3">
        <v>33</v>
      </c>
      <c r="S321">
        <v>33</v>
      </c>
      <c r="T321" t="s">
        <v>109</v>
      </c>
      <c r="U321" t="s">
        <v>1343</v>
      </c>
      <c r="V321" t="s">
        <v>74</v>
      </c>
      <c r="W321" t="s">
        <v>74</v>
      </c>
      <c r="X321">
        <v>3</v>
      </c>
      <c r="Y321">
        <v>3</v>
      </c>
      <c r="Z321">
        <v>3</v>
      </c>
      <c r="AA321">
        <v>3</v>
      </c>
      <c r="AB321">
        <v>3</v>
      </c>
      <c r="AC321">
        <v>3</v>
      </c>
      <c r="AD321">
        <v>3</v>
      </c>
      <c r="AE321">
        <v>3</v>
      </c>
      <c r="AF321">
        <v>3</v>
      </c>
      <c r="AG321">
        <v>3</v>
      </c>
      <c r="AH321">
        <v>3</v>
      </c>
      <c r="AI321">
        <v>3</v>
      </c>
      <c r="AJ321">
        <v>3</v>
      </c>
      <c r="AK321">
        <v>3</v>
      </c>
      <c r="AL321">
        <v>3</v>
      </c>
      <c r="AM321">
        <v>3</v>
      </c>
      <c r="AN321">
        <v>3</v>
      </c>
      <c r="AO321">
        <v>3</v>
      </c>
      <c r="AQ321">
        <v>0</v>
      </c>
      <c r="AR321" t="s">
        <v>69</v>
      </c>
      <c r="AT321">
        <v>0</v>
      </c>
      <c r="AU321" t="s">
        <v>69</v>
      </c>
      <c r="AW321">
        <v>0</v>
      </c>
      <c r="AX321" t="s">
        <v>69</v>
      </c>
      <c r="AY321" t="s">
        <v>144</v>
      </c>
      <c r="AZ321" t="s">
        <v>144</v>
      </c>
      <c r="BA321">
        <v>2</v>
      </c>
      <c r="BB321">
        <v>3</v>
      </c>
      <c r="BC321" t="s">
        <v>98</v>
      </c>
      <c r="BD321" t="s">
        <v>99</v>
      </c>
      <c r="BE321" t="s">
        <v>98</v>
      </c>
      <c r="BF321" t="s">
        <v>99</v>
      </c>
      <c r="BG321" t="s">
        <v>98</v>
      </c>
      <c r="BH321" t="s">
        <v>99</v>
      </c>
      <c r="BI321" t="s">
        <v>1991</v>
      </c>
    </row>
    <row r="322" spans="1:61" x14ac:dyDescent="0.35">
      <c r="A322">
        <v>321</v>
      </c>
      <c r="B322">
        <v>45845.756006944444</v>
      </c>
      <c r="C322" t="s">
        <v>1992</v>
      </c>
      <c r="D322" t="s">
        <v>1993</v>
      </c>
      <c r="E322" t="s">
        <v>772</v>
      </c>
      <c r="F322" t="s">
        <v>1994</v>
      </c>
      <c r="G322" t="s">
        <v>1995</v>
      </c>
      <c r="H322" t="s">
        <v>981</v>
      </c>
      <c r="I322" t="s">
        <v>982</v>
      </c>
      <c r="J322" t="s">
        <v>1996</v>
      </c>
      <c r="K322" t="s">
        <v>1997</v>
      </c>
      <c r="L322" t="s">
        <v>69</v>
      </c>
      <c r="M322" t="s">
        <v>69</v>
      </c>
      <c r="N322" t="s">
        <v>69</v>
      </c>
      <c r="O322" t="s">
        <v>69</v>
      </c>
      <c r="P322" t="s">
        <v>106</v>
      </c>
      <c r="Q322" t="s">
        <v>1180</v>
      </c>
      <c r="R322" s="3" t="s">
        <v>1342</v>
      </c>
      <c r="S322">
        <v>30</v>
      </c>
      <c r="T322" t="s">
        <v>92</v>
      </c>
      <c r="U322" t="s">
        <v>73</v>
      </c>
      <c r="V322" t="s">
        <v>991</v>
      </c>
      <c r="W322" t="s">
        <v>133</v>
      </c>
      <c r="X322">
        <v>3</v>
      </c>
      <c r="Y322">
        <v>4</v>
      </c>
      <c r="Z322">
        <v>3</v>
      </c>
      <c r="AA322">
        <v>3</v>
      </c>
      <c r="AB322">
        <v>3</v>
      </c>
      <c r="AC322">
        <v>3</v>
      </c>
      <c r="AD322">
        <v>0</v>
      </c>
      <c r="AE322">
        <v>0</v>
      </c>
      <c r="AF322">
        <v>3</v>
      </c>
      <c r="AG322">
        <v>3</v>
      </c>
      <c r="AH322">
        <v>4</v>
      </c>
      <c r="AI322">
        <v>3</v>
      </c>
      <c r="AJ322">
        <v>3</v>
      </c>
      <c r="AK322">
        <v>3</v>
      </c>
      <c r="AL322">
        <v>3</v>
      </c>
      <c r="AM322">
        <v>3</v>
      </c>
      <c r="AN322">
        <v>3</v>
      </c>
      <c r="AO322">
        <v>3</v>
      </c>
      <c r="AQ322">
        <v>0</v>
      </c>
      <c r="AR322" t="s">
        <v>69</v>
      </c>
      <c r="AT322">
        <v>0</v>
      </c>
      <c r="AU322" t="s">
        <v>69</v>
      </c>
      <c r="AV322">
        <v>1</v>
      </c>
      <c r="AW322">
        <v>4</v>
      </c>
      <c r="AX322" t="s">
        <v>75</v>
      </c>
      <c r="AY322" t="s">
        <v>83</v>
      </c>
      <c r="AZ322" t="s">
        <v>96</v>
      </c>
      <c r="BA322">
        <v>0</v>
      </c>
      <c r="BB322">
        <v>0</v>
      </c>
      <c r="BC322" t="s">
        <v>985</v>
      </c>
      <c r="BD322" t="s">
        <v>79</v>
      </c>
      <c r="BE322" t="s">
        <v>1998</v>
      </c>
      <c r="BF322" t="s">
        <v>157</v>
      </c>
      <c r="BG322" t="s">
        <v>985</v>
      </c>
      <c r="BH322" t="s">
        <v>79</v>
      </c>
      <c r="BI322" t="s">
        <v>83</v>
      </c>
    </row>
    <row r="323" spans="1:61" x14ac:dyDescent="0.35">
      <c r="A323">
        <v>322</v>
      </c>
      <c r="B323">
        <v>45846.602592592593</v>
      </c>
      <c r="C323" t="s">
        <v>1239</v>
      </c>
      <c r="D323" t="s">
        <v>1999</v>
      </c>
      <c r="E323" t="s">
        <v>63</v>
      </c>
      <c r="F323" t="s">
        <v>63</v>
      </c>
      <c r="G323" t="s">
        <v>2000</v>
      </c>
      <c r="H323" t="s">
        <v>103</v>
      </c>
      <c r="I323" t="s">
        <v>588</v>
      </c>
      <c r="J323" t="s">
        <v>2001</v>
      </c>
      <c r="K323" t="s">
        <v>2002</v>
      </c>
      <c r="L323" t="s">
        <v>69</v>
      </c>
      <c r="M323" t="s">
        <v>69</v>
      </c>
      <c r="N323" t="s">
        <v>69</v>
      </c>
      <c r="O323" t="s">
        <v>69</v>
      </c>
      <c r="P323" t="s">
        <v>70</v>
      </c>
      <c r="Q323" t="s">
        <v>1168</v>
      </c>
      <c r="R323" s="3">
        <v>42</v>
      </c>
      <c r="S323">
        <v>42</v>
      </c>
      <c r="T323" t="s">
        <v>197</v>
      </c>
      <c r="U323" t="s">
        <v>93</v>
      </c>
      <c r="V323" t="s">
        <v>154</v>
      </c>
      <c r="W323" t="s">
        <v>154</v>
      </c>
      <c r="X323">
        <v>4</v>
      </c>
      <c r="Y323">
        <v>3</v>
      </c>
      <c r="Z323">
        <v>4</v>
      </c>
      <c r="AA323">
        <v>3</v>
      </c>
      <c r="AB323">
        <v>4</v>
      </c>
      <c r="AC323">
        <v>4</v>
      </c>
      <c r="AD323">
        <v>0</v>
      </c>
      <c r="AE323">
        <v>0</v>
      </c>
      <c r="AF323">
        <v>4</v>
      </c>
      <c r="AG323">
        <v>4</v>
      </c>
      <c r="AH323">
        <v>4</v>
      </c>
      <c r="AI323">
        <v>4</v>
      </c>
      <c r="AJ323">
        <v>4</v>
      </c>
      <c r="AK323">
        <v>4</v>
      </c>
      <c r="AL323">
        <v>4</v>
      </c>
      <c r="AM323">
        <v>4</v>
      </c>
      <c r="AN323">
        <v>4</v>
      </c>
      <c r="AO323">
        <v>4</v>
      </c>
      <c r="AP323">
        <v>1</v>
      </c>
      <c r="AQ323">
        <v>4</v>
      </c>
      <c r="AR323" t="s">
        <v>75</v>
      </c>
      <c r="AS323">
        <v>2</v>
      </c>
      <c r="AT323">
        <v>3</v>
      </c>
      <c r="AU323" t="s">
        <v>75</v>
      </c>
      <c r="AW323">
        <v>0</v>
      </c>
      <c r="AX323" t="s">
        <v>69</v>
      </c>
      <c r="AY323" t="s">
        <v>83</v>
      </c>
      <c r="AZ323" t="s">
        <v>96</v>
      </c>
      <c r="BA323">
        <v>0</v>
      </c>
      <c r="BB323">
        <v>0</v>
      </c>
      <c r="BC323" t="s">
        <v>2003</v>
      </c>
      <c r="BD323" t="s">
        <v>79</v>
      </c>
      <c r="BE323" t="s">
        <v>2004</v>
      </c>
      <c r="BF323" t="s">
        <v>99</v>
      </c>
      <c r="BG323" t="s">
        <v>503</v>
      </c>
      <c r="BH323" t="s">
        <v>79</v>
      </c>
      <c r="BI323" t="s">
        <v>2005</v>
      </c>
    </row>
    <row r="324" spans="1:61" x14ac:dyDescent="0.35">
      <c r="A324">
        <v>323</v>
      </c>
      <c r="B324">
        <v>45846.610833333332</v>
      </c>
      <c r="C324" t="s">
        <v>2006</v>
      </c>
      <c r="D324" t="s">
        <v>2007</v>
      </c>
      <c r="E324" t="s">
        <v>63</v>
      </c>
      <c r="F324" t="s">
        <v>416</v>
      </c>
      <c r="G324" t="s">
        <v>2008</v>
      </c>
      <c r="H324" t="s">
        <v>103</v>
      </c>
      <c r="I324" t="s">
        <v>588</v>
      </c>
      <c r="J324" t="s">
        <v>2009</v>
      </c>
      <c r="K324" t="s">
        <v>1098</v>
      </c>
      <c r="L324" t="s">
        <v>69</v>
      </c>
      <c r="M324" t="s">
        <v>69</v>
      </c>
      <c r="N324" t="s">
        <v>69</v>
      </c>
      <c r="O324" t="s">
        <v>69</v>
      </c>
      <c r="P324" t="s">
        <v>106</v>
      </c>
      <c r="Q324" t="s">
        <v>1168</v>
      </c>
      <c r="R324" s="3" t="s">
        <v>561</v>
      </c>
      <c r="S324">
        <v>45</v>
      </c>
      <c r="T324" t="s">
        <v>197</v>
      </c>
      <c r="U324" t="s">
        <v>1343</v>
      </c>
      <c r="V324" t="s">
        <v>154</v>
      </c>
      <c r="W324" t="s">
        <v>154</v>
      </c>
      <c r="X324">
        <v>4</v>
      </c>
      <c r="Y324">
        <v>4</v>
      </c>
      <c r="Z324">
        <v>4</v>
      </c>
      <c r="AA324">
        <v>4</v>
      </c>
      <c r="AB324">
        <v>4</v>
      </c>
      <c r="AC324">
        <v>4</v>
      </c>
      <c r="AD324">
        <v>0</v>
      </c>
      <c r="AE324">
        <v>0</v>
      </c>
      <c r="AF324">
        <v>4</v>
      </c>
      <c r="AG324">
        <v>4</v>
      </c>
      <c r="AH324">
        <v>4</v>
      </c>
      <c r="AI324">
        <v>4</v>
      </c>
      <c r="AJ324">
        <v>4</v>
      </c>
      <c r="AK324">
        <v>4</v>
      </c>
      <c r="AL324">
        <v>4</v>
      </c>
      <c r="AM324">
        <v>4</v>
      </c>
      <c r="AN324">
        <v>3</v>
      </c>
      <c r="AO324">
        <v>4</v>
      </c>
      <c r="AQ324">
        <v>0</v>
      </c>
      <c r="AR324" t="s">
        <v>69</v>
      </c>
      <c r="AT324">
        <v>0</v>
      </c>
      <c r="AU324" t="s">
        <v>69</v>
      </c>
      <c r="AV324">
        <v>2</v>
      </c>
      <c r="AW324">
        <v>3</v>
      </c>
      <c r="AX324" t="s">
        <v>75</v>
      </c>
      <c r="AY324" t="s">
        <v>83</v>
      </c>
      <c r="AZ324" t="s">
        <v>96</v>
      </c>
      <c r="BA324">
        <v>0</v>
      </c>
      <c r="BB324">
        <v>0</v>
      </c>
      <c r="BC324" t="s">
        <v>2010</v>
      </c>
      <c r="BD324" t="s">
        <v>452</v>
      </c>
      <c r="BE324" t="s">
        <v>503</v>
      </c>
      <c r="BF324" t="s">
        <v>79</v>
      </c>
      <c r="BG324" t="s">
        <v>2011</v>
      </c>
      <c r="BH324" t="s">
        <v>79</v>
      </c>
      <c r="BI324" t="s">
        <v>2012</v>
      </c>
    </row>
    <row r="325" spans="1:61" x14ac:dyDescent="0.35">
      <c r="A325">
        <v>324</v>
      </c>
      <c r="B325">
        <v>45846.678912037038</v>
      </c>
      <c r="C325" t="s">
        <v>2013</v>
      </c>
      <c r="D325" t="s">
        <v>2014</v>
      </c>
      <c r="E325" t="s">
        <v>63</v>
      </c>
      <c r="F325" t="s">
        <v>338</v>
      </c>
      <c r="G325" t="s">
        <v>2015</v>
      </c>
      <c r="H325" t="s">
        <v>981</v>
      </c>
      <c r="I325" t="s">
        <v>982</v>
      </c>
      <c r="J325" t="s">
        <v>2016</v>
      </c>
      <c r="K325" t="s">
        <v>1294</v>
      </c>
      <c r="L325" t="s">
        <v>69</v>
      </c>
      <c r="M325" t="s">
        <v>69</v>
      </c>
      <c r="N325" t="s">
        <v>69</v>
      </c>
      <c r="O325" t="s">
        <v>69</v>
      </c>
      <c r="P325" t="s">
        <v>70</v>
      </c>
      <c r="Q325" t="s">
        <v>1168</v>
      </c>
      <c r="R325" s="3" t="s">
        <v>884</v>
      </c>
      <c r="S325">
        <v>38</v>
      </c>
      <c r="T325" t="s">
        <v>153</v>
      </c>
      <c r="U325" t="s">
        <v>93</v>
      </c>
      <c r="V325" t="s">
        <v>2017</v>
      </c>
      <c r="W325" t="s">
        <v>413</v>
      </c>
      <c r="X325">
        <v>4</v>
      </c>
      <c r="Y325">
        <v>4</v>
      </c>
      <c r="Z325">
        <v>4</v>
      </c>
      <c r="AA325">
        <v>4</v>
      </c>
      <c r="AB325">
        <v>4</v>
      </c>
      <c r="AC325">
        <v>4</v>
      </c>
      <c r="AD325">
        <v>0</v>
      </c>
      <c r="AE325">
        <v>0</v>
      </c>
      <c r="AF325">
        <v>4</v>
      </c>
      <c r="AG325">
        <v>4</v>
      </c>
      <c r="AH325">
        <v>4</v>
      </c>
      <c r="AI325">
        <v>4</v>
      </c>
      <c r="AJ325">
        <v>4</v>
      </c>
      <c r="AK325">
        <v>4</v>
      </c>
      <c r="AL325">
        <v>4</v>
      </c>
      <c r="AM325">
        <v>4</v>
      </c>
      <c r="AN325">
        <v>4</v>
      </c>
      <c r="AO325">
        <v>4</v>
      </c>
      <c r="AQ325">
        <v>0</v>
      </c>
      <c r="AR325" t="s">
        <v>69</v>
      </c>
      <c r="AT325">
        <v>0</v>
      </c>
      <c r="AU325" t="s">
        <v>69</v>
      </c>
      <c r="AV325">
        <v>1</v>
      </c>
      <c r="AW325">
        <v>4</v>
      </c>
      <c r="AX325" t="s">
        <v>75</v>
      </c>
      <c r="AY325" t="s">
        <v>83</v>
      </c>
      <c r="AZ325" t="s">
        <v>96</v>
      </c>
      <c r="BA325">
        <v>0</v>
      </c>
      <c r="BB325">
        <v>0</v>
      </c>
      <c r="BC325" t="s">
        <v>985</v>
      </c>
      <c r="BD325" t="s">
        <v>79</v>
      </c>
      <c r="BE325" t="s">
        <v>985</v>
      </c>
      <c r="BF325" t="s">
        <v>79</v>
      </c>
      <c r="BG325" t="s">
        <v>985</v>
      </c>
      <c r="BH325" t="s">
        <v>79</v>
      </c>
      <c r="BI325" t="s">
        <v>83</v>
      </c>
    </row>
    <row r="326" spans="1:61" x14ac:dyDescent="0.35">
      <c r="A326">
        <v>325</v>
      </c>
      <c r="B326">
        <v>45846.682500000003</v>
      </c>
      <c r="C326" t="s">
        <v>2018</v>
      </c>
      <c r="D326" t="s">
        <v>2019</v>
      </c>
      <c r="E326" t="s">
        <v>63</v>
      </c>
      <c r="F326" t="s">
        <v>397</v>
      </c>
      <c r="G326" t="s">
        <v>2020</v>
      </c>
      <c r="H326" t="s">
        <v>981</v>
      </c>
      <c r="I326" t="s">
        <v>982</v>
      </c>
      <c r="J326" t="s">
        <v>2016</v>
      </c>
      <c r="K326" t="s">
        <v>1133</v>
      </c>
      <c r="L326" t="s">
        <v>69</v>
      </c>
      <c r="M326" t="s">
        <v>69</v>
      </c>
      <c r="N326" t="s">
        <v>69</v>
      </c>
      <c r="O326" t="s">
        <v>69</v>
      </c>
      <c r="P326" t="s">
        <v>70</v>
      </c>
      <c r="Q326" t="s">
        <v>1168</v>
      </c>
      <c r="R326" s="3" t="s">
        <v>492</v>
      </c>
      <c r="S326">
        <v>24</v>
      </c>
      <c r="T326" t="s">
        <v>72</v>
      </c>
      <c r="U326" t="s">
        <v>93</v>
      </c>
      <c r="V326" t="s">
        <v>2021</v>
      </c>
      <c r="W326" t="s">
        <v>74</v>
      </c>
      <c r="X326">
        <v>4</v>
      </c>
      <c r="Y326">
        <v>4</v>
      </c>
      <c r="Z326">
        <v>4</v>
      </c>
      <c r="AA326">
        <v>4</v>
      </c>
      <c r="AB326">
        <v>3</v>
      </c>
      <c r="AC326">
        <v>4</v>
      </c>
      <c r="AD326">
        <v>0</v>
      </c>
      <c r="AE326">
        <v>0</v>
      </c>
      <c r="AF326">
        <v>4</v>
      </c>
      <c r="AG326">
        <v>4</v>
      </c>
      <c r="AH326">
        <v>4</v>
      </c>
      <c r="AI326">
        <v>4</v>
      </c>
      <c r="AJ326">
        <v>4</v>
      </c>
      <c r="AK326">
        <v>4</v>
      </c>
      <c r="AL326">
        <v>4</v>
      </c>
      <c r="AM326">
        <v>4</v>
      </c>
      <c r="AN326">
        <v>3</v>
      </c>
      <c r="AO326">
        <v>4</v>
      </c>
      <c r="AQ326">
        <v>0</v>
      </c>
      <c r="AR326" t="s">
        <v>69</v>
      </c>
      <c r="AT326">
        <v>0</v>
      </c>
      <c r="AU326" t="s">
        <v>69</v>
      </c>
      <c r="AV326">
        <v>1</v>
      </c>
      <c r="AW326">
        <v>4</v>
      </c>
      <c r="AX326" t="s">
        <v>75</v>
      </c>
      <c r="AY326" t="s">
        <v>83</v>
      </c>
      <c r="AZ326" t="s">
        <v>96</v>
      </c>
      <c r="BA326">
        <v>0</v>
      </c>
      <c r="BB326">
        <v>0</v>
      </c>
      <c r="BC326" t="s">
        <v>985</v>
      </c>
      <c r="BD326" t="s">
        <v>79</v>
      </c>
      <c r="BE326" t="s">
        <v>985</v>
      </c>
      <c r="BF326" t="s">
        <v>79</v>
      </c>
      <c r="BG326" t="s">
        <v>985</v>
      </c>
      <c r="BH326" t="s">
        <v>79</v>
      </c>
      <c r="BI326" t="s">
        <v>83</v>
      </c>
    </row>
    <row r="327" spans="1:61" x14ac:dyDescent="0.35">
      <c r="A327">
        <v>326</v>
      </c>
      <c r="B327">
        <v>45846.742962962962</v>
      </c>
      <c r="C327" t="s">
        <v>2022</v>
      </c>
      <c r="D327" t="s">
        <v>2023</v>
      </c>
      <c r="E327" t="s">
        <v>63</v>
      </c>
      <c r="F327" t="s">
        <v>338</v>
      </c>
      <c r="G327" t="s">
        <v>2024</v>
      </c>
      <c r="H327" t="s">
        <v>88</v>
      </c>
      <c r="I327" t="s">
        <v>89</v>
      </c>
      <c r="J327" t="s">
        <v>2001</v>
      </c>
      <c r="K327" t="s">
        <v>2025</v>
      </c>
      <c r="L327" t="s">
        <v>69</v>
      </c>
      <c r="M327" t="s">
        <v>69</v>
      </c>
      <c r="N327" t="s">
        <v>69</v>
      </c>
      <c r="O327" t="s">
        <v>69</v>
      </c>
      <c r="P327" t="s">
        <v>70</v>
      </c>
      <c r="Q327" t="s">
        <v>1168</v>
      </c>
      <c r="R327" s="3" t="s">
        <v>680</v>
      </c>
      <c r="S327">
        <v>39</v>
      </c>
      <c r="T327" t="s">
        <v>153</v>
      </c>
      <c r="U327" t="s">
        <v>254</v>
      </c>
      <c r="V327" t="s">
        <v>154</v>
      </c>
      <c r="W327" t="s">
        <v>154</v>
      </c>
      <c r="X327">
        <v>3</v>
      </c>
      <c r="Y327">
        <v>4</v>
      </c>
      <c r="Z327">
        <v>4</v>
      </c>
      <c r="AA327">
        <v>4</v>
      </c>
      <c r="AB327">
        <v>3</v>
      </c>
      <c r="AC327">
        <v>3</v>
      </c>
      <c r="AD327">
        <v>0</v>
      </c>
      <c r="AE327">
        <v>0</v>
      </c>
      <c r="AF327">
        <v>4</v>
      </c>
      <c r="AG327">
        <v>4</v>
      </c>
      <c r="AH327">
        <v>4</v>
      </c>
      <c r="AI327">
        <v>4</v>
      </c>
      <c r="AJ327">
        <v>4</v>
      </c>
      <c r="AK327">
        <v>4</v>
      </c>
      <c r="AL327">
        <v>4</v>
      </c>
      <c r="AM327">
        <v>4</v>
      </c>
      <c r="AN327">
        <v>3</v>
      </c>
      <c r="AO327">
        <v>3</v>
      </c>
      <c r="AQ327">
        <v>0</v>
      </c>
      <c r="AR327" t="s">
        <v>69</v>
      </c>
      <c r="AT327">
        <v>0</v>
      </c>
      <c r="AU327" t="s">
        <v>69</v>
      </c>
      <c r="AW327">
        <v>0</v>
      </c>
      <c r="AX327" t="s">
        <v>69</v>
      </c>
      <c r="AY327" t="s">
        <v>2026</v>
      </c>
      <c r="AZ327" t="s">
        <v>450</v>
      </c>
      <c r="BA327">
        <v>2</v>
      </c>
      <c r="BB327">
        <v>3</v>
      </c>
      <c r="BC327" t="s">
        <v>98</v>
      </c>
      <c r="BD327" t="s">
        <v>99</v>
      </c>
      <c r="BE327" t="s">
        <v>98</v>
      </c>
      <c r="BF327" t="s">
        <v>99</v>
      </c>
      <c r="BG327" t="s">
        <v>2027</v>
      </c>
      <c r="BH327" t="s">
        <v>146</v>
      </c>
      <c r="BI327" t="s">
        <v>98</v>
      </c>
    </row>
    <row r="328" spans="1:61" x14ac:dyDescent="0.35">
      <c r="A328">
        <v>327</v>
      </c>
      <c r="B328">
        <v>45846.745138888888</v>
      </c>
      <c r="C328" t="s">
        <v>2028</v>
      </c>
      <c r="D328" t="s">
        <v>2029</v>
      </c>
      <c r="E328" t="s">
        <v>63</v>
      </c>
      <c r="F328" t="s">
        <v>179</v>
      </c>
      <c r="G328" t="s">
        <v>2030</v>
      </c>
      <c r="H328" t="s">
        <v>65</v>
      </c>
      <c r="I328" t="s">
        <v>66</v>
      </c>
      <c r="J328" t="s">
        <v>2001</v>
      </c>
      <c r="K328" t="s">
        <v>2031</v>
      </c>
      <c r="L328" t="s">
        <v>69</v>
      </c>
      <c r="M328" t="s">
        <v>69</v>
      </c>
      <c r="N328" t="s">
        <v>69</v>
      </c>
      <c r="O328" t="s">
        <v>69</v>
      </c>
      <c r="P328" t="s">
        <v>70</v>
      </c>
      <c r="Q328" t="s">
        <v>1168</v>
      </c>
      <c r="R328" s="3" t="s">
        <v>1342</v>
      </c>
      <c r="S328">
        <v>30</v>
      </c>
      <c r="T328" t="s">
        <v>92</v>
      </c>
      <c r="U328" t="s">
        <v>73</v>
      </c>
      <c r="V328" t="s">
        <v>74</v>
      </c>
      <c r="W328" t="s">
        <v>74</v>
      </c>
      <c r="X328">
        <v>4</v>
      </c>
      <c r="Y328">
        <v>4</v>
      </c>
      <c r="Z328">
        <v>4</v>
      </c>
      <c r="AA328">
        <v>4</v>
      </c>
      <c r="AB328">
        <v>4</v>
      </c>
      <c r="AC328">
        <v>4</v>
      </c>
      <c r="AD328">
        <v>0</v>
      </c>
      <c r="AE328">
        <v>0</v>
      </c>
      <c r="AF328">
        <v>4</v>
      </c>
      <c r="AG328">
        <v>4</v>
      </c>
      <c r="AH328">
        <v>4</v>
      </c>
      <c r="AI328">
        <v>4</v>
      </c>
      <c r="AJ328">
        <v>4</v>
      </c>
      <c r="AK328">
        <v>4</v>
      </c>
      <c r="AL328">
        <v>4</v>
      </c>
      <c r="AM328">
        <v>4</v>
      </c>
      <c r="AN328">
        <v>4</v>
      </c>
      <c r="AO328">
        <v>4</v>
      </c>
      <c r="AQ328">
        <v>0</v>
      </c>
      <c r="AR328" t="s">
        <v>69</v>
      </c>
      <c r="AT328">
        <v>0</v>
      </c>
      <c r="AU328" t="s">
        <v>75</v>
      </c>
      <c r="AW328">
        <v>0</v>
      </c>
      <c r="AX328" t="s">
        <v>69</v>
      </c>
      <c r="AY328" t="s">
        <v>144</v>
      </c>
      <c r="AZ328" t="s">
        <v>144</v>
      </c>
      <c r="BA328">
        <v>3</v>
      </c>
      <c r="BB328">
        <v>2</v>
      </c>
      <c r="BC328" t="s">
        <v>2032</v>
      </c>
      <c r="BD328" t="s">
        <v>79</v>
      </c>
      <c r="BE328" t="s">
        <v>442</v>
      </c>
      <c r="BF328" t="s">
        <v>79</v>
      </c>
      <c r="BG328" t="s">
        <v>442</v>
      </c>
      <c r="BH328" t="s">
        <v>79</v>
      </c>
      <c r="BI328" t="s">
        <v>83</v>
      </c>
    </row>
    <row r="329" spans="1:61" x14ac:dyDescent="0.35">
      <c r="A329">
        <v>328</v>
      </c>
      <c r="B329">
        <v>45846.748715277776</v>
      </c>
      <c r="C329" t="s">
        <v>2033</v>
      </c>
      <c r="D329" t="s">
        <v>2034</v>
      </c>
      <c r="E329" t="s">
        <v>63</v>
      </c>
      <c r="F329" t="s">
        <v>179</v>
      </c>
      <c r="G329" t="s">
        <v>2035</v>
      </c>
      <c r="H329" t="s">
        <v>65</v>
      </c>
      <c r="I329" t="s">
        <v>66</v>
      </c>
      <c r="J329" t="s">
        <v>2001</v>
      </c>
      <c r="K329" t="s">
        <v>2036</v>
      </c>
      <c r="L329" t="s">
        <v>69</v>
      </c>
      <c r="M329" t="s">
        <v>69</v>
      </c>
      <c r="N329" t="s">
        <v>69</v>
      </c>
      <c r="O329" t="s">
        <v>69</v>
      </c>
      <c r="P329" t="s">
        <v>70</v>
      </c>
      <c r="Q329" t="s">
        <v>1168</v>
      </c>
      <c r="R329" s="3" t="s">
        <v>253</v>
      </c>
      <c r="S329">
        <v>60</v>
      </c>
      <c r="T329" t="s">
        <v>182</v>
      </c>
      <c r="U329" t="s">
        <v>93</v>
      </c>
      <c r="V329" t="s">
        <v>2037</v>
      </c>
      <c r="W329" t="s">
        <v>184</v>
      </c>
      <c r="X329">
        <v>3</v>
      </c>
      <c r="Y329">
        <v>3</v>
      </c>
      <c r="Z329">
        <v>3</v>
      </c>
      <c r="AA329">
        <v>3</v>
      </c>
      <c r="AB329">
        <v>4</v>
      </c>
      <c r="AC329">
        <v>4</v>
      </c>
      <c r="AD329">
        <v>0</v>
      </c>
      <c r="AE329">
        <v>0</v>
      </c>
      <c r="AF329">
        <v>3</v>
      </c>
      <c r="AG329">
        <v>3</v>
      </c>
      <c r="AH329">
        <v>3</v>
      </c>
      <c r="AI329">
        <v>3</v>
      </c>
      <c r="AJ329">
        <v>4</v>
      </c>
      <c r="AK329">
        <v>4</v>
      </c>
      <c r="AL329">
        <v>4</v>
      </c>
      <c r="AM329">
        <v>4</v>
      </c>
      <c r="AN329">
        <v>3</v>
      </c>
      <c r="AO329">
        <v>3</v>
      </c>
      <c r="AQ329">
        <v>0</v>
      </c>
      <c r="AR329" t="s">
        <v>69</v>
      </c>
      <c r="AT329">
        <v>0</v>
      </c>
      <c r="AU329" t="s">
        <v>69</v>
      </c>
      <c r="AW329">
        <v>0</v>
      </c>
      <c r="AX329" t="s">
        <v>69</v>
      </c>
      <c r="AY329" t="s">
        <v>2038</v>
      </c>
      <c r="AZ329" t="s">
        <v>77</v>
      </c>
      <c r="BA329">
        <v>3</v>
      </c>
      <c r="BB329">
        <v>2</v>
      </c>
      <c r="BC329" t="s">
        <v>2039</v>
      </c>
      <c r="BD329" t="s">
        <v>235</v>
      </c>
      <c r="BE329" t="s">
        <v>1305</v>
      </c>
      <c r="BF329" t="s">
        <v>81</v>
      </c>
      <c r="BG329" t="s">
        <v>2040</v>
      </c>
      <c r="BH329" t="s">
        <v>813</v>
      </c>
      <c r="BI329" t="s">
        <v>83</v>
      </c>
    </row>
    <row r="330" spans="1:61" x14ac:dyDescent="0.35">
      <c r="A330">
        <v>329</v>
      </c>
      <c r="B330">
        <v>45846.798495370371</v>
      </c>
      <c r="C330" t="s">
        <v>2041</v>
      </c>
      <c r="D330" t="s">
        <v>2042</v>
      </c>
      <c r="E330" t="s">
        <v>63</v>
      </c>
      <c r="F330" t="s">
        <v>125</v>
      </c>
      <c r="G330" t="s">
        <v>2043</v>
      </c>
      <c r="H330" t="s">
        <v>65</v>
      </c>
      <c r="I330" t="s">
        <v>66</v>
      </c>
      <c r="J330" t="s">
        <v>2001</v>
      </c>
      <c r="K330" t="s">
        <v>2044</v>
      </c>
      <c r="L330" t="s">
        <v>69</v>
      </c>
      <c r="M330" t="s">
        <v>69</v>
      </c>
      <c r="N330" t="s">
        <v>69</v>
      </c>
      <c r="O330" t="s">
        <v>69</v>
      </c>
      <c r="P330" t="s">
        <v>70</v>
      </c>
      <c r="Q330" t="s">
        <v>1168</v>
      </c>
      <c r="R330" s="3" t="s">
        <v>404</v>
      </c>
      <c r="S330">
        <v>42</v>
      </c>
      <c r="T330" t="s">
        <v>197</v>
      </c>
      <c r="U330" t="s">
        <v>73</v>
      </c>
      <c r="V330" t="s">
        <v>110</v>
      </c>
      <c r="W330" t="s">
        <v>110</v>
      </c>
      <c r="X330">
        <v>3</v>
      </c>
      <c r="Y330">
        <v>3</v>
      </c>
      <c r="Z330">
        <v>4</v>
      </c>
      <c r="AA330">
        <v>4</v>
      </c>
      <c r="AB330">
        <v>4</v>
      </c>
      <c r="AC330">
        <v>4</v>
      </c>
      <c r="AD330">
        <v>0</v>
      </c>
      <c r="AE330">
        <v>0</v>
      </c>
      <c r="AF330">
        <v>3</v>
      </c>
      <c r="AG330">
        <v>3</v>
      </c>
      <c r="AH330">
        <v>3</v>
      </c>
      <c r="AI330">
        <v>3</v>
      </c>
      <c r="AJ330">
        <v>3</v>
      </c>
      <c r="AK330">
        <v>3</v>
      </c>
      <c r="AL330">
        <v>3</v>
      </c>
      <c r="AM330">
        <v>3</v>
      </c>
      <c r="AN330">
        <v>3</v>
      </c>
      <c r="AO330">
        <v>3</v>
      </c>
      <c r="AQ330">
        <v>0</v>
      </c>
      <c r="AR330" t="s">
        <v>69</v>
      </c>
      <c r="AT330">
        <v>0</v>
      </c>
      <c r="AU330" t="s">
        <v>69</v>
      </c>
      <c r="AW330">
        <v>0</v>
      </c>
      <c r="AX330" t="s">
        <v>69</v>
      </c>
      <c r="AY330" t="s">
        <v>2045</v>
      </c>
      <c r="AZ330" t="s">
        <v>450</v>
      </c>
      <c r="BA330">
        <v>1</v>
      </c>
      <c r="BB330">
        <v>4</v>
      </c>
      <c r="BC330" t="s">
        <v>2046</v>
      </c>
      <c r="BD330" t="s">
        <v>112</v>
      </c>
      <c r="BE330" t="s">
        <v>2047</v>
      </c>
      <c r="BF330" t="s">
        <v>81</v>
      </c>
      <c r="BG330" t="s">
        <v>2048</v>
      </c>
      <c r="BH330" t="s">
        <v>190</v>
      </c>
      <c r="BI330" t="s">
        <v>83</v>
      </c>
    </row>
    <row r="331" spans="1:61" x14ac:dyDescent="0.35">
      <c r="A331">
        <v>330</v>
      </c>
      <c r="B331">
        <v>45846.800937499997</v>
      </c>
      <c r="C331" t="s">
        <v>2049</v>
      </c>
      <c r="D331" t="s">
        <v>2050</v>
      </c>
      <c r="E331" t="s">
        <v>63</v>
      </c>
      <c r="F331" t="s">
        <v>125</v>
      </c>
      <c r="G331" t="s">
        <v>2051</v>
      </c>
      <c r="H331" t="s">
        <v>65</v>
      </c>
      <c r="I331" t="s">
        <v>66</v>
      </c>
      <c r="J331" t="s">
        <v>2001</v>
      </c>
      <c r="K331" t="s">
        <v>2052</v>
      </c>
      <c r="L331" t="s">
        <v>69</v>
      </c>
      <c r="M331" t="s">
        <v>69</v>
      </c>
      <c r="N331" t="s">
        <v>69</v>
      </c>
      <c r="O331" t="s">
        <v>69</v>
      </c>
      <c r="P331" t="s">
        <v>70</v>
      </c>
      <c r="Q331" t="s">
        <v>1168</v>
      </c>
      <c r="R331" s="3" t="s">
        <v>884</v>
      </c>
      <c r="S331">
        <v>38</v>
      </c>
      <c r="T331" t="s">
        <v>153</v>
      </c>
      <c r="U331" t="s">
        <v>73</v>
      </c>
      <c r="V331" t="s">
        <v>110</v>
      </c>
      <c r="W331" t="s">
        <v>110</v>
      </c>
      <c r="X331">
        <v>4</v>
      </c>
      <c r="Y331">
        <v>4</v>
      </c>
      <c r="Z331">
        <v>4</v>
      </c>
      <c r="AA331">
        <v>4</v>
      </c>
      <c r="AB331">
        <v>4</v>
      </c>
      <c r="AC331">
        <v>4</v>
      </c>
      <c r="AD331">
        <v>0</v>
      </c>
      <c r="AE331">
        <v>0</v>
      </c>
      <c r="AF331">
        <v>4</v>
      </c>
      <c r="AG331">
        <v>4</v>
      </c>
      <c r="AH331">
        <v>4</v>
      </c>
      <c r="AI331">
        <v>4</v>
      </c>
      <c r="AJ331">
        <v>4</v>
      </c>
      <c r="AK331">
        <v>4</v>
      </c>
      <c r="AL331">
        <v>4</v>
      </c>
      <c r="AM331">
        <v>4</v>
      </c>
      <c r="AN331">
        <v>4</v>
      </c>
      <c r="AO331">
        <v>4</v>
      </c>
      <c r="AP331">
        <v>1</v>
      </c>
      <c r="AQ331">
        <v>4</v>
      </c>
      <c r="AR331" t="s">
        <v>75</v>
      </c>
      <c r="AT331">
        <v>0</v>
      </c>
      <c r="AU331" t="s">
        <v>69</v>
      </c>
      <c r="AW331">
        <v>0</v>
      </c>
      <c r="AX331" t="s">
        <v>69</v>
      </c>
      <c r="AY331" t="s">
        <v>83</v>
      </c>
      <c r="AZ331" t="s">
        <v>96</v>
      </c>
      <c r="BA331">
        <v>0</v>
      </c>
      <c r="BB331">
        <v>0</v>
      </c>
      <c r="BC331" t="s">
        <v>2053</v>
      </c>
      <c r="BD331" t="s">
        <v>112</v>
      </c>
      <c r="BE331" t="s">
        <v>462</v>
      </c>
      <c r="BF331" t="s">
        <v>79</v>
      </c>
      <c r="BG331" t="s">
        <v>248</v>
      </c>
      <c r="BH331" t="s">
        <v>79</v>
      </c>
      <c r="BI331" t="s">
        <v>83</v>
      </c>
    </row>
    <row r="332" spans="1:61" x14ac:dyDescent="0.35">
      <c r="A332">
        <v>331</v>
      </c>
      <c r="B332">
        <v>45846.804837962962</v>
      </c>
      <c r="C332" t="s">
        <v>2054</v>
      </c>
      <c r="D332" t="s">
        <v>2055</v>
      </c>
      <c r="E332" t="s">
        <v>63</v>
      </c>
      <c r="F332" t="s">
        <v>136</v>
      </c>
      <c r="G332" t="s">
        <v>2056</v>
      </c>
      <c r="H332" t="s">
        <v>65</v>
      </c>
      <c r="I332" t="s">
        <v>66</v>
      </c>
      <c r="J332" t="s">
        <v>2001</v>
      </c>
      <c r="K332" t="s">
        <v>2057</v>
      </c>
      <c r="L332" t="s">
        <v>69</v>
      </c>
      <c r="M332" t="s">
        <v>69</v>
      </c>
      <c r="N332" t="s">
        <v>69</v>
      </c>
      <c r="O332" t="s">
        <v>69</v>
      </c>
      <c r="P332" t="s">
        <v>70</v>
      </c>
      <c r="Q332" t="s">
        <v>1168</v>
      </c>
      <c r="R332" s="3" t="s">
        <v>1208</v>
      </c>
      <c r="S332">
        <v>55</v>
      </c>
      <c r="T332" t="s">
        <v>383</v>
      </c>
      <c r="U332" t="s">
        <v>1343</v>
      </c>
      <c r="V332" t="s">
        <v>154</v>
      </c>
      <c r="W332" t="s">
        <v>154</v>
      </c>
      <c r="X332">
        <v>4</v>
      </c>
      <c r="Y332">
        <v>4</v>
      </c>
      <c r="Z332">
        <v>3</v>
      </c>
      <c r="AA332">
        <v>3</v>
      </c>
      <c r="AB332">
        <v>3</v>
      </c>
      <c r="AC332">
        <v>3</v>
      </c>
      <c r="AD332">
        <v>0</v>
      </c>
      <c r="AE332">
        <v>0</v>
      </c>
      <c r="AF332">
        <v>4</v>
      </c>
      <c r="AG332">
        <v>4</v>
      </c>
      <c r="AH332">
        <v>3</v>
      </c>
      <c r="AI332">
        <v>3</v>
      </c>
      <c r="AJ332">
        <v>4</v>
      </c>
      <c r="AK332">
        <v>4</v>
      </c>
      <c r="AL332">
        <v>4</v>
      </c>
      <c r="AM332">
        <v>4</v>
      </c>
      <c r="AN332">
        <v>3</v>
      </c>
      <c r="AO332">
        <v>3</v>
      </c>
      <c r="AP332">
        <v>1</v>
      </c>
      <c r="AQ332">
        <v>4</v>
      </c>
      <c r="AR332" t="s">
        <v>75</v>
      </c>
      <c r="AS332">
        <v>1</v>
      </c>
      <c r="AT332">
        <v>4</v>
      </c>
      <c r="AU332" t="s">
        <v>75</v>
      </c>
      <c r="AW332">
        <v>0</v>
      </c>
      <c r="AX332" t="s">
        <v>69</v>
      </c>
      <c r="AY332" t="s">
        <v>2058</v>
      </c>
      <c r="AZ332" t="s">
        <v>1162</v>
      </c>
      <c r="BA332">
        <v>2</v>
      </c>
      <c r="BB332">
        <v>3</v>
      </c>
      <c r="BC332" t="s">
        <v>2059</v>
      </c>
      <c r="BD332" t="s">
        <v>486</v>
      </c>
      <c r="BE332" t="s">
        <v>2060</v>
      </c>
      <c r="BF332" t="s">
        <v>81</v>
      </c>
      <c r="BG332" t="s">
        <v>2061</v>
      </c>
      <c r="BH332" t="s">
        <v>190</v>
      </c>
      <c r="BI332" t="s">
        <v>83</v>
      </c>
    </row>
    <row r="333" spans="1:61" x14ac:dyDescent="0.35">
      <c r="A333">
        <v>332</v>
      </c>
      <c r="B333">
        <v>45847.260960648149</v>
      </c>
      <c r="C333" t="s">
        <v>2062</v>
      </c>
      <c r="D333" t="s">
        <v>2063</v>
      </c>
      <c r="E333" t="s">
        <v>904</v>
      </c>
      <c r="F333" t="s">
        <v>1963</v>
      </c>
      <c r="G333" t="s">
        <v>2064</v>
      </c>
      <c r="H333" t="s">
        <v>138</v>
      </c>
      <c r="I333" t="s">
        <v>2065</v>
      </c>
      <c r="J333" t="s">
        <v>2066</v>
      </c>
      <c r="K333" t="s">
        <v>2067</v>
      </c>
      <c r="L333" t="s">
        <v>69</v>
      </c>
      <c r="M333" t="s">
        <v>69</v>
      </c>
      <c r="N333" t="s">
        <v>69</v>
      </c>
      <c r="O333" t="s">
        <v>69</v>
      </c>
      <c r="P333" t="s">
        <v>106</v>
      </c>
      <c r="Q333" t="s">
        <v>1168</v>
      </c>
      <c r="R333" s="3">
        <v>52</v>
      </c>
      <c r="S333">
        <v>52</v>
      </c>
      <c r="T333" t="s">
        <v>383</v>
      </c>
      <c r="U333" t="s">
        <v>73</v>
      </c>
      <c r="V333" t="s">
        <v>2068</v>
      </c>
      <c r="W333" t="s">
        <v>133</v>
      </c>
      <c r="X333">
        <v>3</v>
      </c>
      <c r="Y333">
        <v>3</v>
      </c>
      <c r="Z333">
        <v>2</v>
      </c>
      <c r="AA333">
        <v>3</v>
      </c>
      <c r="AB333">
        <v>2</v>
      </c>
      <c r="AC333">
        <v>3</v>
      </c>
      <c r="AD333">
        <v>0</v>
      </c>
      <c r="AE333">
        <v>0</v>
      </c>
      <c r="AF333">
        <v>3</v>
      </c>
      <c r="AG333">
        <v>3</v>
      </c>
      <c r="AH333">
        <v>3</v>
      </c>
      <c r="AI333">
        <v>4</v>
      </c>
      <c r="AJ333">
        <v>3</v>
      </c>
      <c r="AK333">
        <v>4</v>
      </c>
      <c r="AL333">
        <v>3</v>
      </c>
      <c r="AM333">
        <v>3</v>
      </c>
      <c r="AN333">
        <v>3</v>
      </c>
      <c r="AO333">
        <v>4</v>
      </c>
      <c r="AQ333">
        <v>0</v>
      </c>
      <c r="AR333" t="s">
        <v>69</v>
      </c>
      <c r="AT333">
        <v>0</v>
      </c>
      <c r="AU333" t="s">
        <v>69</v>
      </c>
      <c r="AW333">
        <v>0</v>
      </c>
      <c r="AX333" t="s">
        <v>69</v>
      </c>
      <c r="AY333" t="s">
        <v>734</v>
      </c>
      <c r="AZ333" t="s">
        <v>77</v>
      </c>
      <c r="BA333">
        <v>2</v>
      </c>
      <c r="BB333">
        <v>3</v>
      </c>
      <c r="BC333" t="s">
        <v>2069</v>
      </c>
      <c r="BD333" t="s">
        <v>99</v>
      </c>
      <c r="BE333" t="s">
        <v>2069</v>
      </c>
      <c r="BF333" t="s">
        <v>99</v>
      </c>
      <c r="BG333" t="s">
        <v>2069</v>
      </c>
      <c r="BH333" t="s">
        <v>99</v>
      </c>
      <c r="BI333" t="s">
        <v>2070</v>
      </c>
    </row>
    <row r="334" spans="1:61" x14ac:dyDescent="0.35">
      <c r="A334">
        <v>333</v>
      </c>
      <c r="B334">
        <v>45847.674004629633</v>
      </c>
      <c r="C334" t="s">
        <v>2071</v>
      </c>
      <c r="D334" t="s">
        <v>86</v>
      </c>
      <c r="E334" t="s">
        <v>63</v>
      </c>
      <c r="F334" t="s">
        <v>86</v>
      </c>
      <c r="G334" t="s">
        <v>2072</v>
      </c>
      <c r="H334" t="s">
        <v>1679</v>
      </c>
      <c r="I334" t="s">
        <v>439</v>
      </c>
      <c r="J334" t="s">
        <v>2073</v>
      </c>
      <c r="K334" t="s">
        <v>1116</v>
      </c>
      <c r="L334" t="s">
        <v>69</v>
      </c>
      <c r="M334" t="s">
        <v>69</v>
      </c>
      <c r="N334" t="s">
        <v>69</v>
      </c>
      <c r="O334" t="s">
        <v>69</v>
      </c>
      <c r="P334" t="s">
        <v>106</v>
      </c>
      <c r="Q334" t="s">
        <v>1168</v>
      </c>
      <c r="R334" s="3" t="s">
        <v>873</v>
      </c>
      <c r="S334">
        <v>37</v>
      </c>
      <c r="T334" t="s">
        <v>153</v>
      </c>
      <c r="U334" t="s">
        <v>93</v>
      </c>
      <c r="V334" t="s">
        <v>2074</v>
      </c>
      <c r="W334" t="s">
        <v>74</v>
      </c>
      <c r="X334">
        <v>3</v>
      </c>
      <c r="Y334">
        <v>3</v>
      </c>
      <c r="Z334">
        <v>3</v>
      </c>
      <c r="AA334">
        <v>3</v>
      </c>
      <c r="AB334">
        <v>3</v>
      </c>
      <c r="AC334">
        <v>3</v>
      </c>
      <c r="AD334">
        <v>0</v>
      </c>
      <c r="AE334">
        <v>0</v>
      </c>
      <c r="AF334">
        <v>3</v>
      </c>
      <c r="AG334">
        <v>3</v>
      </c>
      <c r="AH334">
        <v>3</v>
      </c>
      <c r="AI334">
        <v>3</v>
      </c>
      <c r="AJ334">
        <v>3</v>
      </c>
      <c r="AK334">
        <v>3</v>
      </c>
      <c r="AL334">
        <v>4</v>
      </c>
      <c r="AM334">
        <v>4</v>
      </c>
      <c r="AN334">
        <v>4</v>
      </c>
      <c r="AO334">
        <v>4</v>
      </c>
      <c r="AQ334">
        <v>0</v>
      </c>
      <c r="AR334" t="s">
        <v>69</v>
      </c>
      <c r="AS334">
        <v>2</v>
      </c>
      <c r="AT334">
        <v>3</v>
      </c>
      <c r="AU334" t="s">
        <v>75</v>
      </c>
      <c r="AW334">
        <v>0</v>
      </c>
      <c r="AX334" t="s">
        <v>69</v>
      </c>
      <c r="AY334" t="s">
        <v>83</v>
      </c>
      <c r="AZ334" t="s">
        <v>96</v>
      </c>
      <c r="BA334">
        <v>0</v>
      </c>
      <c r="BB334">
        <v>0</v>
      </c>
      <c r="BC334" t="s">
        <v>503</v>
      </c>
      <c r="BD334" t="s">
        <v>79</v>
      </c>
      <c r="BE334" t="s">
        <v>503</v>
      </c>
      <c r="BF334" t="s">
        <v>79</v>
      </c>
      <c r="BG334" t="s">
        <v>503</v>
      </c>
      <c r="BH334" t="s">
        <v>79</v>
      </c>
      <c r="BI334" t="s">
        <v>83</v>
      </c>
    </row>
    <row r="335" spans="1:61" x14ac:dyDescent="0.35">
      <c r="A335">
        <v>334</v>
      </c>
      <c r="B335">
        <v>45847.677986111114</v>
      </c>
      <c r="C335" t="s">
        <v>2075</v>
      </c>
      <c r="D335" t="s">
        <v>2076</v>
      </c>
      <c r="E335" t="s">
        <v>63</v>
      </c>
      <c r="F335" t="s">
        <v>179</v>
      </c>
      <c r="G335" t="s">
        <v>2077</v>
      </c>
      <c r="H335" t="s">
        <v>1679</v>
      </c>
      <c r="I335" t="s">
        <v>439</v>
      </c>
      <c r="J335" t="s">
        <v>2073</v>
      </c>
      <c r="K335" t="s">
        <v>2078</v>
      </c>
      <c r="L335" t="s">
        <v>69</v>
      </c>
      <c r="M335" t="s">
        <v>69</v>
      </c>
      <c r="N335" t="s">
        <v>69</v>
      </c>
      <c r="O335" t="s">
        <v>69</v>
      </c>
      <c r="P335" t="s">
        <v>70</v>
      </c>
      <c r="Q335" t="s">
        <v>1168</v>
      </c>
      <c r="R335" s="3" t="s">
        <v>1325</v>
      </c>
      <c r="S335">
        <v>50</v>
      </c>
      <c r="T335" t="s">
        <v>225</v>
      </c>
      <c r="U335" t="s">
        <v>273</v>
      </c>
      <c r="V335" t="s">
        <v>2079</v>
      </c>
      <c r="W335" t="s">
        <v>110</v>
      </c>
      <c r="X335">
        <v>4</v>
      </c>
      <c r="Y335">
        <v>4</v>
      </c>
      <c r="Z335">
        <v>4</v>
      </c>
      <c r="AA335">
        <v>4</v>
      </c>
      <c r="AB335">
        <v>4</v>
      </c>
      <c r="AC335">
        <v>4</v>
      </c>
      <c r="AD335">
        <v>0</v>
      </c>
      <c r="AE335">
        <v>0</v>
      </c>
      <c r="AF335">
        <v>4</v>
      </c>
      <c r="AG335">
        <v>4</v>
      </c>
      <c r="AH335">
        <v>4</v>
      </c>
      <c r="AI335">
        <v>4</v>
      </c>
      <c r="AJ335">
        <v>4</v>
      </c>
      <c r="AK335">
        <v>4</v>
      </c>
      <c r="AL335">
        <v>4</v>
      </c>
      <c r="AM335">
        <v>4</v>
      </c>
      <c r="AN335">
        <v>4</v>
      </c>
      <c r="AO335">
        <v>4</v>
      </c>
      <c r="AQ335">
        <v>0</v>
      </c>
      <c r="AR335" t="s">
        <v>69</v>
      </c>
      <c r="AS335">
        <v>2</v>
      </c>
      <c r="AT335">
        <v>3</v>
      </c>
      <c r="AU335" t="s">
        <v>75</v>
      </c>
      <c r="AW335">
        <v>0</v>
      </c>
      <c r="AX335" t="s">
        <v>69</v>
      </c>
      <c r="AY335" t="s">
        <v>83</v>
      </c>
      <c r="AZ335" t="s">
        <v>96</v>
      </c>
      <c r="BA335">
        <v>0</v>
      </c>
      <c r="BB335">
        <v>0</v>
      </c>
      <c r="BC335" t="s">
        <v>503</v>
      </c>
      <c r="BD335" t="s">
        <v>79</v>
      </c>
      <c r="BE335" t="s">
        <v>503</v>
      </c>
      <c r="BF335" t="s">
        <v>79</v>
      </c>
      <c r="BG335" t="s">
        <v>2080</v>
      </c>
      <c r="BH335" t="s">
        <v>685</v>
      </c>
      <c r="BI335" t="s">
        <v>83</v>
      </c>
    </row>
    <row r="336" spans="1:61" x14ac:dyDescent="0.35">
      <c r="A336">
        <v>335</v>
      </c>
      <c r="B336">
        <v>45847.719444444447</v>
      </c>
      <c r="C336" t="s">
        <v>2081</v>
      </c>
      <c r="D336" t="s">
        <v>2082</v>
      </c>
      <c r="E336" t="s">
        <v>63</v>
      </c>
      <c r="F336" t="s">
        <v>179</v>
      </c>
      <c r="G336" t="s">
        <v>2083</v>
      </c>
      <c r="H336" t="s">
        <v>88</v>
      </c>
      <c r="I336" t="s">
        <v>89</v>
      </c>
      <c r="J336" t="s">
        <v>2084</v>
      </c>
      <c r="K336" t="s">
        <v>1726</v>
      </c>
      <c r="L336" t="s">
        <v>69</v>
      </c>
      <c r="M336" t="s">
        <v>69</v>
      </c>
      <c r="N336" t="s">
        <v>69</v>
      </c>
      <c r="O336" t="s">
        <v>69</v>
      </c>
      <c r="P336" t="s">
        <v>106</v>
      </c>
      <c r="Q336" t="s">
        <v>1168</v>
      </c>
      <c r="R336" s="3" t="s">
        <v>91</v>
      </c>
      <c r="S336">
        <v>27</v>
      </c>
      <c r="T336" t="s">
        <v>92</v>
      </c>
      <c r="U336" t="s">
        <v>73</v>
      </c>
      <c r="V336" t="s">
        <v>74</v>
      </c>
      <c r="W336" t="s">
        <v>74</v>
      </c>
      <c r="X336">
        <v>4</v>
      </c>
      <c r="Y336">
        <v>3</v>
      </c>
      <c r="Z336">
        <v>4</v>
      </c>
      <c r="AA336">
        <v>3</v>
      </c>
      <c r="AB336">
        <v>4</v>
      </c>
      <c r="AC336">
        <v>4</v>
      </c>
      <c r="AD336">
        <v>0</v>
      </c>
      <c r="AE336">
        <v>0</v>
      </c>
      <c r="AF336">
        <v>4</v>
      </c>
      <c r="AG336">
        <v>4</v>
      </c>
      <c r="AH336">
        <v>4</v>
      </c>
      <c r="AI336">
        <v>4</v>
      </c>
      <c r="AJ336">
        <v>4</v>
      </c>
      <c r="AK336">
        <v>4</v>
      </c>
      <c r="AL336">
        <v>4</v>
      </c>
      <c r="AM336">
        <v>3</v>
      </c>
      <c r="AN336">
        <v>3</v>
      </c>
      <c r="AO336">
        <v>3</v>
      </c>
      <c r="AP336">
        <v>1</v>
      </c>
      <c r="AQ336">
        <v>4</v>
      </c>
      <c r="AR336" t="s">
        <v>75</v>
      </c>
      <c r="AT336">
        <v>0</v>
      </c>
      <c r="AU336" t="s">
        <v>69</v>
      </c>
      <c r="AW336">
        <v>0</v>
      </c>
      <c r="AX336" t="s">
        <v>69</v>
      </c>
      <c r="AY336" t="s">
        <v>83</v>
      </c>
      <c r="AZ336" t="s">
        <v>96</v>
      </c>
      <c r="BA336">
        <v>0</v>
      </c>
      <c r="BB336">
        <v>0</v>
      </c>
      <c r="BC336" t="s">
        <v>98</v>
      </c>
      <c r="BD336" t="s">
        <v>99</v>
      </c>
      <c r="BE336" t="s">
        <v>98</v>
      </c>
      <c r="BF336" t="s">
        <v>99</v>
      </c>
      <c r="BG336" t="s">
        <v>98</v>
      </c>
      <c r="BH336" t="s">
        <v>99</v>
      </c>
      <c r="BI336" t="s">
        <v>98</v>
      </c>
    </row>
    <row r="337" spans="1:61" x14ac:dyDescent="0.35">
      <c r="A337">
        <v>336</v>
      </c>
      <c r="B337">
        <v>45847.721574074072</v>
      </c>
      <c r="C337" t="s">
        <v>2085</v>
      </c>
      <c r="D337" t="s">
        <v>2086</v>
      </c>
      <c r="E337" t="s">
        <v>63</v>
      </c>
      <c r="F337" t="s">
        <v>86</v>
      </c>
      <c r="G337" t="s">
        <v>2087</v>
      </c>
      <c r="H337" t="s">
        <v>88</v>
      </c>
      <c r="I337" t="s">
        <v>2088</v>
      </c>
      <c r="J337" t="s">
        <v>2084</v>
      </c>
      <c r="K337" t="s">
        <v>2089</v>
      </c>
      <c r="L337" t="s">
        <v>69</v>
      </c>
      <c r="M337" t="s">
        <v>69</v>
      </c>
      <c r="N337" t="s">
        <v>69</v>
      </c>
      <c r="O337" t="s">
        <v>69</v>
      </c>
      <c r="P337" t="s">
        <v>70</v>
      </c>
      <c r="Q337" t="s">
        <v>1168</v>
      </c>
      <c r="R337" s="3" t="s">
        <v>108</v>
      </c>
      <c r="S337">
        <v>32</v>
      </c>
      <c r="T337" t="s">
        <v>109</v>
      </c>
      <c r="U337" t="s">
        <v>73</v>
      </c>
      <c r="V337" t="s">
        <v>110</v>
      </c>
      <c r="W337" t="s">
        <v>110</v>
      </c>
      <c r="X337">
        <v>3</v>
      </c>
      <c r="Y337">
        <v>4</v>
      </c>
      <c r="Z337">
        <v>3</v>
      </c>
      <c r="AA337">
        <v>4</v>
      </c>
      <c r="AB337">
        <v>4</v>
      </c>
      <c r="AC337">
        <v>4</v>
      </c>
      <c r="AD337">
        <v>0</v>
      </c>
      <c r="AE337">
        <v>0</v>
      </c>
      <c r="AF337">
        <v>4</v>
      </c>
      <c r="AG337">
        <v>4</v>
      </c>
      <c r="AH337">
        <v>3</v>
      </c>
      <c r="AI337">
        <v>4</v>
      </c>
      <c r="AJ337">
        <v>4</v>
      </c>
      <c r="AK337">
        <v>4</v>
      </c>
      <c r="AL337">
        <v>3</v>
      </c>
      <c r="AM337">
        <v>4</v>
      </c>
      <c r="AN337">
        <v>3</v>
      </c>
      <c r="AO337">
        <v>4</v>
      </c>
      <c r="AQ337">
        <v>0</v>
      </c>
      <c r="AR337" t="s">
        <v>69</v>
      </c>
      <c r="AT337">
        <v>0</v>
      </c>
      <c r="AU337" t="s">
        <v>69</v>
      </c>
      <c r="AW337">
        <v>0</v>
      </c>
      <c r="AX337" t="s">
        <v>69</v>
      </c>
      <c r="AY337" t="s">
        <v>2074</v>
      </c>
      <c r="AZ337" t="s">
        <v>1162</v>
      </c>
      <c r="BA337">
        <v>1</v>
      </c>
      <c r="BB337">
        <v>4</v>
      </c>
      <c r="BC337" t="s">
        <v>98</v>
      </c>
      <c r="BD337" t="s">
        <v>99</v>
      </c>
      <c r="BE337" t="s">
        <v>98</v>
      </c>
      <c r="BF337" t="s">
        <v>99</v>
      </c>
      <c r="BG337" t="s">
        <v>98</v>
      </c>
      <c r="BH337" t="s">
        <v>99</v>
      </c>
      <c r="BI337" t="s">
        <v>98</v>
      </c>
    </row>
    <row r="338" spans="1:61" x14ac:dyDescent="0.35">
      <c r="A338">
        <v>337</v>
      </c>
      <c r="B338">
        <v>45847.725462962961</v>
      </c>
      <c r="C338" t="s">
        <v>2090</v>
      </c>
      <c r="D338" t="s">
        <v>2091</v>
      </c>
      <c r="E338" t="s">
        <v>63</v>
      </c>
      <c r="F338" t="s">
        <v>63</v>
      </c>
      <c r="G338" t="s">
        <v>2092</v>
      </c>
      <c r="H338" t="s">
        <v>88</v>
      </c>
      <c r="I338" t="s">
        <v>2088</v>
      </c>
      <c r="J338" t="s">
        <v>2084</v>
      </c>
      <c r="K338" t="s">
        <v>560</v>
      </c>
      <c r="L338" t="s">
        <v>69</v>
      </c>
      <c r="M338" t="s">
        <v>69</v>
      </c>
      <c r="N338" t="s">
        <v>69</v>
      </c>
      <c r="O338" t="s">
        <v>69</v>
      </c>
      <c r="P338" t="s">
        <v>70</v>
      </c>
      <c r="Q338" t="s">
        <v>1168</v>
      </c>
      <c r="R338" s="3" t="s">
        <v>680</v>
      </c>
      <c r="S338">
        <v>39</v>
      </c>
      <c r="T338" t="s">
        <v>153</v>
      </c>
      <c r="U338" t="s">
        <v>254</v>
      </c>
      <c r="V338" t="s">
        <v>110</v>
      </c>
      <c r="W338" t="s">
        <v>110</v>
      </c>
      <c r="X338">
        <v>4</v>
      </c>
      <c r="Y338">
        <v>4</v>
      </c>
      <c r="Z338">
        <v>4</v>
      </c>
      <c r="AA338">
        <v>4</v>
      </c>
      <c r="AB338">
        <v>3</v>
      </c>
      <c r="AC338">
        <v>3</v>
      </c>
      <c r="AD338">
        <v>0</v>
      </c>
      <c r="AE338">
        <v>0</v>
      </c>
      <c r="AF338">
        <v>3</v>
      </c>
      <c r="AG338">
        <v>4</v>
      </c>
      <c r="AH338">
        <v>4</v>
      </c>
      <c r="AI338">
        <v>4</v>
      </c>
      <c r="AJ338">
        <v>4</v>
      </c>
      <c r="AK338">
        <v>4</v>
      </c>
      <c r="AL338">
        <v>4</v>
      </c>
      <c r="AM338">
        <v>4</v>
      </c>
      <c r="AN338">
        <v>3</v>
      </c>
      <c r="AO338">
        <v>3</v>
      </c>
      <c r="AQ338">
        <v>0</v>
      </c>
      <c r="AR338" t="s">
        <v>69</v>
      </c>
      <c r="AT338">
        <v>0</v>
      </c>
      <c r="AU338" t="s">
        <v>69</v>
      </c>
      <c r="AV338">
        <v>1</v>
      </c>
      <c r="AW338">
        <v>4</v>
      </c>
      <c r="AX338" t="s">
        <v>69</v>
      </c>
      <c r="AY338" t="s">
        <v>83</v>
      </c>
      <c r="AZ338" t="s">
        <v>96</v>
      </c>
      <c r="BA338">
        <v>0</v>
      </c>
      <c r="BB338">
        <v>0</v>
      </c>
      <c r="BC338" t="s">
        <v>98</v>
      </c>
      <c r="BD338" t="s">
        <v>99</v>
      </c>
      <c r="BE338" t="s">
        <v>98</v>
      </c>
      <c r="BF338" t="s">
        <v>99</v>
      </c>
      <c r="BG338" t="s">
        <v>2093</v>
      </c>
      <c r="BH338" t="s">
        <v>146</v>
      </c>
      <c r="BI338" t="s">
        <v>98</v>
      </c>
    </row>
    <row r="339" spans="1:61" x14ac:dyDescent="0.35">
      <c r="A339">
        <v>338</v>
      </c>
      <c r="B339">
        <v>45847.728506944448</v>
      </c>
      <c r="C339" t="s">
        <v>2094</v>
      </c>
      <c r="D339" t="s">
        <v>2095</v>
      </c>
      <c r="E339" t="s">
        <v>63</v>
      </c>
      <c r="F339" t="s">
        <v>86</v>
      </c>
      <c r="G339" t="s">
        <v>2096</v>
      </c>
      <c r="H339" t="s">
        <v>88</v>
      </c>
      <c r="I339" t="s">
        <v>89</v>
      </c>
      <c r="J339" t="s">
        <v>2084</v>
      </c>
      <c r="K339" t="s">
        <v>927</v>
      </c>
      <c r="L339" t="s">
        <v>69</v>
      </c>
      <c r="M339" t="s">
        <v>69</v>
      </c>
      <c r="N339" t="s">
        <v>69</v>
      </c>
      <c r="O339" t="s">
        <v>69</v>
      </c>
      <c r="P339" t="s">
        <v>70</v>
      </c>
      <c r="Q339" t="s">
        <v>1168</v>
      </c>
      <c r="R339" s="3" t="s">
        <v>807</v>
      </c>
      <c r="S339">
        <v>36</v>
      </c>
      <c r="T339" t="s">
        <v>153</v>
      </c>
      <c r="U339" t="s">
        <v>73</v>
      </c>
      <c r="V339" t="s">
        <v>232</v>
      </c>
      <c r="W339" t="s">
        <v>232</v>
      </c>
      <c r="X339">
        <v>4</v>
      </c>
      <c r="Y339">
        <v>4</v>
      </c>
      <c r="Z339">
        <v>4</v>
      </c>
      <c r="AA339">
        <v>4</v>
      </c>
      <c r="AB339">
        <v>4</v>
      </c>
      <c r="AC339">
        <v>4</v>
      </c>
      <c r="AD339">
        <v>0</v>
      </c>
      <c r="AE339">
        <v>0</v>
      </c>
      <c r="AF339">
        <v>4</v>
      </c>
      <c r="AG339">
        <v>4</v>
      </c>
      <c r="AH339">
        <v>4</v>
      </c>
      <c r="AI339">
        <v>4</v>
      </c>
      <c r="AJ339">
        <v>4</v>
      </c>
      <c r="AK339">
        <v>4</v>
      </c>
      <c r="AL339">
        <v>4</v>
      </c>
      <c r="AM339">
        <v>4</v>
      </c>
      <c r="AN339">
        <v>4</v>
      </c>
      <c r="AO339">
        <v>4</v>
      </c>
      <c r="AQ339">
        <v>0</v>
      </c>
      <c r="AR339" t="s">
        <v>69</v>
      </c>
      <c r="AT339">
        <v>0</v>
      </c>
      <c r="AU339" t="s">
        <v>69</v>
      </c>
      <c r="AV339">
        <v>2</v>
      </c>
      <c r="AW339">
        <v>3</v>
      </c>
      <c r="AX339" t="s">
        <v>75</v>
      </c>
      <c r="AY339" t="s">
        <v>83</v>
      </c>
      <c r="AZ339" t="s">
        <v>96</v>
      </c>
      <c r="BA339">
        <v>0</v>
      </c>
      <c r="BB339">
        <v>0</v>
      </c>
      <c r="BC339" t="s">
        <v>98</v>
      </c>
      <c r="BD339" t="s">
        <v>99</v>
      </c>
      <c r="BE339" t="s">
        <v>98</v>
      </c>
      <c r="BF339" t="s">
        <v>99</v>
      </c>
      <c r="BG339" t="s">
        <v>98</v>
      </c>
      <c r="BH339" t="s">
        <v>99</v>
      </c>
      <c r="BI339" t="s">
        <v>98</v>
      </c>
    </row>
    <row r="340" spans="1:61" x14ac:dyDescent="0.35">
      <c r="A340">
        <v>339</v>
      </c>
      <c r="B340">
        <v>45847.731168981481</v>
      </c>
      <c r="C340" t="s">
        <v>2097</v>
      </c>
      <c r="D340" t="s">
        <v>2098</v>
      </c>
      <c r="E340" t="s">
        <v>63</v>
      </c>
      <c r="F340" t="s">
        <v>149</v>
      </c>
      <c r="G340" t="s">
        <v>2099</v>
      </c>
      <c r="H340" t="s">
        <v>88</v>
      </c>
      <c r="I340" t="s">
        <v>89</v>
      </c>
      <c r="J340" t="s">
        <v>2084</v>
      </c>
      <c r="K340" t="s">
        <v>2100</v>
      </c>
      <c r="L340" t="s">
        <v>69</v>
      </c>
      <c r="M340" t="s">
        <v>69</v>
      </c>
      <c r="N340" t="s">
        <v>69</v>
      </c>
      <c r="O340" t="s">
        <v>69</v>
      </c>
      <c r="P340" t="s">
        <v>106</v>
      </c>
      <c r="Q340" t="s">
        <v>1168</v>
      </c>
      <c r="R340" s="3" t="s">
        <v>538</v>
      </c>
      <c r="S340">
        <v>41</v>
      </c>
      <c r="T340" t="s">
        <v>197</v>
      </c>
      <c r="U340" t="s">
        <v>273</v>
      </c>
      <c r="V340" t="s">
        <v>110</v>
      </c>
      <c r="W340" t="s">
        <v>110</v>
      </c>
      <c r="X340">
        <v>3</v>
      </c>
      <c r="Y340">
        <v>4</v>
      </c>
      <c r="Z340">
        <v>3</v>
      </c>
      <c r="AA340">
        <v>3</v>
      </c>
      <c r="AB340">
        <v>3</v>
      </c>
      <c r="AC340">
        <v>3</v>
      </c>
      <c r="AD340">
        <v>0</v>
      </c>
      <c r="AE340">
        <v>0</v>
      </c>
      <c r="AF340">
        <v>3</v>
      </c>
      <c r="AG340">
        <v>3</v>
      </c>
      <c r="AH340">
        <v>3</v>
      </c>
      <c r="AI340">
        <v>3</v>
      </c>
      <c r="AJ340">
        <v>3</v>
      </c>
      <c r="AK340">
        <v>3</v>
      </c>
      <c r="AL340">
        <v>3</v>
      </c>
      <c r="AM340">
        <v>3</v>
      </c>
      <c r="AN340">
        <v>3</v>
      </c>
      <c r="AO340">
        <v>3</v>
      </c>
      <c r="AQ340">
        <v>0</v>
      </c>
      <c r="AR340" t="s">
        <v>69</v>
      </c>
      <c r="AT340">
        <v>0</v>
      </c>
      <c r="AU340" t="s">
        <v>69</v>
      </c>
      <c r="AV340">
        <v>2</v>
      </c>
      <c r="AW340">
        <v>3</v>
      </c>
      <c r="AX340" t="s">
        <v>75</v>
      </c>
      <c r="AY340" t="s">
        <v>83</v>
      </c>
      <c r="AZ340" t="s">
        <v>96</v>
      </c>
      <c r="BA340">
        <v>0</v>
      </c>
      <c r="BB340">
        <v>0</v>
      </c>
      <c r="BC340" t="s">
        <v>98</v>
      </c>
      <c r="BD340" t="s">
        <v>99</v>
      </c>
      <c r="BE340" t="s">
        <v>98</v>
      </c>
      <c r="BF340" t="s">
        <v>99</v>
      </c>
      <c r="BG340" t="s">
        <v>98</v>
      </c>
      <c r="BH340" t="s">
        <v>99</v>
      </c>
      <c r="BI340" t="s">
        <v>98</v>
      </c>
    </row>
    <row r="341" spans="1:61" x14ac:dyDescent="0.35">
      <c r="A341">
        <v>340</v>
      </c>
      <c r="B341">
        <v>45847.733090277776</v>
      </c>
      <c r="C341" t="s">
        <v>2101</v>
      </c>
      <c r="D341" t="s">
        <v>2102</v>
      </c>
      <c r="E341" t="s">
        <v>904</v>
      </c>
      <c r="F341" t="s">
        <v>1566</v>
      </c>
      <c r="G341" t="s">
        <v>2103</v>
      </c>
      <c r="H341" t="s">
        <v>1679</v>
      </c>
      <c r="I341" t="s">
        <v>439</v>
      </c>
      <c r="J341" t="s">
        <v>2073</v>
      </c>
      <c r="K341" t="s">
        <v>2104</v>
      </c>
      <c r="L341" t="s">
        <v>69</v>
      </c>
      <c r="M341" t="s">
        <v>69</v>
      </c>
      <c r="N341" t="s">
        <v>69</v>
      </c>
      <c r="O341" t="s">
        <v>69</v>
      </c>
      <c r="P341" t="s">
        <v>106</v>
      </c>
      <c r="Q341" t="s">
        <v>1168</v>
      </c>
      <c r="R341" s="3" t="s">
        <v>1325</v>
      </c>
      <c r="S341">
        <v>50</v>
      </c>
      <c r="T341" t="s">
        <v>225</v>
      </c>
      <c r="U341" t="s">
        <v>93</v>
      </c>
      <c r="V341" t="s">
        <v>74</v>
      </c>
      <c r="W341" t="s">
        <v>74</v>
      </c>
      <c r="X341">
        <v>4</v>
      </c>
      <c r="Y341">
        <v>4</v>
      </c>
      <c r="Z341">
        <v>3</v>
      </c>
      <c r="AA341">
        <v>3</v>
      </c>
      <c r="AB341">
        <v>4</v>
      </c>
      <c r="AC341">
        <v>4</v>
      </c>
      <c r="AD341">
        <v>0</v>
      </c>
      <c r="AE341">
        <v>0</v>
      </c>
      <c r="AF341">
        <v>4</v>
      </c>
      <c r="AG341">
        <v>4</v>
      </c>
      <c r="AH341">
        <v>4</v>
      </c>
      <c r="AI341">
        <v>4</v>
      </c>
      <c r="AJ341">
        <v>3</v>
      </c>
      <c r="AK341">
        <v>3</v>
      </c>
      <c r="AL341">
        <v>4</v>
      </c>
      <c r="AM341">
        <v>4</v>
      </c>
      <c r="AN341">
        <v>4</v>
      </c>
      <c r="AO341">
        <v>4</v>
      </c>
      <c r="AP341">
        <v>1</v>
      </c>
      <c r="AQ341">
        <v>4</v>
      </c>
      <c r="AR341" t="s">
        <v>75</v>
      </c>
      <c r="AT341">
        <v>0</v>
      </c>
      <c r="AU341" t="s">
        <v>69</v>
      </c>
      <c r="AW341">
        <v>0</v>
      </c>
      <c r="AX341" t="s">
        <v>69</v>
      </c>
      <c r="AY341" t="s">
        <v>83</v>
      </c>
      <c r="AZ341" t="s">
        <v>96</v>
      </c>
      <c r="BA341">
        <v>0</v>
      </c>
      <c r="BB341">
        <v>0</v>
      </c>
      <c r="BC341" t="s">
        <v>1728</v>
      </c>
      <c r="BD341" t="s">
        <v>99</v>
      </c>
      <c r="BE341" t="s">
        <v>503</v>
      </c>
      <c r="BF341" t="s">
        <v>79</v>
      </c>
      <c r="BG341" t="s">
        <v>2105</v>
      </c>
      <c r="BH341" t="s">
        <v>1875</v>
      </c>
      <c r="BI341" t="s">
        <v>83</v>
      </c>
    </row>
    <row r="342" spans="1:61" x14ac:dyDescent="0.35">
      <c r="A342">
        <v>341</v>
      </c>
      <c r="B342">
        <v>45847.734039351853</v>
      </c>
      <c r="C342" t="s">
        <v>2106</v>
      </c>
      <c r="D342" t="s">
        <v>2107</v>
      </c>
      <c r="E342" t="s">
        <v>63</v>
      </c>
      <c r="F342" t="s">
        <v>63</v>
      </c>
      <c r="G342" t="s">
        <v>2108</v>
      </c>
      <c r="H342" t="s">
        <v>88</v>
      </c>
      <c r="I342" t="s">
        <v>89</v>
      </c>
      <c r="J342" t="s">
        <v>2084</v>
      </c>
      <c r="K342" t="s">
        <v>491</v>
      </c>
      <c r="L342" t="s">
        <v>69</v>
      </c>
      <c r="M342" t="s">
        <v>69</v>
      </c>
      <c r="N342" t="s">
        <v>69</v>
      </c>
      <c r="O342" t="s">
        <v>69</v>
      </c>
      <c r="P342" t="s">
        <v>70</v>
      </c>
      <c r="Q342" t="s">
        <v>1168</v>
      </c>
      <c r="R342" s="3" t="s">
        <v>404</v>
      </c>
      <c r="S342">
        <v>42</v>
      </c>
      <c r="T342" t="s">
        <v>197</v>
      </c>
      <c r="U342" t="s">
        <v>73</v>
      </c>
      <c r="V342" t="s">
        <v>74</v>
      </c>
      <c r="W342" t="s">
        <v>74</v>
      </c>
      <c r="X342">
        <v>3</v>
      </c>
      <c r="Y342">
        <v>4</v>
      </c>
      <c r="Z342">
        <v>3</v>
      </c>
      <c r="AA342">
        <v>4</v>
      </c>
      <c r="AB342">
        <v>4</v>
      </c>
      <c r="AC342">
        <v>4</v>
      </c>
      <c r="AD342">
        <v>0</v>
      </c>
      <c r="AE342">
        <v>0</v>
      </c>
      <c r="AF342">
        <v>3</v>
      </c>
      <c r="AG342">
        <v>4</v>
      </c>
      <c r="AH342">
        <v>3</v>
      </c>
      <c r="AI342">
        <v>3</v>
      </c>
      <c r="AJ342">
        <v>3</v>
      </c>
      <c r="AK342">
        <v>3</v>
      </c>
      <c r="AL342">
        <v>3</v>
      </c>
      <c r="AM342">
        <v>3</v>
      </c>
      <c r="AN342">
        <v>3</v>
      </c>
      <c r="AO342">
        <v>3</v>
      </c>
      <c r="AQ342">
        <v>0</v>
      </c>
      <c r="AR342" t="s">
        <v>69</v>
      </c>
      <c r="AT342">
        <v>0</v>
      </c>
      <c r="AU342" t="s">
        <v>69</v>
      </c>
      <c r="AV342">
        <v>1</v>
      </c>
      <c r="AW342">
        <v>4</v>
      </c>
      <c r="AX342" t="s">
        <v>75</v>
      </c>
      <c r="AY342" t="s">
        <v>83</v>
      </c>
      <c r="AZ342" t="s">
        <v>96</v>
      </c>
      <c r="BA342">
        <v>0</v>
      </c>
      <c r="BB342">
        <v>0</v>
      </c>
      <c r="BC342" t="s">
        <v>98</v>
      </c>
      <c r="BD342" t="s">
        <v>99</v>
      </c>
      <c r="BE342" t="s">
        <v>98</v>
      </c>
      <c r="BF342" t="s">
        <v>99</v>
      </c>
      <c r="BG342" t="s">
        <v>98</v>
      </c>
      <c r="BH342" t="s">
        <v>99</v>
      </c>
      <c r="BI342" t="s">
        <v>98</v>
      </c>
    </row>
    <row r="343" spans="1:61" x14ac:dyDescent="0.35">
      <c r="A343">
        <v>342</v>
      </c>
      <c r="B343">
        <v>45847.737025462964</v>
      </c>
      <c r="C343" t="s">
        <v>2109</v>
      </c>
      <c r="D343" t="s">
        <v>2110</v>
      </c>
      <c r="E343" t="s">
        <v>63</v>
      </c>
      <c r="F343" t="s">
        <v>125</v>
      </c>
      <c r="G343" t="s">
        <v>2111</v>
      </c>
      <c r="H343" t="s">
        <v>88</v>
      </c>
      <c r="I343" t="s">
        <v>2088</v>
      </c>
      <c r="J343" t="s">
        <v>2084</v>
      </c>
      <c r="K343" t="s">
        <v>291</v>
      </c>
      <c r="L343" t="s">
        <v>69</v>
      </c>
      <c r="M343" t="s">
        <v>69</v>
      </c>
      <c r="N343" t="s">
        <v>69</v>
      </c>
      <c r="O343" t="s">
        <v>69</v>
      </c>
      <c r="P343" t="s">
        <v>70</v>
      </c>
      <c r="Q343" t="s">
        <v>1168</v>
      </c>
      <c r="R343" s="3" t="s">
        <v>108</v>
      </c>
      <c r="S343">
        <v>32</v>
      </c>
      <c r="T343" t="s">
        <v>109</v>
      </c>
      <c r="U343" t="s">
        <v>73</v>
      </c>
      <c r="V343" t="s">
        <v>232</v>
      </c>
      <c r="W343" t="s">
        <v>232</v>
      </c>
      <c r="X343">
        <v>3</v>
      </c>
      <c r="Y343">
        <v>3</v>
      </c>
      <c r="Z343">
        <v>3</v>
      </c>
      <c r="AA343">
        <v>3</v>
      </c>
      <c r="AB343">
        <v>3</v>
      </c>
      <c r="AC343">
        <v>3</v>
      </c>
      <c r="AD343">
        <v>0</v>
      </c>
      <c r="AE343">
        <v>0</v>
      </c>
      <c r="AF343">
        <v>3</v>
      </c>
      <c r="AG343">
        <v>3</v>
      </c>
      <c r="AH343">
        <v>3</v>
      </c>
      <c r="AI343">
        <v>3</v>
      </c>
      <c r="AJ343">
        <v>3</v>
      </c>
      <c r="AK343">
        <v>3</v>
      </c>
      <c r="AL343">
        <v>3</v>
      </c>
      <c r="AM343">
        <v>3</v>
      </c>
      <c r="AN343">
        <v>3</v>
      </c>
      <c r="AO343">
        <v>3</v>
      </c>
      <c r="AQ343">
        <v>0</v>
      </c>
      <c r="AR343" t="s">
        <v>69</v>
      </c>
      <c r="AT343">
        <v>0</v>
      </c>
      <c r="AU343" t="s">
        <v>69</v>
      </c>
      <c r="AV343">
        <v>2</v>
      </c>
      <c r="AW343">
        <v>3</v>
      </c>
      <c r="AX343" t="s">
        <v>75</v>
      </c>
      <c r="AY343" t="s">
        <v>83</v>
      </c>
      <c r="AZ343" t="s">
        <v>96</v>
      </c>
      <c r="BA343">
        <v>0</v>
      </c>
      <c r="BB343">
        <v>0</v>
      </c>
      <c r="BC343" t="s">
        <v>2112</v>
      </c>
      <c r="BD343" t="s">
        <v>2113</v>
      </c>
      <c r="BE343" t="s">
        <v>98</v>
      </c>
      <c r="BF343" t="s">
        <v>99</v>
      </c>
      <c r="BG343" t="s">
        <v>98</v>
      </c>
      <c r="BH343" t="s">
        <v>99</v>
      </c>
      <c r="BI343" t="s">
        <v>98</v>
      </c>
    </row>
    <row r="344" spans="1:61" x14ac:dyDescent="0.35">
      <c r="A344">
        <v>343</v>
      </c>
      <c r="B344">
        <v>45847.74082175926</v>
      </c>
      <c r="C344" t="s">
        <v>2114</v>
      </c>
      <c r="D344" t="s">
        <v>2115</v>
      </c>
      <c r="E344" t="s">
        <v>2116</v>
      </c>
      <c r="F344" t="s">
        <v>2117</v>
      </c>
      <c r="G344" t="s">
        <v>2118</v>
      </c>
      <c r="H344" t="s">
        <v>88</v>
      </c>
      <c r="I344" t="s">
        <v>2088</v>
      </c>
      <c r="J344" t="s">
        <v>2084</v>
      </c>
      <c r="K344" t="s">
        <v>2119</v>
      </c>
      <c r="L344" t="s">
        <v>69</v>
      </c>
      <c r="M344" t="s">
        <v>69</v>
      </c>
      <c r="N344" t="s">
        <v>69</v>
      </c>
      <c r="O344" t="s">
        <v>69</v>
      </c>
      <c r="P344" t="s">
        <v>106</v>
      </c>
      <c r="Q344" t="s">
        <v>1168</v>
      </c>
      <c r="R344" s="3" t="s">
        <v>1037</v>
      </c>
      <c r="S344">
        <v>51</v>
      </c>
      <c r="T344" t="s">
        <v>383</v>
      </c>
      <c r="U344" t="s">
        <v>73</v>
      </c>
      <c r="V344" t="s">
        <v>110</v>
      </c>
      <c r="W344" t="s">
        <v>110</v>
      </c>
      <c r="X344">
        <v>4</v>
      </c>
      <c r="Y344">
        <v>4</v>
      </c>
      <c r="Z344">
        <v>4</v>
      </c>
      <c r="AA344">
        <v>4</v>
      </c>
      <c r="AB344">
        <v>4</v>
      </c>
      <c r="AC344">
        <v>4</v>
      </c>
      <c r="AD344">
        <v>0</v>
      </c>
      <c r="AE344">
        <v>0</v>
      </c>
      <c r="AF344">
        <v>4</v>
      </c>
      <c r="AG344">
        <v>4</v>
      </c>
      <c r="AH344">
        <v>4</v>
      </c>
      <c r="AI344">
        <v>4</v>
      </c>
      <c r="AJ344">
        <v>4</v>
      </c>
      <c r="AK344">
        <v>4</v>
      </c>
      <c r="AL344">
        <v>4</v>
      </c>
      <c r="AM344">
        <v>4</v>
      </c>
      <c r="AN344">
        <v>4</v>
      </c>
      <c r="AO344">
        <v>4</v>
      </c>
      <c r="AQ344">
        <v>0</v>
      </c>
      <c r="AR344" t="s">
        <v>69</v>
      </c>
      <c r="AT344">
        <v>0</v>
      </c>
      <c r="AU344" t="s">
        <v>69</v>
      </c>
      <c r="AV344">
        <v>1</v>
      </c>
      <c r="AW344">
        <v>4</v>
      </c>
      <c r="AX344" t="s">
        <v>75</v>
      </c>
      <c r="AY344" t="s">
        <v>83</v>
      </c>
      <c r="AZ344" t="s">
        <v>96</v>
      </c>
      <c r="BA344">
        <v>0</v>
      </c>
      <c r="BB344">
        <v>0</v>
      </c>
      <c r="BC344" t="s">
        <v>98</v>
      </c>
      <c r="BD344" t="s">
        <v>99</v>
      </c>
      <c r="BE344" t="s">
        <v>98</v>
      </c>
      <c r="BF344" t="s">
        <v>99</v>
      </c>
      <c r="BG344" t="s">
        <v>98</v>
      </c>
      <c r="BH344" t="s">
        <v>99</v>
      </c>
      <c r="BI344" t="s">
        <v>98</v>
      </c>
    </row>
    <row r="345" spans="1:61" x14ac:dyDescent="0.35">
      <c r="A345">
        <v>344</v>
      </c>
      <c r="B345">
        <v>45847.744652777779</v>
      </c>
      <c r="C345" t="s">
        <v>2120</v>
      </c>
      <c r="D345" t="s">
        <v>2121</v>
      </c>
      <c r="E345" t="s">
        <v>1723</v>
      </c>
      <c r="F345" t="s">
        <v>2122</v>
      </c>
      <c r="G345" t="s">
        <v>2123</v>
      </c>
      <c r="H345" t="s">
        <v>1679</v>
      </c>
      <c r="I345" t="s">
        <v>439</v>
      </c>
      <c r="J345" t="s">
        <v>2073</v>
      </c>
      <c r="K345" t="s">
        <v>1399</v>
      </c>
      <c r="L345" t="s">
        <v>69</v>
      </c>
      <c r="M345" t="s">
        <v>69</v>
      </c>
      <c r="N345" t="s">
        <v>69</v>
      </c>
      <c r="O345" t="s">
        <v>69</v>
      </c>
      <c r="P345" t="s">
        <v>70</v>
      </c>
      <c r="Q345" t="s">
        <v>1168</v>
      </c>
      <c r="R345" s="3" t="s">
        <v>566</v>
      </c>
      <c r="S345">
        <v>25</v>
      </c>
      <c r="T345" t="s">
        <v>72</v>
      </c>
      <c r="U345" t="s">
        <v>73</v>
      </c>
      <c r="V345" t="s">
        <v>110</v>
      </c>
      <c r="W345" t="s">
        <v>110</v>
      </c>
      <c r="X345">
        <v>4</v>
      </c>
      <c r="Y345">
        <v>4</v>
      </c>
      <c r="Z345">
        <v>4</v>
      </c>
      <c r="AA345">
        <v>4</v>
      </c>
      <c r="AB345">
        <v>4</v>
      </c>
      <c r="AC345">
        <v>4</v>
      </c>
      <c r="AD345">
        <v>0</v>
      </c>
      <c r="AE345">
        <v>0</v>
      </c>
      <c r="AF345">
        <v>4</v>
      </c>
      <c r="AG345">
        <v>4</v>
      </c>
      <c r="AH345">
        <v>4</v>
      </c>
      <c r="AI345">
        <v>4</v>
      </c>
      <c r="AJ345">
        <v>4</v>
      </c>
      <c r="AK345">
        <v>4</v>
      </c>
      <c r="AL345">
        <v>4</v>
      </c>
      <c r="AM345">
        <v>4</v>
      </c>
      <c r="AN345">
        <v>4</v>
      </c>
      <c r="AO345">
        <v>4</v>
      </c>
      <c r="AQ345">
        <v>0</v>
      </c>
      <c r="AR345" t="s">
        <v>69</v>
      </c>
      <c r="AT345">
        <v>0</v>
      </c>
      <c r="AU345" t="s">
        <v>69</v>
      </c>
      <c r="AV345">
        <v>2</v>
      </c>
      <c r="AW345">
        <v>3</v>
      </c>
      <c r="AX345" t="s">
        <v>75</v>
      </c>
      <c r="AY345" t="s">
        <v>83</v>
      </c>
      <c r="AZ345" t="s">
        <v>96</v>
      </c>
      <c r="BA345">
        <v>0</v>
      </c>
      <c r="BB345">
        <v>0</v>
      </c>
      <c r="BC345" t="s">
        <v>2124</v>
      </c>
      <c r="BD345" t="s">
        <v>99</v>
      </c>
      <c r="BE345" t="s">
        <v>442</v>
      </c>
      <c r="BF345" t="s">
        <v>79</v>
      </c>
      <c r="BG345" t="s">
        <v>442</v>
      </c>
      <c r="BH345" t="s">
        <v>79</v>
      </c>
      <c r="BI345" t="s">
        <v>83</v>
      </c>
    </row>
    <row r="346" spans="1:61" x14ac:dyDescent="0.35">
      <c r="A346">
        <v>345</v>
      </c>
      <c r="B346">
        <v>45847.747847222221</v>
      </c>
      <c r="C346" t="s">
        <v>2125</v>
      </c>
      <c r="D346" t="s">
        <v>2126</v>
      </c>
      <c r="E346" t="s">
        <v>63</v>
      </c>
      <c r="F346" t="s">
        <v>2127</v>
      </c>
      <c r="G346" t="s">
        <v>2128</v>
      </c>
      <c r="H346" t="s">
        <v>1679</v>
      </c>
      <c r="I346" t="s">
        <v>439</v>
      </c>
      <c r="J346" t="s">
        <v>2073</v>
      </c>
      <c r="K346" t="s">
        <v>2129</v>
      </c>
      <c r="L346" t="s">
        <v>69</v>
      </c>
      <c r="M346" t="s">
        <v>69</v>
      </c>
      <c r="N346" t="s">
        <v>69</v>
      </c>
      <c r="O346" t="s">
        <v>69</v>
      </c>
      <c r="P346" t="s">
        <v>70</v>
      </c>
      <c r="Q346" t="s">
        <v>1168</v>
      </c>
      <c r="R346" s="3" t="s">
        <v>1694</v>
      </c>
      <c r="S346">
        <v>40</v>
      </c>
      <c r="T346" t="s">
        <v>153</v>
      </c>
      <c r="U346" t="s">
        <v>254</v>
      </c>
      <c r="V346" t="s">
        <v>110</v>
      </c>
      <c r="W346" t="s">
        <v>110</v>
      </c>
      <c r="X346">
        <v>4</v>
      </c>
      <c r="Y346">
        <v>4</v>
      </c>
      <c r="Z346">
        <v>4</v>
      </c>
      <c r="AA346">
        <v>4</v>
      </c>
      <c r="AB346">
        <v>4</v>
      </c>
      <c r="AC346">
        <v>4</v>
      </c>
      <c r="AD346">
        <v>0</v>
      </c>
      <c r="AE346">
        <v>0</v>
      </c>
      <c r="AF346">
        <v>4</v>
      </c>
      <c r="AG346">
        <v>4</v>
      </c>
      <c r="AH346">
        <v>4</v>
      </c>
      <c r="AI346">
        <v>4</v>
      </c>
      <c r="AJ346">
        <v>4</v>
      </c>
      <c r="AK346">
        <v>4</v>
      </c>
      <c r="AL346">
        <v>4</v>
      </c>
      <c r="AM346">
        <v>4</v>
      </c>
      <c r="AN346">
        <v>4</v>
      </c>
      <c r="AO346">
        <v>4</v>
      </c>
      <c r="AQ346">
        <v>0</v>
      </c>
      <c r="AR346" t="s">
        <v>69</v>
      </c>
      <c r="AT346">
        <v>0</v>
      </c>
      <c r="AU346" t="s">
        <v>69</v>
      </c>
      <c r="AW346">
        <v>0</v>
      </c>
      <c r="AX346" t="s">
        <v>69</v>
      </c>
      <c r="AY346" t="s">
        <v>1278</v>
      </c>
      <c r="AZ346" t="s">
        <v>186</v>
      </c>
      <c r="BA346">
        <v>1</v>
      </c>
      <c r="BB346">
        <v>4</v>
      </c>
      <c r="BC346" t="s">
        <v>442</v>
      </c>
      <c r="BD346" t="s">
        <v>79</v>
      </c>
      <c r="BE346" t="s">
        <v>442</v>
      </c>
      <c r="BF346" t="s">
        <v>79</v>
      </c>
      <c r="BG346" t="s">
        <v>2130</v>
      </c>
      <c r="BH346" t="s">
        <v>1483</v>
      </c>
      <c r="BI346" t="s">
        <v>83</v>
      </c>
    </row>
    <row r="347" spans="1:61" x14ac:dyDescent="0.35">
      <c r="A347">
        <v>346</v>
      </c>
      <c r="B347">
        <v>45847.751064814816</v>
      </c>
      <c r="C347" t="s">
        <v>2131</v>
      </c>
      <c r="D347" t="s">
        <v>2132</v>
      </c>
      <c r="E347" t="s">
        <v>63</v>
      </c>
      <c r="F347" t="s">
        <v>480</v>
      </c>
      <c r="G347" t="s">
        <v>2133</v>
      </c>
      <c r="H347" t="s">
        <v>1679</v>
      </c>
      <c r="I347" t="s">
        <v>439</v>
      </c>
      <c r="J347" t="s">
        <v>2073</v>
      </c>
      <c r="K347" t="s">
        <v>2134</v>
      </c>
      <c r="L347" t="s">
        <v>69</v>
      </c>
      <c r="M347" t="s">
        <v>69</v>
      </c>
      <c r="N347" t="s">
        <v>69</v>
      </c>
      <c r="O347" t="s">
        <v>69</v>
      </c>
      <c r="P347" t="s">
        <v>70</v>
      </c>
      <c r="Q347" t="s">
        <v>1168</v>
      </c>
      <c r="R347" s="3" t="s">
        <v>1325</v>
      </c>
      <c r="S347">
        <v>50</v>
      </c>
      <c r="T347" t="s">
        <v>225</v>
      </c>
      <c r="U347" t="s">
        <v>273</v>
      </c>
      <c r="V347" t="s">
        <v>74</v>
      </c>
      <c r="W347" t="s">
        <v>74</v>
      </c>
      <c r="X347">
        <v>4</v>
      </c>
      <c r="Y347">
        <v>4</v>
      </c>
      <c r="Z347">
        <v>4</v>
      </c>
      <c r="AA347">
        <v>4</v>
      </c>
      <c r="AB347">
        <v>3</v>
      </c>
      <c r="AC347">
        <v>3</v>
      </c>
      <c r="AD347">
        <v>0</v>
      </c>
      <c r="AE347">
        <v>0</v>
      </c>
      <c r="AF347">
        <v>3</v>
      </c>
      <c r="AG347">
        <v>3</v>
      </c>
      <c r="AH347">
        <v>3</v>
      </c>
      <c r="AI347">
        <v>3</v>
      </c>
      <c r="AJ347">
        <v>4</v>
      </c>
      <c r="AK347">
        <v>4</v>
      </c>
      <c r="AL347">
        <v>3</v>
      </c>
      <c r="AM347">
        <v>3</v>
      </c>
      <c r="AN347">
        <v>4</v>
      </c>
      <c r="AO347">
        <v>4</v>
      </c>
      <c r="AQ347">
        <v>0</v>
      </c>
      <c r="AR347" t="s">
        <v>69</v>
      </c>
      <c r="AT347">
        <v>0</v>
      </c>
      <c r="AU347" t="s">
        <v>69</v>
      </c>
      <c r="AW347">
        <v>0</v>
      </c>
      <c r="AX347" t="s">
        <v>69</v>
      </c>
      <c r="AY347" t="s">
        <v>2135</v>
      </c>
      <c r="AZ347" t="s">
        <v>144</v>
      </c>
      <c r="BA347">
        <v>2</v>
      </c>
      <c r="BB347">
        <v>3</v>
      </c>
      <c r="BC347" t="s">
        <v>442</v>
      </c>
      <c r="BD347" t="s">
        <v>79</v>
      </c>
      <c r="BE347" t="s">
        <v>442</v>
      </c>
      <c r="BF347" t="s">
        <v>79</v>
      </c>
      <c r="BG347" t="s">
        <v>442</v>
      </c>
      <c r="BH347" t="s">
        <v>79</v>
      </c>
      <c r="BI347" t="s">
        <v>83</v>
      </c>
    </row>
    <row r="348" spans="1:61" x14ac:dyDescent="0.35">
      <c r="A348">
        <v>347</v>
      </c>
      <c r="B348">
        <v>45847.901261574072</v>
      </c>
      <c r="C348" t="s">
        <v>2136</v>
      </c>
      <c r="D348" t="s">
        <v>2137</v>
      </c>
      <c r="E348" t="s">
        <v>904</v>
      </c>
      <c r="F348" t="s">
        <v>2138</v>
      </c>
      <c r="G348" t="s">
        <v>2139</v>
      </c>
      <c r="H348" t="s">
        <v>578</v>
      </c>
      <c r="I348" t="s">
        <v>588</v>
      </c>
      <c r="J348" t="s">
        <v>2073</v>
      </c>
      <c r="K348" t="s">
        <v>2104</v>
      </c>
      <c r="L348" t="s">
        <v>69</v>
      </c>
      <c r="M348" t="s">
        <v>69</v>
      </c>
      <c r="N348" t="s">
        <v>69</v>
      </c>
      <c r="O348" t="s">
        <v>69</v>
      </c>
      <c r="P348" t="s">
        <v>70</v>
      </c>
      <c r="Q348" t="s">
        <v>1168</v>
      </c>
      <c r="R348" s="3">
        <v>29</v>
      </c>
      <c r="S348">
        <v>29</v>
      </c>
      <c r="T348" t="s">
        <v>92</v>
      </c>
      <c r="U348" t="s">
        <v>93</v>
      </c>
      <c r="V348" t="s">
        <v>110</v>
      </c>
      <c r="W348" t="s">
        <v>110</v>
      </c>
      <c r="X348">
        <v>3</v>
      </c>
      <c r="Y348">
        <v>3</v>
      </c>
      <c r="Z348">
        <v>3</v>
      </c>
      <c r="AA348">
        <v>3</v>
      </c>
      <c r="AB348">
        <v>4</v>
      </c>
      <c r="AC348">
        <v>4</v>
      </c>
      <c r="AD348">
        <v>0</v>
      </c>
      <c r="AE348">
        <v>0</v>
      </c>
      <c r="AF348">
        <v>3</v>
      </c>
      <c r="AG348">
        <v>3</v>
      </c>
      <c r="AH348">
        <v>4</v>
      </c>
      <c r="AI348">
        <v>4</v>
      </c>
      <c r="AJ348">
        <v>4</v>
      </c>
      <c r="AK348">
        <v>4</v>
      </c>
      <c r="AL348">
        <v>4</v>
      </c>
      <c r="AM348">
        <v>4</v>
      </c>
      <c r="AN348">
        <v>4</v>
      </c>
      <c r="AO348">
        <v>4</v>
      </c>
      <c r="AP348">
        <v>1</v>
      </c>
      <c r="AQ348">
        <v>4</v>
      </c>
      <c r="AR348" t="s">
        <v>75</v>
      </c>
      <c r="AT348">
        <v>0</v>
      </c>
      <c r="AU348" t="s">
        <v>69</v>
      </c>
      <c r="AV348">
        <v>1</v>
      </c>
      <c r="AW348">
        <v>4</v>
      </c>
      <c r="AX348" t="s">
        <v>69</v>
      </c>
      <c r="AY348" t="s">
        <v>83</v>
      </c>
      <c r="AZ348" t="s">
        <v>96</v>
      </c>
      <c r="BA348">
        <v>0</v>
      </c>
      <c r="BB348">
        <v>0</v>
      </c>
      <c r="BC348" t="s">
        <v>2141</v>
      </c>
      <c r="BD348" t="s">
        <v>112</v>
      </c>
      <c r="BE348" t="s">
        <v>503</v>
      </c>
      <c r="BF348" t="s">
        <v>79</v>
      </c>
      <c r="BG348" t="s">
        <v>2069</v>
      </c>
      <c r="BH348" t="s">
        <v>99</v>
      </c>
      <c r="BI348" t="s">
        <v>83</v>
      </c>
    </row>
    <row r="349" spans="1:61" x14ac:dyDescent="0.35">
      <c r="A349">
        <v>348</v>
      </c>
      <c r="B349">
        <v>45847.910416666666</v>
      </c>
      <c r="C349" t="s">
        <v>2142</v>
      </c>
      <c r="D349" t="s">
        <v>2143</v>
      </c>
      <c r="E349" t="s">
        <v>2144</v>
      </c>
      <c r="F349" t="s">
        <v>2145</v>
      </c>
      <c r="G349" t="s">
        <v>2146</v>
      </c>
      <c r="H349" t="s">
        <v>578</v>
      </c>
      <c r="I349" t="s">
        <v>588</v>
      </c>
      <c r="J349" t="s">
        <v>2147</v>
      </c>
      <c r="K349" t="s">
        <v>2148</v>
      </c>
      <c r="L349" t="s">
        <v>69</v>
      </c>
      <c r="M349" t="s">
        <v>69</v>
      </c>
      <c r="N349" t="s">
        <v>69</v>
      </c>
      <c r="O349" t="s">
        <v>69</v>
      </c>
      <c r="P349" t="s">
        <v>70</v>
      </c>
      <c r="Q349" t="s">
        <v>1168</v>
      </c>
      <c r="R349" s="3" t="s">
        <v>671</v>
      </c>
      <c r="S349">
        <v>49</v>
      </c>
      <c r="T349" t="s">
        <v>225</v>
      </c>
      <c r="U349" t="s">
        <v>93</v>
      </c>
      <c r="V349" t="s">
        <v>110</v>
      </c>
      <c r="W349" t="s">
        <v>110</v>
      </c>
      <c r="X349">
        <v>3</v>
      </c>
      <c r="Y349">
        <v>3</v>
      </c>
      <c r="Z349">
        <v>3</v>
      </c>
      <c r="AA349">
        <v>3</v>
      </c>
      <c r="AB349">
        <v>4</v>
      </c>
      <c r="AC349">
        <v>4</v>
      </c>
      <c r="AD349">
        <v>0</v>
      </c>
      <c r="AE349">
        <v>0</v>
      </c>
      <c r="AF349">
        <v>4</v>
      </c>
      <c r="AG349">
        <v>4</v>
      </c>
      <c r="AH349">
        <v>4</v>
      </c>
      <c r="AI349">
        <v>4</v>
      </c>
      <c r="AJ349">
        <v>4</v>
      </c>
      <c r="AK349">
        <v>4</v>
      </c>
      <c r="AL349">
        <v>4</v>
      </c>
      <c r="AM349">
        <v>4</v>
      </c>
      <c r="AN349">
        <v>3</v>
      </c>
      <c r="AO349">
        <v>3</v>
      </c>
      <c r="AQ349">
        <v>0</v>
      </c>
      <c r="AR349" t="s">
        <v>69</v>
      </c>
      <c r="AT349">
        <v>0</v>
      </c>
      <c r="AU349" t="s">
        <v>69</v>
      </c>
      <c r="AV349">
        <v>2</v>
      </c>
      <c r="AW349">
        <v>3</v>
      </c>
      <c r="AX349" t="s">
        <v>75</v>
      </c>
      <c r="AY349" t="s">
        <v>83</v>
      </c>
      <c r="AZ349" t="s">
        <v>96</v>
      </c>
      <c r="BA349">
        <v>0</v>
      </c>
      <c r="BB349">
        <v>0</v>
      </c>
      <c r="BC349" t="s">
        <v>2004</v>
      </c>
      <c r="BD349" t="s">
        <v>99</v>
      </c>
      <c r="BE349" t="s">
        <v>2149</v>
      </c>
      <c r="BF349" t="s">
        <v>1755</v>
      </c>
      <c r="BG349" t="s">
        <v>98</v>
      </c>
      <c r="BH349" t="s">
        <v>99</v>
      </c>
      <c r="BI349" t="s">
        <v>83</v>
      </c>
    </row>
    <row r="350" spans="1:61" x14ac:dyDescent="0.35">
      <c r="A350">
        <v>349</v>
      </c>
      <c r="B350">
        <v>45847.915925925925</v>
      </c>
      <c r="C350" t="s">
        <v>2150</v>
      </c>
      <c r="D350" t="s">
        <v>2151</v>
      </c>
      <c r="E350" t="s">
        <v>63</v>
      </c>
      <c r="F350" t="s">
        <v>63</v>
      </c>
      <c r="G350" t="s">
        <v>2146</v>
      </c>
      <c r="H350" t="s">
        <v>578</v>
      </c>
      <c r="I350" t="s">
        <v>588</v>
      </c>
      <c r="J350" t="s">
        <v>2073</v>
      </c>
      <c r="K350" t="s">
        <v>2152</v>
      </c>
      <c r="L350" t="s">
        <v>69</v>
      </c>
      <c r="M350" t="s">
        <v>69</v>
      </c>
      <c r="N350" t="s">
        <v>69</v>
      </c>
      <c r="O350" t="s">
        <v>69</v>
      </c>
      <c r="P350" t="s">
        <v>106</v>
      </c>
      <c r="Q350" t="s">
        <v>1168</v>
      </c>
      <c r="R350" s="3" t="s">
        <v>546</v>
      </c>
      <c r="S350">
        <v>31</v>
      </c>
      <c r="T350" t="s">
        <v>109</v>
      </c>
      <c r="U350" t="s">
        <v>1343</v>
      </c>
      <c r="V350" t="s">
        <v>110</v>
      </c>
      <c r="W350" t="s">
        <v>110</v>
      </c>
      <c r="X350">
        <v>3</v>
      </c>
      <c r="Y350">
        <v>4</v>
      </c>
      <c r="Z350">
        <v>4</v>
      </c>
      <c r="AA350">
        <v>3</v>
      </c>
      <c r="AB350">
        <v>3</v>
      </c>
      <c r="AC350">
        <v>4</v>
      </c>
      <c r="AD350">
        <v>0</v>
      </c>
      <c r="AE350">
        <v>0</v>
      </c>
      <c r="AF350">
        <v>3</v>
      </c>
      <c r="AG350">
        <v>3</v>
      </c>
      <c r="AH350">
        <v>3</v>
      </c>
      <c r="AI350">
        <v>3</v>
      </c>
      <c r="AJ350">
        <v>3</v>
      </c>
      <c r="AK350">
        <v>3</v>
      </c>
      <c r="AL350">
        <v>4</v>
      </c>
      <c r="AM350">
        <v>4</v>
      </c>
      <c r="AN350">
        <v>3</v>
      </c>
      <c r="AO350">
        <v>3</v>
      </c>
      <c r="AP350">
        <v>2</v>
      </c>
      <c r="AQ350">
        <v>3</v>
      </c>
      <c r="AR350" t="s">
        <v>75</v>
      </c>
      <c r="AT350">
        <v>0</v>
      </c>
      <c r="AU350" t="s">
        <v>69</v>
      </c>
      <c r="AW350">
        <v>0</v>
      </c>
      <c r="AX350" t="s">
        <v>69</v>
      </c>
      <c r="AY350" t="s">
        <v>83</v>
      </c>
      <c r="AZ350" t="s">
        <v>96</v>
      </c>
      <c r="BA350">
        <v>0</v>
      </c>
      <c r="BB350">
        <v>0</v>
      </c>
      <c r="BC350" t="s">
        <v>2153</v>
      </c>
      <c r="BD350" t="s">
        <v>112</v>
      </c>
      <c r="BE350" t="s">
        <v>909</v>
      </c>
      <c r="BF350" t="s">
        <v>79</v>
      </c>
      <c r="BG350" t="s">
        <v>2154</v>
      </c>
      <c r="BH350" t="s">
        <v>653</v>
      </c>
      <c r="BI350" t="s">
        <v>83</v>
      </c>
    </row>
    <row r="351" spans="1:61" x14ac:dyDescent="0.35">
      <c r="A351">
        <v>350</v>
      </c>
      <c r="B351">
        <v>45848.443668981483</v>
      </c>
      <c r="C351" t="s">
        <v>2155</v>
      </c>
      <c r="D351" t="s">
        <v>2156</v>
      </c>
      <c r="E351" t="s">
        <v>63</v>
      </c>
      <c r="F351" t="s">
        <v>1555</v>
      </c>
      <c r="G351" t="s">
        <v>2157</v>
      </c>
      <c r="H351" t="s">
        <v>578</v>
      </c>
      <c r="I351" t="s">
        <v>596</v>
      </c>
      <c r="J351" t="s">
        <v>2084</v>
      </c>
      <c r="K351" t="s">
        <v>2158</v>
      </c>
      <c r="L351" t="s">
        <v>69</v>
      </c>
      <c r="M351" t="s">
        <v>69</v>
      </c>
      <c r="N351" t="s">
        <v>69</v>
      </c>
      <c r="O351" t="s">
        <v>69</v>
      </c>
      <c r="P351" t="s">
        <v>70</v>
      </c>
      <c r="Q351" t="s">
        <v>1168</v>
      </c>
      <c r="R351" s="3">
        <v>28</v>
      </c>
      <c r="S351">
        <v>28</v>
      </c>
      <c r="T351" t="s">
        <v>92</v>
      </c>
      <c r="U351" t="s">
        <v>73</v>
      </c>
      <c r="V351" t="s">
        <v>110</v>
      </c>
      <c r="W351" t="s">
        <v>110</v>
      </c>
      <c r="X351">
        <v>4</v>
      </c>
      <c r="Y351">
        <v>4</v>
      </c>
      <c r="Z351">
        <v>4</v>
      </c>
      <c r="AA351">
        <v>4</v>
      </c>
      <c r="AB351">
        <v>4</v>
      </c>
      <c r="AC351">
        <v>4</v>
      </c>
      <c r="AD351">
        <v>0</v>
      </c>
      <c r="AE351">
        <v>0</v>
      </c>
      <c r="AF351">
        <v>4</v>
      </c>
      <c r="AG351">
        <v>4</v>
      </c>
      <c r="AH351">
        <v>4</v>
      </c>
      <c r="AI351">
        <v>4</v>
      </c>
      <c r="AJ351">
        <v>4</v>
      </c>
      <c r="AK351">
        <v>4</v>
      </c>
      <c r="AL351">
        <v>4</v>
      </c>
      <c r="AM351">
        <v>4</v>
      </c>
      <c r="AN351">
        <v>4</v>
      </c>
      <c r="AO351">
        <v>4</v>
      </c>
      <c r="AQ351">
        <v>0</v>
      </c>
      <c r="AR351" t="s">
        <v>69</v>
      </c>
      <c r="AT351">
        <v>0</v>
      </c>
      <c r="AU351" t="s">
        <v>69</v>
      </c>
      <c r="AW351">
        <v>0</v>
      </c>
      <c r="AX351" t="s">
        <v>69</v>
      </c>
      <c r="AY351" t="s">
        <v>631</v>
      </c>
      <c r="AZ351" t="s">
        <v>77</v>
      </c>
      <c r="BA351">
        <v>1</v>
      </c>
      <c r="BB351">
        <v>4</v>
      </c>
      <c r="BC351" t="s">
        <v>643</v>
      </c>
      <c r="BD351" t="s">
        <v>79</v>
      </c>
      <c r="BE351" t="s">
        <v>2159</v>
      </c>
      <c r="BF351" t="s">
        <v>81</v>
      </c>
      <c r="BG351" t="s">
        <v>341</v>
      </c>
      <c r="BH351" t="s">
        <v>79</v>
      </c>
      <c r="BI351" t="s">
        <v>2160</v>
      </c>
    </row>
    <row r="352" spans="1:61" x14ac:dyDescent="0.35">
      <c r="A352">
        <v>351</v>
      </c>
      <c r="B352">
        <v>45848.451168981483</v>
      </c>
      <c r="C352" t="s">
        <v>2161</v>
      </c>
      <c r="D352" t="s">
        <v>2145</v>
      </c>
      <c r="E352" t="s">
        <v>2144</v>
      </c>
      <c r="F352" t="s">
        <v>2138</v>
      </c>
      <c r="G352" t="s">
        <v>2162</v>
      </c>
      <c r="H352" t="s">
        <v>578</v>
      </c>
      <c r="I352" t="s">
        <v>596</v>
      </c>
      <c r="J352" t="s">
        <v>2084</v>
      </c>
      <c r="K352" t="s">
        <v>2163</v>
      </c>
      <c r="L352" t="s">
        <v>69</v>
      </c>
      <c r="M352" t="s">
        <v>69</v>
      </c>
      <c r="N352" t="s">
        <v>69</v>
      </c>
      <c r="O352" t="s">
        <v>69</v>
      </c>
      <c r="P352" t="s">
        <v>70</v>
      </c>
      <c r="Q352" t="s">
        <v>1168</v>
      </c>
      <c r="R352" s="3" t="s">
        <v>1123</v>
      </c>
      <c r="S352">
        <v>48</v>
      </c>
      <c r="T352" t="s">
        <v>225</v>
      </c>
      <c r="U352" t="s">
        <v>93</v>
      </c>
      <c r="V352" t="s">
        <v>110</v>
      </c>
      <c r="W352" t="s">
        <v>110</v>
      </c>
      <c r="X352">
        <v>3</v>
      </c>
      <c r="Y352">
        <v>3</v>
      </c>
      <c r="Z352">
        <v>3</v>
      </c>
      <c r="AA352">
        <v>3</v>
      </c>
      <c r="AB352">
        <v>3</v>
      </c>
      <c r="AC352">
        <v>3</v>
      </c>
      <c r="AD352">
        <v>0</v>
      </c>
      <c r="AE352">
        <v>0</v>
      </c>
      <c r="AF352">
        <v>3</v>
      </c>
      <c r="AG352">
        <v>3</v>
      </c>
      <c r="AH352">
        <v>3</v>
      </c>
      <c r="AI352">
        <v>3</v>
      </c>
      <c r="AJ352">
        <v>3</v>
      </c>
      <c r="AK352">
        <v>3</v>
      </c>
      <c r="AL352">
        <v>3</v>
      </c>
      <c r="AM352">
        <v>3</v>
      </c>
      <c r="AN352">
        <v>4</v>
      </c>
      <c r="AO352">
        <v>4</v>
      </c>
      <c r="AQ352">
        <v>0</v>
      </c>
      <c r="AR352" t="s">
        <v>69</v>
      </c>
      <c r="AT352">
        <v>0</v>
      </c>
      <c r="AU352" t="s">
        <v>69</v>
      </c>
      <c r="AV352">
        <v>2</v>
      </c>
      <c r="AW352">
        <v>3</v>
      </c>
      <c r="AX352" t="s">
        <v>75</v>
      </c>
      <c r="AY352" t="s">
        <v>83</v>
      </c>
      <c r="AZ352" t="s">
        <v>96</v>
      </c>
      <c r="BA352">
        <v>0</v>
      </c>
      <c r="BB352">
        <v>0</v>
      </c>
      <c r="BC352" t="s">
        <v>462</v>
      </c>
      <c r="BD352" t="s">
        <v>79</v>
      </c>
      <c r="BE352" t="s">
        <v>98</v>
      </c>
      <c r="BF352" t="s">
        <v>99</v>
      </c>
      <c r="BG352" t="s">
        <v>2164</v>
      </c>
      <c r="BH352" t="s">
        <v>190</v>
      </c>
      <c r="BI352" t="s">
        <v>83</v>
      </c>
    </row>
    <row r="353" spans="1:61" x14ac:dyDescent="0.35">
      <c r="A353">
        <v>352</v>
      </c>
      <c r="B353">
        <v>45848.488530092596</v>
      </c>
      <c r="C353" t="s">
        <v>2165</v>
      </c>
      <c r="D353" t="s">
        <v>2166</v>
      </c>
      <c r="E353" t="s">
        <v>267</v>
      </c>
      <c r="F353" t="s">
        <v>267</v>
      </c>
      <c r="G353" t="s">
        <v>2167</v>
      </c>
      <c r="H353" t="s">
        <v>578</v>
      </c>
      <c r="I353" t="s">
        <v>596</v>
      </c>
      <c r="J353" t="s">
        <v>2168</v>
      </c>
      <c r="K353" t="s">
        <v>2169</v>
      </c>
      <c r="L353" t="s">
        <v>69</v>
      </c>
      <c r="M353" t="s">
        <v>69</v>
      </c>
      <c r="N353" t="s">
        <v>69</v>
      </c>
      <c r="O353" t="s">
        <v>69</v>
      </c>
      <c r="P353" t="s">
        <v>106</v>
      </c>
      <c r="Q353" t="s">
        <v>1180</v>
      </c>
      <c r="R353" s="3" t="s">
        <v>873</v>
      </c>
      <c r="S353">
        <v>37</v>
      </c>
      <c r="T353" t="s">
        <v>153</v>
      </c>
      <c r="U353" t="s">
        <v>93</v>
      </c>
      <c r="V353" t="s">
        <v>110</v>
      </c>
      <c r="W353" t="s">
        <v>110</v>
      </c>
      <c r="X353">
        <v>3</v>
      </c>
      <c r="Y353">
        <v>3</v>
      </c>
      <c r="Z353">
        <v>3</v>
      </c>
      <c r="AA353">
        <v>3</v>
      </c>
      <c r="AB353">
        <v>3</v>
      </c>
      <c r="AC353">
        <v>3</v>
      </c>
      <c r="AD353">
        <v>0</v>
      </c>
      <c r="AE353">
        <v>0</v>
      </c>
      <c r="AF353">
        <v>3</v>
      </c>
      <c r="AG353">
        <v>3</v>
      </c>
      <c r="AH353">
        <v>3</v>
      </c>
      <c r="AI353">
        <v>3</v>
      </c>
      <c r="AJ353">
        <v>3</v>
      </c>
      <c r="AK353">
        <v>3</v>
      </c>
      <c r="AL353">
        <v>3</v>
      </c>
      <c r="AM353">
        <v>3</v>
      </c>
      <c r="AN353">
        <v>3</v>
      </c>
      <c r="AO353">
        <v>3</v>
      </c>
      <c r="AQ353">
        <v>0</v>
      </c>
      <c r="AR353" t="s">
        <v>69</v>
      </c>
      <c r="AS353">
        <v>2</v>
      </c>
      <c r="AT353">
        <v>3</v>
      </c>
      <c r="AU353" t="s">
        <v>75</v>
      </c>
      <c r="AW353">
        <v>0</v>
      </c>
      <c r="AX353" t="s">
        <v>69</v>
      </c>
      <c r="AY353" t="s">
        <v>83</v>
      </c>
      <c r="AZ353" t="s">
        <v>96</v>
      </c>
      <c r="BA353">
        <v>0</v>
      </c>
      <c r="BB353">
        <v>0</v>
      </c>
      <c r="BC353" t="s">
        <v>2170</v>
      </c>
      <c r="BD353" t="s">
        <v>79</v>
      </c>
      <c r="BE353" t="s">
        <v>2171</v>
      </c>
      <c r="BF353" t="s">
        <v>157</v>
      </c>
      <c r="BG353" t="s">
        <v>2172</v>
      </c>
      <c r="BH353" t="s">
        <v>99</v>
      </c>
      <c r="BI353" t="s">
        <v>83</v>
      </c>
    </row>
    <row r="354" spans="1:61" x14ac:dyDescent="0.35">
      <c r="A354">
        <v>353</v>
      </c>
      <c r="B354">
        <v>45848.649340277778</v>
      </c>
      <c r="C354" t="s">
        <v>2173</v>
      </c>
      <c r="D354" t="s">
        <v>2174</v>
      </c>
      <c r="E354" t="s">
        <v>1841</v>
      </c>
      <c r="F354" t="s">
        <v>1842</v>
      </c>
      <c r="G354" t="s">
        <v>2175</v>
      </c>
      <c r="H354" t="s">
        <v>657</v>
      </c>
      <c r="I354" t="s">
        <v>66</v>
      </c>
      <c r="J354" t="s">
        <v>2168</v>
      </c>
      <c r="K354" t="s">
        <v>2176</v>
      </c>
      <c r="L354" t="s">
        <v>69</v>
      </c>
      <c r="M354" t="s">
        <v>83</v>
      </c>
      <c r="N354" t="s">
        <v>69</v>
      </c>
      <c r="O354" t="s">
        <v>69</v>
      </c>
      <c r="P354" t="s">
        <v>106</v>
      </c>
      <c r="Q354" t="s">
        <v>1180</v>
      </c>
      <c r="R354" s="3">
        <v>52</v>
      </c>
      <c r="S354">
        <v>52</v>
      </c>
      <c r="T354" t="s">
        <v>383</v>
      </c>
      <c r="U354" t="s">
        <v>93</v>
      </c>
      <c r="V354" t="s">
        <v>74</v>
      </c>
      <c r="W354" t="s">
        <v>74</v>
      </c>
      <c r="X354">
        <v>4</v>
      </c>
      <c r="Y354">
        <v>4</v>
      </c>
      <c r="Z354">
        <v>4</v>
      </c>
      <c r="AA354">
        <v>4</v>
      </c>
      <c r="AB354">
        <v>4</v>
      </c>
      <c r="AC354">
        <v>4</v>
      </c>
      <c r="AD354">
        <v>0</v>
      </c>
      <c r="AE354">
        <v>0</v>
      </c>
      <c r="AF354">
        <v>4</v>
      </c>
      <c r="AG354">
        <v>4</v>
      </c>
      <c r="AH354">
        <v>4</v>
      </c>
      <c r="AI354">
        <v>4</v>
      </c>
      <c r="AJ354">
        <v>4</v>
      </c>
      <c r="AK354">
        <v>4</v>
      </c>
      <c r="AL354">
        <v>4</v>
      </c>
      <c r="AM354">
        <v>4</v>
      </c>
      <c r="AN354">
        <v>4</v>
      </c>
      <c r="AO354">
        <v>4</v>
      </c>
      <c r="AQ354">
        <v>0</v>
      </c>
      <c r="AR354" t="s">
        <v>69</v>
      </c>
      <c r="AT354">
        <v>0</v>
      </c>
      <c r="AU354" t="s">
        <v>69</v>
      </c>
      <c r="AW354">
        <v>0</v>
      </c>
      <c r="AX354" t="s">
        <v>69</v>
      </c>
      <c r="AY354" t="s">
        <v>1718</v>
      </c>
      <c r="AZ354" t="s">
        <v>186</v>
      </c>
      <c r="BA354">
        <v>2</v>
      </c>
      <c r="BB354">
        <v>3</v>
      </c>
      <c r="BC354" t="s">
        <v>2177</v>
      </c>
      <c r="BD354" t="s">
        <v>99</v>
      </c>
      <c r="BE354" t="s">
        <v>248</v>
      </c>
      <c r="BF354" t="s">
        <v>79</v>
      </c>
      <c r="BG354" t="s">
        <v>503</v>
      </c>
      <c r="BH354" t="s">
        <v>79</v>
      </c>
      <c r="BI354" t="s">
        <v>83</v>
      </c>
    </row>
    <row r="355" spans="1:61" x14ac:dyDescent="0.35">
      <c r="A355">
        <v>354</v>
      </c>
      <c r="B355">
        <v>45848.691608796296</v>
      </c>
      <c r="C355" t="s">
        <v>2178</v>
      </c>
      <c r="D355" t="s">
        <v>2179</v>
      </c>
      <c r="E355" t="s">
        <v>63</v>
      </c>
      <c r="F355" t="s">
        <v>63</v>
      </c>
      <c r="G355" t="s">
        <v>2180</v>
      </c>
      <c r="H355" t="s">
        <v>88</v>
      </c>
      <c r="I355" t="s">
        <v>2088</v>
      </c>
      <c r="J355" t="s">
        <v>2168</v>
      </c>
      <c r="K355" t="s">
        <v>2181</v>
      </c>
      <c r="L355" t="s">
        <v>69</v>
      </c>
      <c r="M355" t="s">
        <v>69</v>
      </c>
      <c r="N355" t="s">
        <v>69</v>
      </c>
      <c r="O355" t="s">
        <v>69</v>
      </c>
      <c r="P355" t="s">
        <v>70</v>
      </c>
      <c r="Q355" t="s">
        <v>1180</v>
      </c>
      <c r="R355" s="3" t="s">
        <v>389</v>
      </c>
      <c r="S355">
        <v>47</v>
      </c>
      <c r="T355" t="s">
        <v>225</v>
      </c>
      <c r="U355" t="s">
        <v>73</v>
      </c>
      <c r="V355" t="s">
        <v>110</v>
      </c>
      <c r="W355" t="s">
        <v>110</v>
      </c>
      <c r="X355">
        <v>3</v>
      </c>
      <c r="Y355">
        <v>4</v>
      </c>
      <c r="Z355">
        <v>4</v>
      </c>
      <c r="AA355">
        <v>4</v>
      </c>
      <c r="AB355">
        <v>3</v>
      </c>
      <c r="AC355">
        <v>3</v>
      </c>
      <c r="AD355">
        <v>0</v>
      </c>
      <c r="AE355">
        <v>0</v>
      </c>
      <c r="AF355">
        <v>4</v>
      </c>
      <c r="AG355">
        <v>4</v>
      </c>
      <c r="AH355">
        <v>4</v>
      </c>
      <c r="AI355">
        <v>4</v>
      </c>
      <c r="AJ355">
        <v>4</v>
      </c>
      <c r="AK355">
        <v>3</v>
      </c>
      <c r="AL355">
        <v>3</v>
      </c>
      <c r="AM355">
        <v>3</v>
      </c>
      <c r="AN355">
        <v>3</v>
      </c>
      <c r="AO355">
        <v>4</v>
      </c>
      <c r="AQ355">
        <v>0</v>
      </c>
      <c r="AR355" t="s">
        <v>69</v>
      </c>
      <c r="AT355">
        <v>0</v>
      </c>
      <c r="AU355" t="s">
        <v>69</v>
      </c>
      <c r="AV355">
        <v>2</v>
      </c>
      <c r="AW355">
        <v>3</v>
      </c>
      <c r="AX355" t="s">
        <v>75</v>
      </c>
      <c r="AY355" t="s">
        <v>83</v>
      </c>
      <c r="AZ355" t="s">
        <v>96</v>
      </c>
      <c r="BA355">
        <v>0</v>
      </c>
      <c r="BB355">
        <v>0</v>
      </c>
      <c r="BC355" t="s">
        <v>2182</v>
      </c>
      <c r="BD355" t="s">
        <v>452</v>
      </c>
      <c r="BE355" t="s">
        <v>98</v>
      </c>
      <c r="BF355" t="s">
        <v>99</v>
      </c>
      <c r="BG355" t="s">
        <v>98</v>
      </c>
      <c r="BH355" t="s">
        <v>99</v>
      </c>
      <c r="BI355" t="s">
        <v>98</v>
      </c>
    </row>
    <row r="356" spans="1:61" x14ac:dyDescent="0.35">
      <c r="A356">
        <v>355</v>
      </c>
      <c r="B356">
        <v>45848.780150462961</v>
      </c>
      <c r="C356" t="s">
        <v>2183</v>
      </c>
      <c r="D356" t="s">
        <v>2184</v>
      </c>
      <c r="E356" t="s">
        <v>63</v>
      </c>
      <c r="F356" t="s">
        <v>397</v>
      </c>
      <c r="G356" t="s">
        <v>2185</v>
      </c>
      <c r="H356" t="s">
        <v>981</v>
      </c>
      <c r="I356" t="s">
        <v>982</v>
      </c>
      <c r="J356" t="s">
        <v>2186</v>
      </c>
      <c r="K356" t="s">
        <v>2187</v>
      </c>
      <c r="L356" t="s">
        <v>69</v>
      </c>
      <c r="M356" t="s">
        <v>69</v>
      </c>
      <c r="N356" t="s">
        <v>69</v>
      </c>
      <c r="O356" t="s">
        <v>69</v>
      </c>
      <c r="P356" t="s">
        <v>106</v>
      </c>
      <c r="Q356" t="s">
        <v>1168</v>
      </c>
      <c r="R356" s="3" t="s">
        <v>1123</v>
      </c>
      <c r="S356">
        <v>48</v>
      </c>
      <c r="T356" t="s">
        <v>225</v>
      </c>
      <c r="U356" t="s">
        <v>93</v>
      </c>
      <c r="V356" t="s">
        <v>110</v>
      </c>
      <c r="W356" t="s">
        <v>110</v>
      </c>
      <c r="X356">
        <v>4</v>
      </c>
      <c r="Y356">
        <v>3</v>
      </c>
      <c r="Z356">
        <v>4</v>
      </c>
      <c r="AA356">
        <v>3</v>
      </c>
      <c r="AB356">
        <v>3</v>
      </c>
      <c r="AC356">
        <v>3</v>
      </c>
      <c r="AD356">
        <v>0</v>
      </c>
      <c r="AE356">
        <v>0</v>
      </c>
      <c r="AF356">
        <v>3</v>
      </c>
      <c r="AG356">
        <v>3</v>
      </c>
      <c r="AH356">
        <v>4</v>
      </c>
      <c r="AI356">
        <v>4</v>
      </c>
      <c r="AJ356">
        <v>4</v>
      </c>
      <c r="AK356">
        <v>4</v>
      </c>
      <c r="AL356">
        <v>4</v>
      </c>
      <c r="AM356">
        <v>4</v>
      </c>
      <c r="AN356">
        <v>4</v>
      </c>
      <c r="AO356">
        <v>4</v>
      </c>
      <c r="AQ356">
        <v>0</v>
      </c>
      <c r="AR356" t="s">
        <v>69</v>
      </c>
      <c r="AT356">
        <v>0</v>
      </c>
      <c r="AU356" t="s">
        <v>69</v>
      </c>
      <c r="AV356">
        <v>1</v>
      </c>
      <c r="AW356">
        <v>4</v>
      </c>
      <c r="AX356" t="s">
        <v>75</v>
      </c>
      <c r="AY356" t="s">
        <v>83</v>
      </c>
      <c r="AZ356" t="s">
        <v>96</v>
      </c>
      <c r="BA356">
        <v>0</v>
      </c>
      <c r="BB356">
        <v>0</v>
      </c>
      <c r="BC356" t="s">
        <v>2188</v>
      </c>
      <c r="BD356" t="s">
        <v>79</v>
      </c>
      <c r="BE356" t="s">
        <v>2189</v>
      </c>
      <c r="BF356" t="s">
        <v>157</v>
      </c>
      <c r="BG356" t="s">
        <v>985</v>
      </c>
      <c r="BH356" t="s">
        <v>79</v>
      </c>
      <c r="BI356" t="s">
        <v>83</v>
      </c>
    </row>
    <row r="357" spans="1:61" x14ac:dyDescent="0.35">
      <c r="A357">
        <v>356</v>
      </c>
      <c r="B357">
        <v>45848.79146990741</v>
      </c>
      <c r="C357" t="s">
        <v>2190</v>
      </c>
      <c r="D357" t="s">
        <v>2191</v>
      </c>
      <c r="E357" t="s">
        <v>63</v>
      </c>
      <c r="F357" t="s">
        <v>63</v>
      </c>
      <c r="G357" t="s">
        <v>2192</v>
      </c>
      <c r="H357" t="s">
        <v>88</v>
      </c>
      <c r="I357" t="s">
        <v>2088</v>
      </c>
      <c r="J357" t="s">
        <v>2168</v>
      </c>
      <c r="K357" t="s">
        <v>2193</v>
      </c>
      <c r="L357" t="s">
        <v>69</v>
      </c>
      <c r="M357" t="s">
        <v>69</v>
      </c>
      <c r="N357" t="s">
        <v>69</v>
      </c>
      <c r="O357" t="s">
        <v>69</v>
      </c>
      <c r="P357" t="s">
        <v>106</v>
      </c>
      <c r="Q357" t="s">
        <v>1168</v>
      </c>
      <c r="R357" s="3" t="s">
        <v>826</v>
      </c>
      <c r="S357">
        <v>44</v>
      </c>
      <c r="T357" t="s">
        <v>197</v>
      </c>
      <c r="U357" t="s">
        <v>254</v>
      </c>
      <c r="V357" t="s">
        <v>110</v>
      </c>
      <c r="W357" t="s">
        <v>110</v>
      </c>
      <c r="X357">
        <v>3</v>
      </c>
      <c r="Y357">
        <v>4</v>
      </c>
      <c r="Z357">
        <v>4</v>
      </c>
      <c r="AA357">
        <v>4</v>
      </c>
      <c r="AB357">
        <v>3</v>
      </c>
      <c r="AC357">
        <v>4</v>
      </c>
      <c r="AD357">
        <v>0</v>
      </c>
      <c r="AE357">
        <v>0</v>
      </c>
      <c r="AF357">
        <v>3</v>
      </c>
      <c r="AG357">
        <v>3</v>
      </c>
      <c r="AH357">
        <v>3</v>
      </c>
      <c r="AI357">
        <v>3</v>
      </c>
      <c r="AJ357">
        <v>4</v>
      </c>
      <c r="AK357">
        <v>4</v>
      </c>
      <c r="AL357">
        <v>4</v>
      </c>
      <c r="AM357">
        <v>4</v>
      </c>
      <c r="AN357">
        <v>3</v>
      </c>
      <c r="AO357">
        <v>3</v>
      </c>
      <c r="AQ357">
        <v>0</v>
      </c>
      <c r="AR357" t="s">
        <v>69</v>
      </c>
      <c r="AT357">
        <v>0</v>
      </c>
      <c r="AU357" t="s">
        <v>69</v>
      </c>
      <c r="AV357">
        <v>2</v>
      </c>
      <c r="AW357">
        <v>3</v>
      </c>
      <c r="AX357" t="s">
        <v>75</v>
      </c>
      <c r="AY357" t="s">
        <v>83</v>
      </c>
      <c r="AZ357" t="s">
        <v>96</v>
      </c>
      <c r="BA357">
        <v>0</v>
      </c>
      <c r="BB357">
        <v>0</v>
      </c>
      <c r="BC357" t="s">
        <v>98</v>
      </c>
      <c r="BD357" t="s">
        <v>99</v>
      </c>
      <c r="BE357" t="s">
        <v>98</v>
      </c>
      <c r="BF357" t="s">
        <v>99</v>
      </c>
      <c r="BG357" t="s">
        <v>2194</v>
      </c>
      <c r="BH357" t="s">
        <v>190</v>
      </c>
      <c r="BI357" t="s">
        <v>83</v>
      </c>
    </row>
    <row r="358" spans="1:61" x14ac:dyDescent="0.35">
      <c r="A358">
        <v>357</v>
      </c>
      <c r="B358">
        <v>45848.80059027778</v>
      </c>
      <c r="C358" t="s">
        <v>2195</v>
      </c>
      <c r="D358" t="s">
        <v>2196</v>
      </c>
      <c r="E358" t="s">
        <v>63</v>
      </c>
      <c r="F358" t="s">
        <v>240</v>
      </c>
      <c r="G358" t="s">
        <v>2197</v>
      </c>
      <c r="H358" t="s">
        <v>981</v>
      </c>
      <c r="I358" t="s">
        <v>982</v>
      </c>
      <c r="J358" t="s">
        <v>2186</v>
      </c>
      <c r="K358" t="s">
        <v>1584</v>
      </c>
      <c r="L358" t="s">
        <v>69</v>
      </c>
      <c r="M358" t="s">
        <v>69</v>
      </c>
      <c r="N358" t="s">
        <v>69</v>
      </c>
      <c r="O358" t="s">
        <v>69</v>
      </c>
      <c r="P358" t="s">
        <v>70</v>
      </c>
      <c r="Q358" t="s">
        <v>1168</v>
      </c>
      <c r="R358" s="3" t="s">
        <v>807</v>
      </c>
      <c r="S358">
        <v>36</v>
      </c>
      <c r="T358" t="s">
        <v>153</v>
      </c>
      <c r="U358" t="s">
        <v>273</v>
      </c>
      <c r="V358" t="s">
        <v>2198</v>
      </c>
      <c r="W358" t="s">
        <v>110</v>
      </c>
      <c r="X358">
        <v>4</v>
      </c>
      <c r="Y358">
        <v>4</v>
      </c>
      <c r="Z358">
        <v>4</v>
      </c>
      <c r="AA358">
        <v>4</v>
      </c>
      <c r="AB358">
        <v>4</v>
      </c>
      <c r="AC358">
        <v>4</v>
      </c>
      <c r="AD358">
        <v>0</v>
      </c>
      <c r="AE358">
        <v>0</v>
      </c>
      <c r="AF358">
        <v>4</v>
      </c>
      <c r="AG358">
        <v>4</v>
      </c>
      <c r="AH358">
        <v>4</v>
      </c>
      <c r="AI358">
        <v>4</v>
      </c>
      <c r="AJ358">
        <v>4</v>
      </c>
      <c r="AK358">
        <v>4</v>
      </c>
      <c r="AL358">
        <v>4</v>
      </c>
      <c r="AM358">
        <v>4</v>
      </c>
      <c r="AN358">
        <v>4</v>
      </c>
      <c r="AO358">
        <v>4</v>
      </c>
      <c r="AQ358">
        <v>0</v>
      </c>
      <c r="AR358" t="s">
        <v>69</v>
      </c>
      <c r="AT358">
        <v>0</v>
      </c>
      <c r="AU358" t="s">
        <v>69</v>
      </c>
      <c r="AV358">
        <v>4</v>
      </c>
      <c r="AW358">
        <v>0</v>
      </c>
      <c r="AX358" t="s">
        <v>69</v>
      </c>
      <c r="AY358" t="s">
        <v>83</v>
      </c>
      <c r="AZ358" t="s">
        <v>96</v>
      </c>
      <c r="BA358">
        <v>0</v>
      </c>
      <c r="BB358">
        <v>0</v>
      </c>
      <c r="BC358" t="s">
        <v>985</v>
      </c>
      <c r="BD358" t="s">
        <v>79</v>
      </c>
      <c r="BE358" t="s">
        <v>985</v>
      </c>
      <c r="BF358" t="s">
        <v>79</v>
      </c>
      <c r="BG358" t="s">
        <v>985</v>
      </c>
      <c r="BH358" t="s">
        <v>79</v>
      </c>
      <c r="BI358" t="s">
        <v>83</v>
      </c>
    </row>
    <row r="359" spans="1:61" x14ac:dyDescent="0.35">
      <c r="A359">
        <v>358</v>
      </c>
      <c r="B359">
        <v>45848.803912037038</v>
      </c>
      <c r="C359" t="s">
        <v>2199</v>
      </c>
      <c r="D359" t="s">
        <v>2200</v>
      </c>
      <c r="E359" t="s">
        <v>63</v>
      </c>
      <c r="F359" t="s">
        <v>480</v>
      </c>
      <c r="G359" t="s">
        <v>2201</v>
      </c>
      <c r="H359" t="s">
        <v>981</v>
      </c>
      <c r="I359" t="s">
        <v>982</v>
      </c>
      <c r="J359" t="s">
        <v>2186</v>
      </c>
      <c r="K359" t="s">
        <v>2134</v>
      </c>
      <c r="L359" t="s">
        <v>69</v>
      </c>
      <c r="M359" t="s">
        <v>69</v>
      </c>
      <c r="N359" t="s">
        <v>69</v>
      </c>
      <c r="O359" t="s">
        <v>69</v>
      </c>
      <c r="P359" t="s">
        <v>70</v>
      </c>
      <c r="Q359" t="s">
        <v>1168</v>
      </c>
      <c r="R359" s="3" t="s">
        <v>389</v>
      </c>
      <c r="S359">
        <v>47</v>
      </c>
      <c r="T359" t="s">
        <v>225</v>
      </c>
      <c r="U359" t="s">
        <v>73</v>
      </c>
      <c r="V359" t="s">
        <v>232</v>
      </c>
      <c r="W359" t="s">
        <v>232</v>
      </c>
      <c r="X359">
        <v>4</v>
      </c>
      <c r="Y359">
        <v>4</v>
      </c>
      <c r="Z359">
        <v>4</v>
      </c>
      <c r="AA359">
        <v>4</v>
      </c>
      <c r="AB359">
        <v>3</v>
      </c>
      <c r="AC359">
        <v>4</v>
      </c>
      <c r="AD359">
        <v>0</v>
      </c>
      <c r="AE359">
        <v>0</v>
      </c>
      <c r="AF359">
        <v>4</v>
      </c>
      <c r="AG359">
        <v>4</v>
      </c>
      <c r="AH359">
        <v>4</v>
      </c>
      <c r="AI359">
        <v>4</v>
      </c>
      <c r="AJ359">
        <v>4</v>
      </c>
      <c r="AK359">
        <v>4</v>
      </c>
      <c r="AL359">
        <v>4</v>
      </c>
      <c r="AM359">
        <v>4</v>
      </c>
      <c r="AN359">
        <v>4</v>
      </c>
      <c r="AO359">
        <v>4</v>
      </c>
      <c r="AQ359">
        <v>0</v>
      </c>
      <c r="AR359" t="s">
        <v>69</v>
      </c>
      <c r="AT359">
        <v>0</v>
      </c>
      <c r="AU359" t="s">
        <v>69</v>
      </c>
      <c r="AV359">
        <v>4</v>
      </c>
      <c r="AW359">
        <v>0</v>
      </c>
      <c r="AX359" t="s">
        <v>75</v>
      </c>
      <c r="AY359" t="s">
        <v>83</v>
      </c>
      <c r="AZ359" t="s">
        <v>96</v>
      </c>
      <c r="BA359">
        <v>0</v>
      </c>
      <c r="BB359">
        <v>0</v>
      </c>
      <c r="BC359" t="s">
        <v>985</v>
      </c>
      <c r="BD359" t="s">
        <v>79</v>
      </c>
      <c r="BE359" t="s">
        <v>985</v>
      </c>
      <c r="BF359" t="s">
        <v>79</v>
      </c>
      <c r="BG359" t="s">
        <v>985</v>
      </c>
      <c r="BH359" t="s">
        <v>79</v>
      </c>
      <c r="BI359" t="s">
        <v>83</v>
      </c>
    </row>
    <row r="360" spans="1:61" x14ac:dyDescent="0.35">
      <c r="A360">
        <v>359</v>
      </c>
      <c r="B360">
        <v>45848.813692129632</v>
      </c>
      <c r="C360" t="s">
        <v>2202</v>
      </c>
      <c r="D360" t="s">
        <v>136</v>
      </c>
      <c r="E360" t="s">
        <v>63</v>
      </c>
      <c r="F360" t="s">
        <v>136</v>
      </c>
      <c r="G360" t="s">
        <v>2203</v>
      </c>
      <c r="H360" t="s">
        <v>210</v>
      </c>
      <c r="I360" t="s">
        <v>211</v>
      </c>
      <c r="J360" t="s">
        <v>2204</v>
      </c>
      <c r="K360" t="s">
        <v>2205</v>
      </c>
      <c r="L360" t="s">
        <v>69</v>
      </c>
      <c r="M360" t="s">
        <v>69</v>
      </c>
      <c r="N360" t="s">
        <v>69</v>
      </c>
      <c r="O360" t="s">
        <v>69</v>
      </c>
      <c r="P360" t="s">
        <v>70</v>
      </c>
      <c r="Q360" t="s">
        <v>1168</v>
      </c>
      <c r="R360" s="3">
        <v>23</v>
      </c>
      <c r="S360">
        <v>23</v>
      </c>
      <c r="T360" t="s">
        <v>72</v>
      </c>
      <c r="U360" t="s">
        <v>73</v>
      </c>
      <c r="V360" t="s">
        <v>74</v>
      </c>
      <c r="W360" t="s">
        <v>74</v>
      </c>
      <c r="X360">
        <v>3</v>
      </c>
      <c r="Y360">
        <v>3</v>
      </c>
      <c r="Z360">
        <v>3</v>
      </c>
      <c r="AA360">
        <v>3</v>
      </c>
      <c r="AB360">
        <v>3</v>
      </c>
      <c r="AC360">
        <v>3</v>
      </c>
      <c r="AD360">
        <v>4</v>
      </c>
      <c r="AE360">
        <v>4</v>
      </c>
      <c r="AF360">
        <v>3</v>
      </c>
      <c r="AG360">
        <v>3</v>
      </c>
      <c r="AH360">
        <v>3</v>
      </c>
      <c r="AI360">
        <v>3</v>
      </c>
      <c r="AJ360">
        <v>3</v>
      </c>
      <c r="AK360">
        <v>3</v>
      </c>
      <c r="AL360">
        <v>3</v>
      </c>
      <c r="AM360">
        <v>3</v>
      </c>
      <c r="AN360">
        <v>3</v>
      </c>
      <c r="AO360">
        <v>3</v>
      </c>
      <c r="AP360">
        <v>2</v>
      </c>
      <c r="AQ360">
        <v>3</v>
      </c>
      <c r="AR360" t="s">
        <v>75</v>
      </c>
      <c r="AT360">
        <v>0</v>
      </c>
      <c r="AU360" t="s">
        <v>69</v>
      </c>
      <c r="AW360">
        <v>0</v>
      </c>
      <c r="AX360" t="s">
        <v>69</v>
      </c>
      <c r="AY360" t="s">
        <v>83</v>
      </c>
      <c r="AZ360" t="s">
        <v>96</v>
      </c>
      <c r="BA360">
        <v>0</v>
      </c>
      <c r="BB360">
        <v>0</v>
      </c>
      <c r="BC360" t="s">
        <v>98</v>
      </c>
      <c r="BD360" t="s">
        <v>99</v>
      </c>
      <c r="BE360" t="s">
        <v>98</v>
      </c>
      <c r="BF360" t="s">
        <v>99</v>
      </c>
      <c r="BG360" t="s">
        <v>98</v>
      </c>
      <c r="BH360" t="s">
        <v>99</v>
      </c>
      <c r="BI360" t="s">
        <v>98</v>
      </c>
    </row>
    <row r="361" spans="1:61" x14ac:dyDescent="0.35">
      <c r="A361">
        <v>360</v>
      </c>
      <c r="B361">
        <v>45848.813750000001</v>
      </c>
      <c r="C361" t="s">
        <v>2206</v>
      </c>
      <c r="D361" t="s">
        <v>2207</v>
      </c>
      <c r="E361" t="s">
        <v>904</v>
      </c>
      <c r="F361" t="s">
        <v>2208</v>
      </c>
      <c r="G361" t="s">
        <v>2209</v>
      </c>
      <c r="H361" t="s">
        <v>88</v>
      </c>
      <c r="I361" t="s">
        <v>2088</v>
      </c>
      <c r="J361" t="s">
        <v>2168</v>
      </c>
      <c r="K361" t="s">
        <v>1217</v>
      </c>
      <c r="L361" t="s">
        <v>69</v>
      </c>
      <c r="M361" t="s">
        <v>69</v>
      </c>
      <c r="N361" t="s">
        <v>69</v>
      </c>
      <c r="O361" t="s">
        <v>69</v>
      </c>
      <c r="P361" t="s">
        <v>106</v>
      </c>
      <c r="Q361" t="s">
        <v>1180</v>
      </c>
      <c r="R361" s="3" t="s">
        <v>91</v>
      </c>
      <c r="S361">
        <v>27</v>
      </c>
      <c r="T361" t="s">
        <v>92</v>
      </c>
      <c r="U361" t="s">
        <v>93</v>
      </c>
      <c r="V361" t="s">
        <v>74</v>
      </c>
      <c r="W361" t="s">
        <v>74</v>
      </c>
      <c r="X361">
        <v>3</v>
      </c>
      <c r="Y361">
        <v>3</v>
      </c>
      <c r="Z361">
        <v>3</v>
      </c>
      <c r="AA361">
        <v>3</v>
      </c>
      <c r="AB361">
        <v>4</v>
      </c>
      <c r="AC361">
        <v>3</v>
      </c>
      <c r="AD361">
        <v>0</v>
      </c>
      <c r="AE361">
        <v>0</v>
      </c>
      <c r="AF361">
        <v>3</v>
      </c>
      <c r="AG361">
        <v>3</v>
      </c>
      <c r="AH361">
        <v>3</v>
      </c>
      <c r="AI361">
        <v>3</v>
      </c>
      <c r="AJ361">
        <v>3</v>
      </c>
      <c r="AK361">
        <v>3</v>
      </c>
      <c r="AL361">
        <v>3</v>
      </c>
      <c r="AM361">
        <v>3</v>
      </c>
      <c r="AN361">
        <v>3</v>
      </c>
      <c r="AO361">
        <v>3</v>
      </c>
      <c r="AQ361">
        <v>0</v>
      </c>
      <c r="AR361" t="s">
        <v>69</v>
      </c>
      <c r="AT361">
        <v>0</v>
      </c>
      <c r="AU361" t="s">
        <v>69</v>
      </c>
      <c r="AW361">
        <v>0</v>
      </c>
      <c r="AX361" t="s">
        <v>69</v>
      </c>
      <c r="AY361" t="s">
        <v>2210</v>
      </c>
      <c r="AZ361" t="s">
        <v>144</v>
      </c>
      <c r="BA361">
        <v>1</v>
      </c>
      <c r="BB361">
        <v>4</v>
      </c>
      <c r="BC361" t="s">
        <v>98</v>
      </c>
      <c r="BD361" t="s">
        <v>99</v>
      </c>
      <c r="BE361" t="s">
        <v>98</v>
      </c>
      <c r="BF361" t="s">
        <v>99</v>
      </c>
      <c r="BG361" t="s">
        <v>98</v>
      </c>
      <c r="BH361" t="s">
        <v>99</v>
      </c>
      <c r="BI361" t="s">
        <v>98</v>
      </c>
    </row>
    <row r="362" spans="1:61" x14ac:dyDescent="0.35">
      <c r="A362">
        <v>361</v>
      </c>
      <c r="B362">
        <v>45848.820856481485</v>
      </c>
      <c r="C362" t="s">
        <v>2211</v>
      </c>
      <c r="D362" t="s">
        <v>2212</v>
      </c>
      <c r="E362" t="s">
        <v>63</v>
      </c>
      <c r="F362" t="s">
        <v>179</v>
      </c>
      <c r="G362" t="s">
        <v>2213</v>
      </c>
      <c r="H362" t="s">
        <v>210</v>
      </c>
      <c r="I362" t="s">
        <v>211</v>
      </c>
      <c r="J362" t="s">
        <v>2204</v>
      </c>
      <c r="K362" t="s">
        <v>2214</v>
      </c>
      <c r="L362" t="s">
        <v>69</v>
      </c>
      <c r="M362" t="s">
        <v>69</v>
      </c>
      <c r="N362" t="s">
        <v>69</v>
      </c>
      <c r="O362" t="s">
        <v>69</v>
      </c>
      <c r="P362" t="s">
        <v>70</v>
      </c>
      <c r="Q362" t="s">
        <v>1168</v>
      </c>
      <c r="R362" s="3">
        <v>26</v>
      </c>
      <c r="S362">
        <v>26</v>
      </c>
      <c r="T362" t="s">
        <v>92</v>
      </c>
      <c r="U362" t="s">
        <v>73</v>
      </c>
      <c r="V362" t="s">
        <v>74</v>
      </c>
      <c r="W362" t="s">
        <v>74</v>
      </c>
      <c r="X362">
        <v>4</v>
      </c>
      <c r="Y362">
        <v>4</v>
      </c>
      <c r="Z362">
        <v>4</v>
      </c>
      <c r="AA362">
        <v>4</v>
      </c>
      <c r="AB362">
        <v>4</v>
      </c>
      <c r="AC362">
        <v>4</v>
      </c>
      <c r="AD362">
        <v>4</v>
      </c>
      <c r="AE362">
        <v>4</v>
      </c>
      <c r="AF362">
        <v>4</v>
      </c>
      <c r="AG362">
        <v>4</v>
      </c>
      <c r="AH362">
        <v>4</v>
      </c>
      <c r="AI362">
        <v>4</v>
      </c>
      <c r="AJ362">
        <v>4</v>
      </c>
      <c r="AK362">
        <v>4</v>
      </c>
      <c r="AL362">
        <v>4</v>
      </c>
      <c r="AM362">
        <v>4</v>
      </c>
      <c r="AN362">
        <v>4</v>
      </c>
      <c r="AO362">
        <v>4</v>
      </c>
      <c r="AP362">
        <v>2</v>
      </c>
      <c r="AQ362">
        <v>3</v>
      </c>
      <c r="AR362" t="s">
        <v>75</v>
      </c>
      <c r="AT362">
        <v>0</v>
      </c>
      <c r="AU362" t="s">
        <v>69</v>
      </c>
      <c r="AW362">
        <v>0</v>
      </c>
      <c r="AX362" t="s">
        <v>69</v>
      </c>
      <c r="AY362" t="s">
        <v>83</v>
      </c>
      <c r="AZ362" t="s">
        <v>96</v>
      </c>
      <c r="BA362">
        <v>0</v>
      </c>
      <c r="BB362">
        <v>0</v>
      </c>
      <c r="BC362" t="s">
        <v>98</v>
      </c>
      <c r="BD362" t="s">
        <v>99</v>
      </c>
      <c r="BE362" t="s">
        <v>98</v>
      </c>
      <c r="BF362" t="s">
        <v>99</v>
      </c>
      <c r="BG362" t="s">
        <v>98</v>
      </c>
      <c r="BH362" t="s">
        <v>99</v>
      </c>
      <c r="BI362" t="s">
        <v>98</v>
      </c>
    </row>
    <row r="363" spans="1:61" x14ac:dyDescent="0.35">
      <c r="A363">
        <v>362</v>
      </c>
      <c r="B363">
        <v>45848.838518518518</v>
      </c>
      <c r="C363" t="s">
        <v>2215</v>
      </c>
      <c r="D363" t="s">
        <v>2216</v>
      </c>
      <c r="E363" t="s">
        <v>63</v>
      </c>
      <c r="F363" t="s">
        <v>136</v>
      </c>
      <c r="G363" t="s">
        <v>2217</v>
      </c>
      <c r="H363" t="s">
        <v>242</v>
      </c>
      <c r="I363" t="s">
        <v>243</v>
      </c>
      <c r="J363" t="s">
        <v>2001</v>
      </c>
      <c r="K363" t="s">
        <v>2218</v>
      </c>
      <c r="L363" t="s">
        <v>69</v>
      </c>
      <c r="M363" t="s">
        <v>69</v>
      </c>
      <c r="N363" t="s">
        <v>69</v>
      </c>
      <c r="O363" t="s">
        <v>69</v>
      </c>
      <c r="P363" t="s">
        <v>70</v>
      </c>
      <c r="Q363" t="s">
        <v>1168</v>
      </c>
      <c r="R363" s="3" t="s">
        <v>404</v>
      </c>
      <c r="S363">
        <v>42</v>
      </c>
      <c r="T363" t="s">
        <v>197</v>
      </c>
      <c r="U363" t="s">
        <v>73</v>
      </c>
      <c r="V363" t="s">
        <v>232</v>
      </c>
      <c r="W363" t="s">
        <v>232</v>
      </c>
      <c r="X363">
        <v>3</v>
      </c>
      <c r="Y363">
        <v>4</v>
      </c>
      <c r="Z363">
        <v>4</v>
      </c>
      <c r="AA363">
        <v>4</v>
      </c>
      <c r="AB363">
        <v>4</v>
      </c>
      <c r="AC363">
        <v>4</v>
      </c>
      <c r="AD363">
        <v>0</v>
      </c>
      <c r="AE363">
        <v>0</v>
      </c>
      <c r="AF363">
        <v>4</v>
      </c>
      <c r="AG363">
        <v>4</v>
      </c>
      <c r="AH363">
        <v>3</v>
      </c>
      <c r="AI363">
        <v>4</v>
      </c>
      <c r="AJ363">
        <v>3</v>
      </c>
      <c r="AK363">
        <v>4</v>
      </c>
      <c r="AL363">
        <v>3</v>
      </c>
      <c r="AM363">
        <v>4</v>
      </c>
      <c r="AN363">
        <v>4</v>
      </c>
      <c r="AO363">
        <v>4</v>
      </c>
      <c r="AQ363">
        <v>0</v>
      </c>
      <c r="AR363" t="s">
        <v>69</v>
      </c>
      <c r="AT363">
        <v>0</v>
      </c>
      <c r="AU363" t="s">
        <v>69</v>
      </c>
      <c r="AV363">
        <v>1</v>
      </c>
      <c r="AW363">
        <v>4</v>
      </c>
      <c r="AX363" t="s">
        <v>75</v>
      </c>
      <c r="AY363" t="s">
        <v>83</v>
      </c>
      <c r="AZ363" t="s">
        <v>96</v>
      </c>
      <c r="BA363">
        <v>0</v>
      </c>
      <c r="BB363">
        <v>0</v>
      </c>
      <c r="BC363" t="s">
        <v>248</v>
      </c>
      <c r="BD363" t="s">
        <v>79</v>
      </c>
      <c r="BE363" t="s">
        <v>248</v>
      </c>
      <c r="BF363" t="s">
        <v>79</v>
      </c>
      <c r="BG363" t="s">
        <v>248</v>
      </c>
      <c r="BH363" t="s">
        <v>79</v>
      </c>
      <c r="BI363" t="s">
        <v>2219</v>
      </c>
    </row>
    <row r="364" spans="1:61" x14ac:dyDescent="0.35">
      <c r="A364">
        <v>363</v>
      </c>
      <c r="B364">
        <v>45848.843425925923</v>
      </c>
      <c r="C364" t="s">
        <v>2220</v>
      </c>
      <c r="D364" t="s">
        <v>2221</v>
      </c>
      <c r="E364" t="s">
        <v>63</v>
      </c>
      <c r="F364" t="s">
        <v>86</v>
      </c>
      <c r="G364" t="s">
        <v>2222</v>
      </c>
      <c r="H364" t="s">
        <v>242</v>
      </c>
      <c r="I364" t="s">
        <v>243</v>
      </c>
      <c r="J364" t="s">
        <v>2001</v>
      </c>
      <c r="K364" t="s">
        <v>2223</v>
      </c>
      <c r="L364" t="s">
        <v>69</v>
      </c>
      <c r="M364" t="s">
        <v>69</v>
      </c>
      <c r="N364" t="s">
        <v>69</v>
      </c>
      <c r="O364" t="s">
        <v>69</v>
      </c>
      <c r="P364" t="s">
        <v>106</v>
      </c>
      <c r="Q364" t="s">
        <v>1168</v>
      </c>
      <c r="R364" s="3" t="s">
        <v>441</v>
      </c>
      <c r="S364">
        <v>23</v>
      </c>
      <c r="T364" t="s">
        <v>72</v>
      </c>
      <c r="U364" t="s">
        <v>273</v>
      </c>
      <c r="V364" t="s">
        <v>74</v>
      </c>
      <c r="W364" t="s">
        <v>74</v>
      </c>
      <c r="X364">
        <v>3</v>
      </c>
      <c r="Y364">
        <v>3</v>
      </c>
      <c r="Z364">
        <v>3</v>
      </c>
      <c r="AA364">
        <v>3</v>
      </c>
      <c r="AB364">
        <v>3</v>
      </c>
      <c r="AC364">
        <v>3</v>
      </c>
      <c r="AD364">
        <v>0</v>
      </c>
      <c r="AE364">
        <v>0</v>
      </c>
      <c r="AF364">
        <v>3</v>
      </c>
      <c r="AG364">
        <v>3</v>
      </c>
      <c r="AH364">
        <v>3</v>
      </c>
      <c r="AI364">
        <v>3</v>
      </c>
      <c r="AJ364">
        <v>3</v>
      </c>
      <c r="AK364">
        <v>3</v>
      </c>
      <c r="AL364">
        <v>3</v>
      </c>
      <c r="AM364">
        <v>3</v>
      </c>
      <c r="AN364">
        <v>3</v>
      </c>
      <c r="AO364">
        <v>3</v>
      </c>
      <c r="AQ364">
        <v>0</v>
      </c>
      <c r="AR364" t="s">
        <v>69</v>
      </c>
      <c r="AT364">
        <v>0</v>
      </c>
      <c r="AU364" t="s">
        <v>69</v>
      </c>
      <c r="AW364">
        <v>0</v>
      </c>
      <c r="AX364" t="s">
        <v>69</v>
      </c>
      <c r="AY364" t="s">
        <v>2224</v>
      </c>
      <c r="AZ364" t="s">
        <v>1515</v>
      </c>
      <c r="BA364">
        <v>2</v>
      </c>
      <c r="BB364">
        <v>3</v>
      </c>
      <c r="BC364" t="s">
        <v>2225</v>
      </c>
      <c r="BD364" t="s">
        <v>79</v>
      </c>
      <c r="BE364" t="s">
        <v>248</v>
      </c>
      <c r="BF364" t="s">
        <v>79</v>
      </c>
      <c r="BG364" t="s">
        <v>248</v>
      </c>
      <c r="BH364" t="s">
        <v>79</v>
      </c>
      <c r="BI364" t="s">
        <v>1857</v>
      </c>
    </row>
    <row r="365" spans="1:61" x14ac:dyDescent="0.35">
      <c r="A365">
        <v>364</v>
      </c>
      <c r="B365">
        <v>45848.844097222223</v>
      </c>
      <c r="C365" t="s">
        <v>2226</v>
      </c>
      <c r="D365" t="s">
        <v>2227</v>
      </c>
      <c r="E365" t="s">
        <v>63</v>
      </c>
      <c r="F365" t="s">
        <v>86</v>
      </c>
      <c r="G365" t="s">
        <v>2228</v>
      </c>
      <c r="H365" t="s">
        <v>210</v>
      </c>
      <c r="I365" t="s">
        <v>211</v>
      </c>
      <c r="J365" t="s">
        <v>2204</v>
      </c>
      <c r="K365" t="s">
        <v>297</v>
      </c>
      <c r="L365" t="s">
        <v>69</v>
      </c>
      <c r="M365" t="s">
        <v>69</v>
      </c>
      <c r="N365" t="s">
        <v>69</v>
      </c>
      <c r="O365" t="s">
        <v>69</v>
      </c>
      <c r="P365" t="s">
        <v>70</v>
      </c>
      <c r="Q365" t="s">
        <v>1168</v>
      </c>
      <c r="R365" s="3">
        <v>19</v>
      </c>
      <c r="S365">
        <v>19</v>
      </c>
      <c r="T365" t="s">
        <v>131</v>
      </c>
      <c r="U365" t="s">
        <v>73</v>
      </c>
      <c r="V365" t="s">
        <v>74</v>
      </c>
      <c r="W365" t="s">
        <v>74</v>
      </c>
      <c r="X365">
        <v>4</v>
      </c>
      <c r="Y365">
        <v>4</v>
      </c>
      <c r="Z365">
        <v>4</v>
      </c>
      <c r="AA365">
        <v>4</v>
      </c>
      <c r="AB365">
        <v>4</v>
      </c>
      <c r="AC365">
        <v>4</v>
      </c>
      <c r="AD365">
        <v>4</v>
      </c>
      <c r="AE365">
        <v>4</v>
      </c>
      <c r="AF365">
        <v>4</v>
      </c>
      <c r="AG365">
        <v>4</v>
      </c>
      <c r="AH365">
        <v>4</v>
      </c>
      <c r="AI365">
        <v>4</v>
      </c>
      <c r="AJ365">
        <v>4</v>
      </c>
      <c r="AK365">
        <v>4</v>
      </c>
      <c r="AL365">
        <v>4</v>
      </c>
      <c r="AM365">
        <v>4</v>
      </c>
      <c r="AN365">
        <v>4</v>
      </c>
      <c r="AO365">
        <v>4</v>
      </c>
      <c r="AP365">
        <v>1</v>
      </c>
      <c r="AQ365">
        <v>4</v>
      </c>
      <c r="AR365" t="s">
        <v>75</v>
      </c>
      <c r="AT365">
        <v>0</v>
      </c>
      <c r="AU365" t="s">
        <v>69</v>
      </c>
      <c r="AW365">
        <v>0</v>
      </c>
      <c r="AX365" t="s">
        <v>69</v>
      </c>
      <c r="AY365" t="s">
        <v>83</v>
      </c>
      <c r="AZ365" t="s">
        <v>96</v>
      </c>
      <c r="BA365">
        <v>0</v>
      </c>
      <c r="BB365">
        <v>0</v>
      </c>
      <c r="BC365" t="s">
        <v>98</v>
      </c>
      <c r="BD365" t="s">
        <v>99</v>
      </c>
      <c r="BE365" t="s">
        <v>98</v>
      </c>
      <c r="BF365" t="s">
        <v>99</v>
      </c>
      <c r="BG365" t="s">
        <v>98</v>
      </c>
      <c r="BH365" t="s">
        <v>99</v>
      </c>
      <c r="BI365" t="s">
        <v>98</v>
      </c>
    </row>
    <row r="366" spans="1:61" x14ac:dyDescent="0.35">
      <c r="A366">
        <v>365</v>
      </c>
      <c r="B366">
        <v>45848.847581018519</v>
      </c>
      <c r="C366" t="s">
        <v>2229</v>
      </c>
      <c r="D366" t="s">
        <v>2230</v>
      </c>
      <c r="E366" t="s">
        <v>63</v>
      </c>
      <c r="F366" t="s">
        <v>338</v>
      </c>
      <c r="G366" t="s">
        <v>2231</v>
      </c>
      <c r="H366" t="s">
        <v>981</v>
      </c>
      <c r="I366" t="s">
        <v>982</v>
      </c>
      <c r="J366" t="s">
        <v>2001</v>
      </c>
      <c r="K366" t="s">
        <v>2163</v>
      </c>
      <c r="L366" t="s">
        <v>69</v>
      </c>
      <c r="M366" t="s">
        <v>69</v>
      </c>
      <c r="N366" t="s">
        <v>69</v>
      </c>
      <c r="O366" t="s">
        <v>69</v>
      </c>
      <c r="P366" t="s">
        <v>70</v>
      </c>
      <c r="Q366" t="s">
        <v>1168</v>
      </c>
      <c r="R366" s="3" t="s">
        <v>1208</v>
      </c>
      <c r="S366">
        <v>55</v>
      </c>
      <c r="T366" t="s">
        <v>383</v>
      </c>
      <c r="U366" t="s">
        <v>273</v>
      </c>
      <c r="V366" t="s">
        <v>232</v>
      </c>
      <c r="W366" t="s">
        <v>232</v>
      </c>
      <c r="X366">
        <v>3</v>
      </c>
      <c r="Y366">
        <v>4</v>
      </c>
      <c r="Z366">
        <v>2</v>
      </c>
      <c r="AA366">
        <v>4</v>
      </c>
      <c r="AB366">
        <v>2</v>
      </c>
      <c r="AC366">
        <v>4</v>
      </c>
      <c r="AD366">
        <v>0</v>
      </c>
      <c r="AE366">
        <v>0</v>
      </c>
      <c r="AF366">
        <v>3</v>
      </c>
      <c r="AG366">
        <v>4</v>
      </c>
      <c r="AH366">
        <v>3</v>
      </c>
      <c r="AI366">
        <v>3</v>
      </c>
      <c r="AJ366">
        <v>3</v>
      </c>
      <c r="AK366">
        <v>4</v>
      </c>
      <c r="AL366">
        <v>3</v>
      </c>
      <c r="AM366">
        <v>3</v>
      </c>
      <c r="AN366">
        <v>1</v>
      </c>
      <c r="AO366">
        <v>4</v>
      </c>
      <c r="AQ366">
        <v>0</v>
      </c>
      <c r="AR366" t="s">
        <v>69</v>
      </c>
      <c r="AT366">
        <v>0</v>
      </c>
      <c r="AU366" t="s">
        <v>69</v>
      </c>
      <c r="AW366">
        <v>0</v>
      </c>
      <c r="AX366" t="s">
        <v>69</v>
      </c>
      <c r="AY366" t="s">
        <v>1515</v>
      </c>
      <c r="AZ366" t="s">
        <v>1515</v>
      </c>
      <c r="BA366">
        <v>2</v>
      </c>
      <c r="BB366">
        <v>3</v>
      </c>
      <c r="BC366" t="s">
        <v>98</v>
      </c>
      <c r="BD366" t="s">
        <v>99</v>
      </c>
      <c r="BE366" t="s">
        <v>98</v>
      </c>
      <c r="BF366" t="s">
        <v>99</v>
      </c>
      <c r="BG366" t="s">
        <v>98</v>
      </c>
      <c r="BH366" t="s">
        <v>99</v>
      </c>
      <c r="BI366" t="s">
        <v>98</v>
      </c>
    </row>
    <row r="367" spans="1:61" x14ac:dyDescent="0.35">
      <c r="A367">
        <v>366</v>
      </c>
      <c r="B367">
        <v>45848.900636574072</v>
      </c>
      <c r="C367" t="s">
        <v>2232</v>
      </c>
      <c r="D367" t="s">
        <v>2233</v>
      </c>
      <c r="E367" t="s">
        <v>63</v>
      </c>
      <c r="F367" t="s">
        <v>63</v>
      </c>
      <c r="G367" t="s">
        <v>2234</v>
      </c>
      <c r="H367" t="s">
        <v>88</v>
      </c>
      <c r="I367" t="s">
        <v>2088</v>
      </c>
      <c r="J367" t="s">
        <v>2235</v>
      </c>
      <c r="K367" t="s">
        <v>2236</v>
      </c>
      <c r="L367" t="s">
        <v>69</v>
      </c>
      <c r="M367" t="s">
        <v>69</v>
      </c>
      <c r="N367" t="s">
        <v>69</v>
      </c>
      <c r="O367" t="s">
        <v>69</v>
      </c>
      <c r="P367" t="s">
        <v>106</v>
      </c>
      <c r="Q367" t="s">
        <v>1168</v>
      </c>
      <c r="R367" s="3" t="s">
        <v>826</v>
      </c>
      <c r="S367">
        <v>44</v>
      </c>
      <c r="T367" t="s">
        <v>197</v>
      </c>
      <c r="U367" t="s">
        <v>73</v>
      </c>
      <c r="V367" t="s">
        <v>110</v>
      </c>
      <c r="W367" t="s">
        <v>110</v>
      </c>
      <c r="X367">
        <v>3</v>
      </c>
      <c r="Y367">
        <v>3</v>
      </c>
      <c r="Z367">
        <v>3</v>
      </c>
      <c r="AA367">
        <v>3</v>
      </c>
      <c r="AB367">
        <v>3</v>
      </c>
      <c r="AC367">
        <v>3</v>
      </c>
      <c r="AD367">
        <v>0</v>
      </c>
      <c r="AE367">
        <v>0</v>
      </c>
      <c r="AF367">
        <v>3</v>
      </c>
      <c r="AG367">
        <v>3</v>
      </c>
      <c r="AH367">
        <v>3</v>
      </c>
      <c r="AI367">
        <v>3</v>
      </c>
      <c r="AJ367">
        <v>3</v>
      </c>
      <c r="AK367">
        <v>3</v>
      </c>
      <c r="AL367">
        <v>3</v>
      </c>
      <c r="AM367">
        <v>3</v>
      </c>
      <c r="AN367">
        <v>3</v>
      </c>
      <c r="AO367">
        <v>3</v>
      </c>
      <c r="AQ367">
        <v>0</v>
      </c>
      <c r="AR367" t="s">
        <v>69</v>
      </c>
      <c r="AT367">
        <v>0</v>
      </c>
      <c r="AU367" t="s">
        <v>69</v>
      </c>
      <c r="AV367">
        <v>1</v>
      </c>
      <c r="AW367">
        <v>4</v>
      </c>
      <c r="AX367" t="s">
        <v>75</v>
      </c>
      <c r="AY367" t="s">
        <v>83</v>
      </c>
      <c r="AZ367" t="s">
        <v>96</v>
      </c>
      <c r="BA367">
        <v>0</v>
      </c>
      <c r="BB367">
        <v>0</v>
      </c>
      <c r="BC367" t="s">
        <v>98</v>
      </c>
      <c r="BD367" t="s">
        <v>99</v>
      </c>
      <c r="BE367" t="s">
        <v>98</v>
      </c>
      <c r="BF367" t="s">
        <v>99</v>
      </c>
      <c r="BG367" t="s">
        <v>98</v>
      </c>
      <c r="BH367" t="s">
        <v>99</v>
      </c>
      <c r="BI367" t="s">
        <v>2237</v>
      </c>
    </row>
    <row r="368" spans="1:61" x14ac:dyDescent="0.35">
      <c r="A368">
        <v>367</v>
      </c>
      <c r="B368">
        <v>45848.908564814818</v>
      </c>
      <c r="C368" t="s">
        <v>2238</v>
      </c>
      <c r="D368" t="s">
        <v>2239</v>
      </c>
      <c r="E368" t="s">
        <v>63</v>
      </c>
      <c r="F368" t="s">
        <v>1372</v>
      </c>
      <c r="G368" t="s">
        <v>2240</v>
      </c>
      <c r="H368" t="s">
        <v>210</v>
      </c>
      <c r="I368" t="s">
        <v>211</v>
      </c>
      <c r="J368" t="s">
        <v>2204</v>
      </c>
      <c r="K368" t="s">
        <v>2241</v>
      </c>
      <c r="L368" t="s">
        <v>69</v>
      </c>
      <c r="M368" t="s">
        <v>69</v>
      </c>
      <c r="N368" t="s">
        <v>69</v>
      </c>
      <c r="O368" t="s">
        <v>69</v>
      </c>
      <c r="P368" t="s">
        <v>70</v>
      </c>
      <c r="Q368" t="s">
        <v>1168</v>
      </c>
      <c r="R368" s="3">
        <v>24</v>
      </c>
      <c r="S368">
        <v>24</v>
      </c>
      <c r="T368" t="s">
        <v>72</v>
      </c>
      <c r="U368" t="s">
        <v>93</v>
      </c>
      <c r="V368" t="s">
        <v>74</v>
      </c>
      <c r="W368" t="s">
        <v>74</v>
      </c>
      <c r="X368">
        <v>3</v>
      </c>
      <c r="Y368">
        <v>3</v>
      </c>
      <c r="Z368">
        <v>3</v>
      </c>
      <c r="AA368">
        <v>4</v>
      </c>
      <c r="AB368">
        <v>3</v>
      </c>
      <c r="AC368">
        <v>4</v>
      </c>
      <c r="AD368">
        <v>4</v>
      </c>
      <c r="AE368">
        <v>4</v>
      </c>
      <c r="AF368">
        <v>4</v>
      </c>
      <c r="AG368">
        <v>4</v>
      </c>
      <c r="AH368">
        <v>3</v>
      </c>
      <c r="AI368">
        <v>4</v>
      </c>
      <c r="AJ368">
        <v>3</v>
      </c>
      <c r="AK368">
        <v>4</v>
      </c>
      <c r="AL368">
        <v>3</v>
      </c>
      <c r="AM368">
        <v>4</v>
      </c>
      <c r="AN368">
        <v>3</v>
      </c>
      <c r="AO368">
        <v>4</v>
      </c>
      <c r="AP368">
        <v>1</v>
      </c>
      <c r="AQ368">
        <v>4</v>
      </c>
      <c r="AR368" t="s">
        <v>69</v>
      </c>
      <c r="AT368">
        <v>0</v>
      </c>
      <c r="AU368" t="s">
        <v>69</v>
      </c>
      <c r="AW368">
        <v>0</v>
      </c>
      <c r="AX368" t="s">
        <v>69</v>
      </c>
      <c r="AY368" t="s">
        <v>83</v>
      </c>
      <c r="AZ368" t="s">
        <v>96</v>
      </c>
      <c r="BA368">
        <v>0</v>
      </c>
      <c r="BB368">
        <v>0</v>
      </c>
      <c r="BC368" t="s">
        <v>98</v>
      </c>
      <c r="BD368" t="s">
        <v>99</v>
      </c>
      <c r="BE368" t="s">
        <v>98</v>
      </c>
      <c r="BF368" t="s">
        <v>99</v>
      </c>
      <c r="BG368" t="s">
        <v>98</v>
      </c>
      <c r="BH368" t="s">
        <v>99</v>
      </c>
      <c r="BI368" t="s">
        <v>2242</v>
      </c>
    </row>
    <row r="369" spans="1:61" x14ac:dyDescent="0.35">
      <c r="A369">
        <v>368</v>
      </c>
      <c r="B369">
        <v>45848.914467592593</v>
      </c>
      <c r="C369" t="s">
        <v>2243</v>
      </c>
      <c r="D369" t="s">
        <v>2244</v>
      </c>
      <c r="E369" t="s">
        <v>63</v>
      </c>
      <c r="F369" t="s">
        <v>466</v>
      </c>
      <c r="G369" t="s">
        <v>2245</v>
      </c>
      <c r="H369" t="s">
        <v>210</v>
      </c>
      <c r="I369" t="s">
        <v>211</v>
      </c>
      <c r="J369" t="s">
        <v>2204</v>
      </c>
      <c r="K369" t="s">
        <v>2246</v>
      </c>
      <c r="L369" t="s">
        <v>69</v>
      </c>
      <c r="M369" t="s">
        <v>69</v>
      </c>
      <c r="N369" t="s">
        <v>69</v>
      </c>
      <c r="O369" t="s">
        <v>69</v>
      </c>
      <c r="P369" t="s">
        <v>70</v>
      </c>
      <c r="Q369" t="s">
        <v>1168</v>
      </c>
      <c r="R369" s="3">
        <v>27</v>
      </c>
      <c r="S369">
        <v>27</v>
      </c>
      <c r="T369" t="s">
        <v>92</v>
      </c>
      <c r="U369" t="s">
        <v>93</v>
      </c>
      <c r="V369" t="s">
        <v>74</v>
      </c>
      <c r="W369" t="s">
        <v>74</v>
      </c>
      <c r="X369">
        <v>4</v>
      </c>
      <c r="Y369">
        <v>4</v>
      </c>
      <c r="Z369">
        <v>4</v>
      </c>
      <c r="AA369">
        <v>4</v>
      </c>
      <c r="AB369">
        <v>3</v>
      </c>
      <c r="AC369">
        <v>3</v>
      </c>
      <c r="AD369">
        <v>4</v>
      </c>
      <c r="AE369">
        <v>4</v>
      </c>
      <c r="AF369">
        <v>4</v>
      </c>
      <c r="AG369">
        <v>4</v>
      </c>
      <c r="AH369">
        <v>4</v>
      </c>
      <c r="AI369">
        <v>4</v>
      </c>
      <c r="AJ369">
        <v>4</v>
      </c>
      <c r="AK369">
        <v>4</v>
      </c>
      <c r="AL369">
        <v>3</v>
      </c>
      <c r="AM369">
        <v>3</v>
      </c>
      <c r="AN369">
        <v>4</v>
      </c>
      <c r="AO369">
        <v>4</v>
      </c>
      <c r="AQ369">
        <v>0</v>
      </c>
      <c r="AR369" t="s">
        <v>69</v>
      </c>
      <c r="AS369">
        <v>2</v>
      </c>
      <c r="AT369">
        <v>3</v>
      </c>
      <c r="AU369" t="s">
        <v>75</v>
      </c>
      <c r="AW369">
        <v>0</v>
      </c>
      <c r="AX369" t="s">
        <v>69</v>
      </c>
      <c r="AY369" t="s">
        <v>83</v>
      </c>
      <c r="AZ369" t="s">
        <v>96</v>
      </c>
      <c r="BA369">
        <v>0</v>
      </c>
      <c r="BB369">
        <v>0</v>
      </c>
      <c r="BC369" t="s">
        <v>98</v>
      </c>
      <c r="BD369" t="s">
        <v>99</v>
      </c>
      <c r="BE369" t="s">
        <v>98</v>
      </c>
      <c r="BF369" t="s">
        <v>99</v>
      </c>
      <c r="BG369" t="s">
        <v>98</v>
      </c>
      <c r="BH369" t="s">
        <v>99</v>
      </c>
      <c r="BI369" t="s">
        <v>2247</v>
      </c>
    </row>
    <row r="370" spans="1:61" x14ac:dyDescent="0.35">
      <c r="A370">
        <v>369</v>
      </c>
      <c r="B370">
        <v>45848.919502314813</v>
      </c>
      <c r="C370" t="s">
        <v>2248</v>
      </c>
      <c r="D370" t="s">
        <v>2239</v>
      </c>
      <c r="E370" t="s">
        <v>63</v>
      </c>
      <c r="F370" t="s">
        <v>1372</v>
      </c>
      <c r="G370" t="s">
        <v>2249</v>
      </c>
      <c r="H370" t="s">
        <v>210</v>
      </c>
      <c r="I370" t="s">
        <v>211</v>
      </c>
      <c r="J370" t="s">
        <v>2204</v>
      </c>
      <c r="K370" t="s">
        <v>2250</v>
      </c>
      <c r="L370" t="s">
        <v>69</v>
      </c>
      <c r="M370" t="s">
        <v>69</v>
      </c>
      <c r="N370" t="s">
        <v>69</v>
      </c>
      <c r="O370" t="s">
        <v>69</v>
      </c>
      <c r="P370" t="s">
        <v>106</v>
      </c>
      <c r="Q370" t="s">
        <v>1168</v>
      </c>
      <c r="R370" s="3">
        <v>34</v>
      </c>
      <c r="S370">
        <v>34</v>
      </c>
      <c r="T370" t="s">
        <v>109</v>
      </c>
      <c r="U370" t="s">
        <v>93</v>
      </c>
      <c r="V370" t="s">
        <v>110</v>
      </c>
      <c r="W370" t="s">
        <v>110</v>
      </c>
      <c r="X370">
        <v>3</v>
      </c>
      <c r="Y370">
        <v>3</v>
      </c>
      <c r="Z370">
        <v>3</v>
      </c>
      <c r="AA370">
        <v>3</v>
      </c>
      <c r="AB370">
        <v>4</v>
      </c>
      <c r="AC370">
        <v>4</v>
      </c>
      <c r="AD370">
        <v>4</v>
      </c>
      <c r="AE370">
        <v>4</v>
      </c>
      <c r="AF370">
        <v>4</v>
      </c>
      <c r="AG370">
        <v>4</v>
      </c>
      <c r="AH370">
        <v>4</v>
      </c>
      <c r="AI370">
        <v>4</v>
      </c>
      <c r="AJ370">
        <v>4</v>
      </c>
      <c r="AK370">
        <v>4</v>
      </c>
      <c r="AL370">
        <v>3</v>
      </c>
      <c r="AM370">
        <v>3</v>
      </c>
      <c r="AN370">
        <v>4</v>
      </c>
      <c r="AO370">
        <v>4</v>
      </c>
      <c r="AQ370">
        <v>0</v>
      </c>
      <c r="AR370" t="s">
        <v>69</v>
      </c>
      <c r="AS370">
        <v>2</v>
      </c>
      <c r="AT370">
        <v>3</v>
      </c>
      <c r="AU370" t="s">
        <v>75</v>
      </c>
      <c r="AW370">
        <v>0</v>
      </c>
      <c r="AX370" t="s">
        <v>69</v>
      </c>
      <c r="AY370" t="s">
        <v>83</v>
      </c>
      <c r="AZ370" t="s">
        <v>96</v>
      </c>
      <c r="BA370">
        <v>0</v>
      </c>
      <c r="BB370">
        <v>0</v>
      </c>
      <c r="BC370" t="s">
        <v>98</v>
      </c>
      <c r="BD370" t="s">
        <v>99</v>
      </c>
      <c r="BE370" t="s">
        <v>98</v>
      </c>
      <c r="BF370" t="s">
        <v>99</v>
      </c>
      <c r="BG370" t="s">
        <v>98</v>
      </c>
      <c r="BH370" t="s">
        <v>99</v>
      </c>
      <c r="BI370" t="s">
        <v>98</v>
      </c>
    </row>
    <row r="371" spans="1:61" x14ac:dyDescent="0.35">
      <c r="A371">
        <v>370</v>
      </c>
      <c r="B371">
        <v>45848.923958333333</v>
      </c>
      <c r="C371" t="s">
        <v>2251</v>
      </c>
      <c r="D371" t="s">
        <v>2252</v>
      </c>
      <c r="E371" t="s">
        <v>63</v>
      </c>
      <c r="F371" t="s">
        <v>86</v>
      </c>
      <c r="G371" t="s">
        <v>2253</v>
      </c>
      <c r="H371" t="s">
        <v>210</v>
      </c>
      <c r="I371" t="s">
        <v>211</v>
      </c>
      <c r="J371" t="s">
        <v>2204</v>
      </c>
      <c r="K371" t="s">
        <v>2254</v>
      </c>
      <c r="L371" t="s">
        <v>69</v>
      </c>
      <c r="M371" t="s">
        <v>69</v>
      </c>
      <c r="N371" t="s">
        <v>69</v>
      </c>
      <c r="O371" t="s">
        <v>69</v>
      </c>
      <c r="P371" t="s">
        <v>106</v>
      </c>
      <c r="Q371" t="s">
        <v>1168</v>
      </c>
      <c r="R371" s="3">
        <v>27</v>
      </c>
      <c r="S371">
        <v>27</v>
      </c>
      <c r="T371" t="s">
        <v>92</v>
      </c>
      <c r="U371" t="s">
        <v>73</v>
      </c>
      <c r="V371" t="s">
        <v>74</v>
      </c>
      <c r="W371" t="s">
        <v>74</v>
      </c>
      <c r="X371">
        <v>3</v>
      </c>
      <c r="Y371">
        <v>3</v>
      </c>
      <c r="Z371">
        <v>3</v>
      </c>
      <c r="AA371">
        <v>3</v>
      </c>
      <c r="AB371">
        <v>3</v>
      </c>
      <c r="AC371">
        <v>3</v>
      </c>
      <c r="AD371">
        <v>3</v>
      </c>
      <c r="AE371">
        <v>3</v>
      </c>
      <c r="AF371">
        <v>3</v>
      </c>
      <c r="AG371">
        <v>3</v>
      </c>
      <c r="AH371">
        <v>3</v>
      </c>
      <c r="AI371">
        <v>3</v>
      </c>
      <c r="AJ371">
        <v>3</v>
      </c>
      <c r="AK371">
        <v>3</v>
      </c>
      <c r="AL371">
        <v>3</v>
      </c>
      <c r="AM371">
        <v>3</v>
      </c>
      <c r="AN371">
        <v>3</v>
      </c>
      <c r="AO371">
        <v>3</v>
      </c>
      <c r="AQ371">
        <v>0</v>
      </c>
      <c r="AR371" t="s">
        <v>69</v>
      </c>
      <c r="AS371">
        <v>2</v>
      </c>
      <c r="AT371">
        <v>3</v>
      </c>
      <c r="AU371" t="s">
        <v>75</v>
      </c>
      <c r="AW371">
        <v>0</v>
      </c>
      <c r="AX371" t="s">
        <v>69</v>
      </c>
      <c r="AY371" t="s">
        <v>83</v>
      </c>
      <c r="AZ371" t="s">
        <v>96</v>
      </c>
      <c r="BA371">
        <v>0</v>
      </c>
      <c r="BB371">
        <v>0</v>
      </c>
      <c r="BC371" t="s">
        <v>98</v>
      </c>
      <c r="BD371" t="s">
        <v>99</v>
      </c>
      <c r="BE371" t="s">
        <v>98</v>
      </c>
      <c r="BF371" t="s">
        <v>99</v>
      </c>
      <c r="BG371" t="s">
        <v>98</v>
      </c>
      <c r="BH371" t="s">
        <v>99</v>
      </c>
      <c r="BI371" t="s">
        <v>2255</v>
      </c>
    </row>
    <row r="372" spans="1:61" x14ac:dyDescent="0.35">
      <c r="A372">
        <v>371</v>
      </c>
      <c r="B372">
        <v>45848.930428240739</v>
      </c>
      <c r="C372" t="s">
        <v>2256</v>
      </c>
      <c r="D372" t="s">
        <v>2257</v>
      </c>
      <c r="E372" t="s">
        <v>63</v>
      </c>
      <c r="F372" t="s">
        <v>86</v>
      </c>
      <c r="G372" t="s">
        <v>2258</v>
      </c>
      <c r="H372" t="s">
        <v>210</v>
      </c>
      <c r="I372" t="s">
        <v>211</v>
      </c>
      <c r="J372" t="s">
        <v>2204</v>
      </c>
      <c r="K372" t="s">
        <v>394</v>
      </c>
      <c r="L372" t="s">
        <v>69</v>
      </c>
      <c r="M372" t="s">
        <v>69</v>
      </c>
      <c r="N372" t="s">
        <v>69</v>
      </c>
      <c r="O372" t="s">
        <v>69</v>
      </c>
      <c r="P372" t="s">
        <v>70</v>
      </c>
      <c r="Q372" t="s">
        <v>1168</v>
      </c>
      <c r="R372" s="3">
        <v>25</v>
      </c>
      <c r="S372">
        <v>25</v>
      </c>
      <c r="T372" t="s">
        <v>72</v>
      </c>
      <c r="U372" t="s">
        <v>93</v>
      </c>
      <c r="V372" t="s">
        <v>74</v>
      </c>
      <c r="W372" t="s">
        <v>74</v>
      </c>
      <c r="X372">
        <v>3</v>
      </c>
      <c r="Y372">
        <v>3</v>
      </c>
      <c r="Z372">
        <v>4</v>
      </c>
      <c r="AA372">
        <v>4</v>
      </c>
      <c r="AB372">
        <v>4</v>
      </c>
      <c r="AC372">
        <v>4</v>
      </c>
      <c r="AD372">
        <v>4</v>
      </c>
      <c r="AE372">
        <v>4</v>
      </c>
      <c r="AF372">
        <v>4</v>
      </c>
      <c r="AG372">
        <v>4</v>
      </c>
      <c r="AH372">
        <v>4</v>
      </c>
      <c r="AI372">
        <v>4</v>
      </c>
      <c r="AJ372">
        <v>4</v>
      </c>
      <c r="AK372">
        <v>4</v>
      </c>
      <c r="AL372">
        <v>4</v>
      </c>
      <c r="AM372">
        <v>4</v>
      </c>
      <c r="AN372">
        <v>4</v>
      </c>
      <c r="AO372">
        <v>4</v>
      </c>
      <c r="AP372">
        <v>2</v>
      </c>
      <c r="AQ372">
        <v>3</v>
      </c>
      <c r="AR372" t="s">
        <v>75</v>
      </c>
      <c r="AT372">
        <v>0</v>
      </c>
      <c r="AU372" t="s">
        <v>69</v>
      </c>
      <c r="AW372">
        <v>0</v>
      </c>
      <c r="AX372" t="s">
        <v>69</v>
      </c>
      <c r="AY372" t="s">
        <v>83</v>
      </c>
      <c r="AZ372" t="s">
        <v>96</v>
      </c>
      <c r="BA372">
        <v>0</v>
      </c>
      <c r="BB372">
        <v>0</v>
      </c>
      <c r="BC372" t="s">
        <v>98</v>
      </c>
      <c r="BD372" t="s">
        <v>99</v>
      </c>
      <c r="BE372" t="s">
        <v>98</v>
      </c>
      <c r="BF372" t="s">
        <v>99</v>
      </c>
      <c r="BG372" t="s">
        <v>98</v>
      </c>
      <c r="BH372" t="s">
        <v>99</v>
      </c>
      <c r="BI372" t="s">
        <v>98</v>
      </c>
    </row>
    <row r="373" spans="1:61" x14ac:dyDescent="0.35">
      <c r="A373">
        <v>372</v>
      </c>
      <c r="B373">
        <v>45848.936261574076</v>
      </c>
      <c r="C373" t="s">
        <v>2259</v>
      </c>
      <c r="D373" t="s">
        <v>2260</v>
      </c>
      <c r="E373" t="s">
        <v>1841</v>
      </c>
      <c r="F373" t="s">
        <v>2261</v>
      </c>
      <c r="G373" t="s">
        <v>2262</v>
      </c>
      <c r="H373" t="s">
        <v>210</v>
      </c>
      <c r="I373" t="s">
        <v>211</v>
      </c>
      <c r="J373" t="s">
        <v>2204</v>
      </c>
      <c r="K373" t="s">
        <v>2263</v>
      </c>
      <c r="L373" t="s">
        <v>69</v>
      </c>
      <c r="M373" t="s">
        <v>69</v>
      </c>
      <c r="N373" t="s">
        <v>69</v>
      </c>
      <c r="O373" t="s">
        <v>69</v>
      </c>
      <c r="P373" t="s">
        <v>70</v>
      </c>
      <c r="Q373" t="s">
        <v>1168</v>
      </c>
      <c r="R373" s="3">
        <v>23</v>
      </c>
      <c r="S373">
        <v>23</v>
      </c>
      <c r="T373" t="s">
        <v>72</v>
      </c>
      <c r="U373" t="s">
        <v>93</v>
      </c>
      <c r="V373" t="s">
        <v>74</v>
      </c>
      <c r="W373" t="s">
        <v>74</v>
      </c>
      <c r="X373">
        <v>3</v>
      </c>
      <c r="Y373">
        <v>4</v>
      </c>
      <c r="Z373">
        <v>4</v>
      </c>
      <c r="AA373">
        <v>4</v>
      </c>
      <c r="AB373">
        <v>3</v>
      </c>
      <c r="AC373">
        <v>4</v>
      </c>
      <c r="AD373">
        <v>4</v>
      </c>
      <c r="AE373">
        <v>4</v>
      </c>
      <c r="AF373">
        <v>4</v>
      </c>
      <c r="AG373">
        <v>4</v>
      </c>
      <c r="AH373">
        <v>4</v>
      </c>
      <c r="AI373">
        <v>4</v>
      </c>
      <c r="AJ373">
        <v>3</v>
      </c>
      <c r="AK373">
        <v>3</v>
      </c>
      <c r="AL373">
        <v>4</v>
      </c>
      <c r="AM373">
        <v>4</v>
      </c>
      <c r="AN373">
        <v>4</v>
      </c>
      <c r="AO373">
        <v>4</v>
      </c>
      <c r="AP373">
        <v>1</v>
      </c>
      <c r="AQ373">
        <v>4</v>
      </c>
      <c r="AR373" t="s">
        <v>75</v>
      </c>
      <c r="AT373">
        <v>0</v>
      </c>
      <c r="AU373" t="s">
        <v>69</v>
      </c>
      <c r="AW373">
        <v>0</v>
      </c>
      <c r="AX373" t="s">
        <v>69</v>
      </c>
      <c r="AY373" t="s">
        <v>83</v>
      </c>
      <c r="AZ373" t="s">
        <v>96</v>
      </c>
      <c r="BA373">
        <v>0</v>
      </c>
      <c r="BB373">
        <v>0</v>
      </c>
      <c r="BC373" t="s">
        <v>98</v>
      </c>
      <c r="BD373" t="s">
        <v>99</v>
      </c>
      <c r="BE373" t="s">
        <v>98</v>
      </c>
      <c r="BF373" t="s">
        <v>99</v>
      </c>
      <c r="BG373" t="s">
        <v>98</v>
      </c>
      <c r="BH373" t="s">
        <v>99</v>
      </c>
      <c r="BI373" t="s">
        <v>2264</v>
      </c>
    </row>
    <row r="374" spans="1:61" x14ac:dyDescent="0.35">
      <c r="A374">
        <v>373</v>
      </c>
      <c r="B374">
        <v>45848.949756944443</v>
      </c>
      <c r="C374" t="s">
        <v>2265</v>
      </c>
      <c r="D374" t="s">
        <v>2266</v>
      </c>
      <c r="E374" t="s">
        <v>63</v>
      </c>
      <c r="F374" t="s">
        <v>338</v>
      </c>
      <c r="G374" t="s">
        <v>1540</v>
      </c>
      <c r="H374" t="s">
        <v>210</v>
      </c>
      <c r="I374" t="s">
        <v>211</v>
      </c>
      <c r="J374" t="s">
        <v>2267</v>
      </c>
      <c r="K374" t="s">
        <v>753</v>
      </c>
      <c r="L374" t="s">
        <v>69</v>
      </c>
      <c r="M374" t="s">
        <v>69</v>
      </c>
      <c r="N374" t="s">
        <v>69</v>
      </c>
      <c r="O374" t="s">
        <v>69</v>
      </c>
      <c r="P374" t="s">
        <v>106</v>
      </c>
      <c r="Q374" t="s">
        <v>1180</v>
      </c>
      <c r="R374" s="3">
        <v>40</v>
      </c>
      <c r="S374">
        <v>40</v>
      </c>
      <c r="T374" t="s">
        <v>153</v>
      </c>
      <c r="U374" t="s">
        <v>93</v>
      </c>
      <c r="V374" t="s">
        <v>74</v>
      </c>
      <c r="W374" t="s">
        <v>74</v>
      </c>
      <c r="X374">
        <v>4</v>
      </c>
      <c r="Y374">
        <v>4</v>
      </c>
      <c r="Z374">
        <v>4</v>
      </c>
      <c r="AA374">
        <v>4</v>
      </c>
      <c r="AB374">
        <v>4</v>
      </c>
      <c r="AC374">
        <v>4</v>
      </c>
      <c r="AD374">
        <v>4</v>
      </c>
      <c r="AE374">
        <v>4</v>
      </c>
      <c r="AF374">
        <v>4</v>
      </c>
      <c r="AG374">
        <v>4</v>
      </c>
      <c r="AH374">
        <v>4</v>
      </c>
      <c r="AI374">
        <v>4</v>
      </c>
      <c r="AJ374">
        <v>4</v>
      </c>
      <c r="AK374">
        <v>4</v>
      </c>
      <c r="AL374">
        <v>3</v>
      </c>
      <c r="AM374">
        <v>3</v>
      </c>
      <c r="AN374">
        <v>4</v>
      </c>
      <c r="AO374">
        <v>4</v>
      </c>
      <c r="AQ374">
        <v>0</v>
      </c>
      <c r="AR374" t="s">
        <v>69</v>
      </c>
      <c r="AT374">
        <v>0</v>
      </c>
      <c r="AU374" t="s">
        <v>69</v>
      </c>
      <c r="AW374">
        <v>0</v>
      </c>
      <c r="AX374" t="s">
        <v>69</v>
      </c>
      <c r="AY374" t="s">
        <v>144</v>
      </c>
      <c r="AZ374" t="s">
        <v>144</v>
      </c>
      <c r="BA374">
        <v>2</v>
      </c>
      <c r="BB374">
        <v>3</v>
      </c>
      <c r="BC374" t="s">
        <v>98</v>
      </c>
      <c r="BD374" t="s">
        <v>99</v>
      </c>
      <c r="BE374" t="s">
        <v>98</v>
      </c>
      <c r="BF374" t="s">
        <v>99</v>
      </c>
      <c r="BG374" t="s">
        <v>98</v>
      </c>
      <c r="BH374" t="s">
        <v>99</v>
      </c>
      <c r="BI374" t="s">
        <v>2268</v>
      </c>
    </row>
    <row r="375" spans="1:61" x14ac:dyDescent="0.35">
      <c r="A375">
        <v>374</v>
      </c>
      <c r="B375">
        <v>45848.953831018516</v>
      </c>
      <c r="C375" t="s">
        <v>2269</v>
      </c>
      <c r="D375" t="s">
        <v>63</v>
      </c>
      <c r="E375" t="s">
        <v>63</v>
      </c>
      <c r="F375" t="s">
        <v>63</v>
      </c>
      <c r="G375" t="s">
        <v>2270</v>
      </c>
      <c r="H375" t="s">
        <v>210</v>
      </c>
      <c r="I375" t="s">
        <v>211</v>
      </c>
      <c r="J375" t="s">
        <v>2204</v>
      </c>
      <c r="K375" t="s">
        <v>1777</v>
      </c>
      <c r="L375" t="s">
        <v>69</v>
      </c>
      <c r="M375" t="s">
        <v>69</v>
      </c>
      <c r="N375" t="s">
        <v>69</v>
      </c>
      <c r="O375" t="s">
        <v>69</v>
      </c>
      <c r="P375" t="s">
        <v>70</v>
      </c>
      <c r="Q375" t="s">
        <v>1180</v>
      </c>
      <c r="R375" s="3">
        <v>49</v>
      </c>
      <c r="S375">
        <v>49</v>
      </c>
      <c r="T375" t="s">
        <v>225</v>
      </c>
      <c r="U375" t="s">
        <v>93</v>
      </c>
      <c r="V375" t="s">
        <v>74</v>
      </c>
      <c r="W375" t="s">
        <v>74</v>
      </c>
      <c r="X375">
        <v>4</v>
      </c>
      <c r="Y375">
        <v>4</v>
      </c>
      <c r="Z375">
        <v>4</v>
      </c>
      <c r="AA375">
        <v>4</v>
      </c>
      <c r="AB375">
        <v>4</v>
      </c>
      <c r="AC375">
        <v>4</v>
      </c>
      <c r="AD375">
        <v>4</v>
      </c>
      <c r="AE375">
        <v>4</v>
      </c>
      <c r="AF375">
        <v>4</v>
      </c>
      <c r="AG375">
        <v>4</v>
      </c>
      <c r="AH375">
        <v>3</v>
      </c>
      <c r="AI375">
        <v>3</v>
      </c>
      <c r="AJ375">
        <v>4</v>
      </c>
      <c r="AK375">
        <v>4</v>
      </c>
      <c r="AL375">
        <v>4</v>
      </c>
      <c r="AM375">
        <v>4</v>
      </c>
      <c r="AN375">
        <v>3</v>
      </c>
      <c r="AO375">
        <v>3</v>
      </c>
      <c r="AQ375">
        <v>0</v>
      </c>
      <c r="AR375" t="s">
        <v>69</v>
      </c>
      <c r="AT375">
        <v>0</v>
      </c>
      <c r="AU375" t="s">
        <v>69</v>
      </c>
      <c r="AW375">
        <v>0</v>
      </c>
      <c r="AX375" t="s">
        <v>69</v>
      </c>
      <c r="AY375" t="s">
        <v>384</v>
      </c>
      <c r="AZ375" t="s">
        <v>186</v>
      </c>
      <c r="BA375">
        <v>2</v>
      </c>
      <c r="BB375">
        <v>3</v>
      </c>
      <c r="BC375" t="s">
        <v>98</v>
      </c>
      <c r="BD375" t="s">
        <v>99</v>
      </c>
      <c r="BE375" t="s">
        <v>98</v>
      </c>
      <c r="BF375" t="s">
        <v>99</v>
      </c>
      <c r="BG375" t="s">
        <v>98</v>
      </c>
      <c r="BH375" t="s">
        <v>99</v>
      </c>
      <c r="BI375" t="s">
        <v>2271</v>
      </c>
    </row>
    <row r="376" spans="1:61" x14ac:dyDescent="0.35">
      <c r="A376">
        <v>375</v>
      </c>
      <c r="B376">
        <v>45848.957638888889</v>
      </c>
      <c r="C376" t="s">
        <v>2272</v>
      </c>
      <c r="D376" t="s">
        <v>2273</v>
      </c>
      <c r="E376" t="s">
        <v>63</v>
      </c>
      <c r="F376" t="s">
        <v>63</v>
      </c>
      <c r="G376" t="s">
        <v>2274</v>
      </c>
      <c r="H376" t="s">
        <v>210</v>
      </c>
      <c r="I376" t="s">
        <v>211</v>
      </c>
      <c r="J376" t="s">
        <v>2204</v>
      </c>
      <c r="K376" t="s">
        <v>2275</v>
      </c>
      <c r="L376" t="s">
        <v>69</v>
      </c>
      <c r="M376" t="s">
        <v>69</v>
      </c>
      <c r="N376" t="s">
        <v>69</v>
      </c>
      <c r="O376" t="s">
        <v>69</v>
      </c>
      <c r="P376" t="s">
        <v>70</v>
      </c>
      <c r="Q376" t="s">
        <v>1180</v>
      </c>
      <c r="R376" s="3">
        <v>54</v>
      </c>
      <c r="S376">
        <v>54</v>
      </c>
      <c r="T376" t="s">
        <v>383</v>
      </c>
      <c r="U376" t="s">
        <v>254</v>
      </c>
      <c r="V376" t="s">
        <v>74</v>
      </c>
      <c r="W376" t="s">
        <v>74</v>
      </c>
      <c r="X376">
        <v>4</v>
      </c>
      <c r="Y376">
        <v>4</v>
      </c>
      <c r="Z376">
        <v>4</v>
      </c>
      <c r="AA376">
        <v>4</v>
      </c>
      <c r="AB376">
        <v>4</v>
      </c>
      <c r="AC376">
        <v>4</v>
      </c>
      <c r="AD376">
        <v>4</v>
      </c>
      <c r="AE376">
        <v>4</v>
      </c>
      <c r="AF376">
        <v>4</v>
      </c>
      <c r="AG376">
        <v>4</v>
      </c>
      <c r="AH376">
        <v>4</v>
      </c>
      <c r="AI376">
        <v>4</v>
      </c>
      <c r="AJ376">
        <v>4</v>
      </c>
      <c r="AK376">
        <v>4</v>
      </c>
      <c r="AL376">
        <v>4</v>
      </c>
      <c r="AM376">
        <v>4</v>
      </c>
      <c r="AN376">
        <v>4</v>
      </c>
      <c r="AO376">
        <v>4</v>
      </c>
      <c r="AQ376">
        <v>0</v>
      </c>
      <c r="AR376" t="s">
        <v>69</v>
      </c>
      <c r="AS376">
        <v>2</v>
      </c>
      <c r="AT376">
        <v>3</v>
      </c>
      <c r="AU376" t="s">
        <v>75</v>
      </c>
      <c r="AW376">
        <v>0</v>
      </c>
      <c r="AX376" t="s">
        <v>69</v>
      </c>
      <c r="AY376" t="s">
        <v>83</v>
      </c>
      <c r="AZ376" t="s">
        <v>96</v>
      </c>
      <c r="BA376">
        <v>0</v>
      </c>
      <c r="BB376">
        <v>0</v>
      </c>
      <c r="BC376" t="s">
        <v>98</v>
      </c>
      <c r="BD376" t="s">
        <v>99</v>
      </c>
      <c r="BE376" t="s">
        <v>98</v>
      </c>
      <c r="BF376" t="s">
        <v>99</v>
      </c>
      <c r="BG376" t="s">
        <v>98</v>
      </c>
      <c r="BH376" t="s">
        <v>99</v>
      </c>
      <c r="BI376" t="s">
        <v>2276</v>
      </c>
    </row>
    <row r="377" spans="1:61" x14ac:dyDescent="0.35">
      <c r="A377">
        <v>376</v>
      </c>
      <c r="B377">
        <v>45848.960763888892</v>
      </c>
      <c r="C377" t="s">
        <v>2277</v>
      </c>
      <c r="D377" t="s">
        <v>2278</v>
      </c>
      <c r="E377" t="s">
        <v>63</v>
      </c>
      <c r="F377" t="s">
        <v>179</v>
      </c>
      <c r="G377" t="s">
        <v>2279</v>
      </c>
      <c r="H377" t="s">
        <v>138</v>
      </c>
      <c r="I377" t="s">
        <v>139</v>
      </c>
      <c r="J377" t="s">
        <v>2204</v>
      </c>
      <c r="K377" t="s">
        <v>2280</v>
      </c>
      <c r="L377" t="s">
        <v>69</v>
      </c>
      <c r="M377" t="s">
        <v>69</v>
      </c>
      <c r="N377" t="s">
        <v>69</v>
      </c>
      <c r="O377" t="s">
        <v>69</v>
      </c>
      <c r="P377" t="s">
        <v>106</v>
      </c>
      <c r="Q377" t="s">
        <v>1180</v>
      </c>
      <c r="R377" s="3">
        <v>29</v>
      </c>
      <c r="S377">
        <v>29</v>
      </c>
      <c r="T377" t="s">
        <v>92</v>
      </c>
      <c r="U377" t="s">
        <v>93</v>
      </c>
      <c r="V377" t="s">
        <v>110</v>
      </c>
      <c r="W377" t="s">
        <v>110</v>
      </c>
      <c r="X377">
        <v>4</v>
      </c>
      <c r="Y377">
        <v>4</v>
      </c>
      <c r="Z377">
        <v>4</v>
      </c>
      <c r="AA377">
        <v>4</v>
      </c>
      <c r="AB377">
        <v>3</v>
      </c>
      <c r="AC377">
        <v>3</v>
      </c>
      <c r="AD377">
        <v>4</v>
      </c>
      <c r="AE377">
        <v>4</v>
      </c>
      <c r="AF377">
        <v>3</v>
      </c>
      <c r="AG377">
        <v>3</v>
      </c>
      <c r="AH377">
        <v>3</v>
      </c>
      <c r="AI377">
        <v>3</v>
      </c>
      <c r="AJ377">
        <v>4</v>
      </c>
      <c r="AK377">
        <v>4</v>
      </c>
      <c r="AL377">
        <v>4</v>
      </c>
      <c r="AM377">
        <v>4</v>
      </c>
      <c r="AN377">
        <v>4</v>
      </c>
      <c r="AO377">
        <v>4</v>
      </c>
      <c r="AQ377">
        <v>0</v>
      </c>
      <c r="AR377" t="s">
        <v>69</v>
      </c>
      <c r="AT377">
        <v>0</v>
      </c>
      <c r="AU377" t="s">
        <v>69</v>
      </c>
      <c r="AW377">
        <v>0</v>
      </c>
      <c r="AX377" t="s">
        <v>69</v>
      </c>
      <c r="AY377" t="s">
        <v>144</v>
      </c>
      <c r="AZ377" t="s">
        <v>144</v>
      </c>
      <c r="BA377">
        <v>1</v>
      </c>
      <c r="BB377">
        <v>4</v>
      </c>
      <c r="BC377" t="s">
        <v>98</v>
      </c>
      <c r="BD377" t="s">
        <v>99</v>
      </c>
      <c r="BE377" t="s">
        <v>98</v>
      </c>
      <c r="BF377" t="s">
        <v>99</v>
      </c>
      <c r="BG377" t="s">
        <v>98</v>
      </c>
      <c r="BH377" t="s">
        <v>99</v>
      </c>
      <c r="BI377" t="s">
        <v>98</v>
      </c>
    </row>
    <row r="378" spans="1:61" x14ac:dyDescent="0.35">
      <c r="A378">
        <v>377</v>
      </c>
      <c r="B378">
        <v>45848.983298611114</v>
      </c>
      <c r="C378" t="s">
        <v>2281</v>
      </c>
      <c r="D378" t="s">
        <v>2282</v>
      </c>
      <c r="E378" t="s">
        <v>1486</v>
      </c>
      <c r="F378" t="s">
        <v>2283</v>
      </c>
      <c r="G378" t="s">
        <v>2284</v>
      </c>
      <c r="H378" t="s">
        <v>138</v>
      </c>
      <c r="I378" t="s">
        <v>139</v>
      </c>
      <c r="J378" t="s">
        <v>2204</v>
      </c>
      <c r="K378" t="s">
        <v>2285</v>
      </c>
      <c r="L378" t="s">
        <v>69</v>
      </c>
      <c r="M378" t="s">
        <v>83</v>
      </c>
      <c r="N378" t="s">
        <v>69</v>
      </c>
      <c r="O378" t="s">
        <v>69</v>
      </c>
      <c r="P378" t="s">
        <v>70</v>
      </c>
      <c r="Q378" t="s">
        <v>1168</v>
      </c>
      <c r="R378" s="3">
        <v>29</v>
      </c>
      <c r="S378">
        <v>29</v>
      </c>
      <c r="T378" t="s">
        <v>92</v>
      </c>
      <c r="U378" t="s">
        <v>93</v>
      </c>
      <c r="V378" t="s">
        <v>74</v>
      </c>
      <c r="W378" t="s">
        <v>74</v>
      </c>
      <c r="X378">
        <v>4</v>
      </c>
      <c r="Y378">
        <v>4</v>
      </c>
      <c r="Z378">
        <v>4</v>
      </c>
      <c r="AA378">
        <v>4</v>
      </c>
      <c r="AB378">
        <v>4</v>
      </c>
      <c r="AC378">
        <v>4</v>
      </c>
      <c r="AD378">
        <v>4</v>
      </c>
      <c r="AE378">
        <v>4</v>
      </c>
      <c r="AF378">
        <v>4</v>
      </c>
      <c r="AG378">
        <v>4</v>
      </c>
      <c r="AH378">
        <v>4</v>
      </c>
      <c r="AI378">
        <v>4</v>
      </c>
      <c r="AJ378">
        <v>4</v>
      </c>
      <c r="AK378">
        <v>4</v>
      </c>
      <c r="AL378">
        <v>4</v>
      </c>
      <c r="AM378">
        <v>4</v>
      </c>
      <c r="AN378">
        <v>4</v>
      </c>
      <c r="AO378">
        <v>4</v>
      </c>
      <c r="AQ378">
        <v>0</v>
      </c>
      <c r="AR378" t="s">
        <v>69</v>
      </c>
      <c r="AS378">
        <v>1</v>
      </c>
      <c r="AT378">
        <v>4</v>
      </c>
      <c r="AU378" t="s">
        <v>69</v>
      </c>
      <c r="AW378">
        <v>0</v>
      </c>
      <c r="AX378" t="s">
        <v>69</v>
      </c>
      <c r="AY378" t="s">
        <v>83</v>
      </c>
      <c r="AZ378" t="s">
        <v>96</v>
      </c>
      <c r="BA378">
        <v>0</v>
      </c>
      <c r="BB378">
        <v>0</v>
      </c>
      <c r="BC378" t="s">
        <v>98</v>
      </c>
      <c r="BD378" t="s">
        <v>99</v>
      </c>
      <c r="BE378" t="s">
        <v>98</v>
      </c>
      <c r="BF378" t="s">
        <v>99</v>
      </c>
      <c r="BG378" t="s">
        <v>98</v>
      </c>
      <c r="BH378" t="s">
        <v>99</v>
      </c>
      <c r="BI378" t="s">
        <v>98</v>
      </c>
    </row>
    <row r="379" spans="1:61" x14ac:dyDescent="0.35">
      <c r="A379">
        <v>378</v>
      </c>
      <c r="B379">
        <v>45848.986261574071</v>
      </c>
      <c r="C379" t="s">
        <v>2286</v>
      </c>
      <c r="D379" t="s">
        <v>2287</v>
      </c>
      <c r="E379" t="s">
        <v>63</v>
      </c>
      <c r="F379" t="s">
        <v>416</v>
      </c>
      <c r="G379" t="s">
        <v>2288</v>
      </c>
      <c r="H379" t="s">
        <v>2289</v>
      </c>
      <c r="I379" t="s">
        <v>139</v>
      </c>
      <c r="J379" t="s">
        <v>2204</v>
      </c>
      <c r="K379" t="s">
        <v>2290</v>
      </c>
      <c r="L379" t="s">
        <v>69</v>
      </c>
      <c r="M379" t="s">
        <v>69</v>
      </c>
      <c r="N379" t="s">
        <v>69</v>
      </c>
      <c r="O379" t="s">
        <v>69</v>
      </c>
      <c r="P379" t="s">
        <v>106</v>
      </c>
      <c r="Q379" t="s">
        <v>1168</v>
      </c>
      <c r="R379" s="3">
        <v>30</v>
      </c>
      <c r="S379">
        <v>30</v>
      </c>
      <c r="T379" t="s">
        <v>92</v>
      </c>
      <c r="U379" t="s">
        <v>93</v>
      </c>
      <c r="V379" t="s">
        <v>74</v>
      </c>
      <c r="W379" t="s">
        <v>74</v>
      </c>
      <c r="X379">
        <v>4</v>
      </c>
      <c r="Y379">
        <v>4</v>
      </c>
      <c r="Z379">
        <v>4</v>
      </c>
      <c r="AA379">
        <v>4</v>
      </c>
      <c r="AB379">
        <v>4</v>
      </c>
      <c r="AC379">
        <v>4</v>
      </c>
      <c r="AD379">
        <v>4</v>
      </c>
      <c r="AE379">
        <v>4</v>
      </c>
      <c r="AF379">
        <v>4</v>
      </c>
      <c r="AG379">
        <v>4</v>
      </c>
      <c r="AH379">
        <v>4</v>
      </c>
      <c r="AI379">
        <v>4</v>
      </c>
      <c r="AJ379">
        <v>4</v>
      </c>
      <c r="AK379">
        <v>4</v>
      </c>
      <c r="AL379">
        <v>4</v>
      </c>
      <c r="AM379">
        <v>4</v>
      </c>
      <c r="AN379">
        <v>4</v>
      </c>
      <c r="AO379">
        <v>4</v>
      </c>
      <c r="AP379">
        <v>1</v>
      </c>
      <c r="AQ379">
        <v>4</v>
      </c>
      <c r="AR379" t="s">
        <v>75</v>
      </c>
      <c r="AT379">
        <v>0</v>
      </c>
      <c r="AU379" t="s">
        <v>69</v>
      </c>
      <c r="AW379">
        <v>0</v>
      </c>
      <c r="AX379" t="s">
        <v>69</v>
      </c>
      <c r="AY379" t="s">
        <v>83</v>
      </c>
      <c r="AZ379" t="s">
        <v>96</v>
      </c>
      <c r="BA379">
        <v>0</v>
      </c>
      <c r="BB379">
        <v>0</v>
      </c>
      <c r="BC379" t="s">
        <v>98</v>
      </c>
      <c r="BD379" t="s">
        <v>99</v>
      </c>
      <c r="BE379" t="s">
        <v>98</v>
      </c>
      <c r="BF379" t="s">
        <v>99</v>
      </c>
      <c r="BG379" t="s">
        <v>98</v>
      </c>
      <c r="BH379" t="s">
        <v>99</v>
      </c>
      <c r="BI379" t="s">
        <v>98</v>
      </c>
    </row>
    <row r="380" spans="1:61" x14ac:dyDescent="0.35">
      <c r="A380">
        <v>379</v>
      </c>
      <c r="B380">
        <v>45848.988599537035</v>
      </c>
      <c r="C380" t="s">
        <v>2291</v>
      </c>
      <c r="D380" t="s">
        <v>2283</v>
      </c>
      <c r="E380" t="s">
        <v>1486</v>
      </c>
      <c r="F380" t="s">
        <v>2283</v>
      </c>
      <c r="G380" t="s">
        <v>2292</v>
      </c>
      <c r="H380" t="s">
        <v>138</v>
      </c>
      <c r="I380" t="s">
        <v>139</v>
      </c>
      <c r="J380" t="s">
        <v>2204</v>
      </c>
      <c r="K380" t="s">
        <v>2293</v>
      </c>
      <c r="L380" t="s">
        <v>69</v>
      </c>
      <c r="M380" t="s">
        <v>69</v>
      </c>
      <c r="N380" t="s">
        <v>69</v>
      </c>
      <c r="O380" t="s">
        <v>69</v>
      </c>
      <c r="P380" t="s">
        <v>70</v>
      </c>
      <c r="Q380" t="s">
        <v>1168</v>
      </c>
      <c r="R380" s="3">
        <v>30</v>
      </c>
      <c r="S380">
        <v>30</v>
      </c>
      <c r="T380" t="s">
        <v>92</v>
      </c>
      <c r="U380" t="s">
        <v>93</v>
      </c>
      <c r="V380" t="s">
        <v>74</v>
      </c>
      <c r="W380" t="s">
        <v>74</v>
      </c>
      <c r="X380">
        <v>3</v>
      </c>
      <c r="Y380">
        <v>3</v>
      </c>
      <c r="Z380">
        <v>3</v>
      </c>
      <c r="AA380">
        <v>3</v>
      </c>
      <c r="AB380">
        <v>3</v>
      </c>
      <c r="AC380">
        <v>3</v>
      </c>
      <c r="AD380">
        <v>3</v>
      </c>
      <c r="AE380">
        <v>3</v>
      </c>
      <c r="AF380">
        <v>4</v>
      </c>
      <c r="AG380">
        <v>4</v>
      </c>
      <c r="AH380">
        <v>3</v>
      </c>
      <c r="AI380">
        <v>3</v>
      </c>
      <c r="AJ380">
        <v>3</v>
      </c>
      <c r="AK380">
        <v>3</v>
      </c>
      <c r="AL380">
        <v>3</v>
      </c>
      <c r="AM380">
        <v>3</v>
      </c>
      <c r="AN380">
        <v>4</v>
      </c>
      <c r="AO380">
        <v>4</v>
      </c>
      <c r="AP380">
        <v>2</v>
      </c>
      <c r="AQ380">
        <v>3</v>
      </c>
      <c r="AR380" t="s">
        <v>75</v>
      </c>
      <c r="AT380">
        <v>0</v>
      </c>
      <c r="AU380" t="s">
        <v>69</v>
      </c>
      <c r="AW380">
        <v>0</v>
      </c>
      <c r="AX380" t="s">
        <v>69</v>
      </c>
      <c r="AY380" t="s">
        <v>83</v>
      </c>
      <c r="AZ380" t="s">
        <v>96</v>
      </c>
      <c r="BA380">
        <v>0</v>
      </c>
      <c r="BB380">
        <v>0</v>
      </c>
      <c r="BC380" t="s">
        <v>98</v>
      </c>
      <c r="BD380" t="s">
        <v>99</v>
      </c>
      <c r="BE380" t="s">
        <v>98</v>
      </c>
      <c r="BF380" t="s">
        <v>99</v>
      </c>
      <c r="BG380" t="s">
        <v>98</v>
      </c>
      <c r="BH380" t="s">
        <v>99</v>
      </c>
      <c r="BI380" t="s">
        <v>98</v>
      </c>
    </row>
    <row r="381" spans="1:61" x14ac:dyDescent="0.35">
      <c r="A381">
        <v>380</v>
      </c>
      <c r="B381">
        <v>45848.991331018522</v>
      </c>
      <c r="C381" t="s">
        <v>2294</v>
      </c>
      <c r="D381" t="s">
        <v>2295</v>
      </c>
      <c r="E381" t="s">
        <v>1486</v>
      </c>
      <c r="F381" t="s">
        <v>1372</v>
      </c>
      <c r="G381" t="s">
        <v>2296</v>
      </c>
      <c r="H381" t="s">
        <v>138</v>
      </c>
      <c r="I381" t="s">
        <v>139</v>
      </c>
      <c r="J381" t="s">
        <v>2204</v>
      </c>
      <c r="K381" t="s">
        <v>1591</v>
      </c>
      <c r="L381" t="s">
        <v>69</v>
      </c>
      <c r="M381" t="s">
        <v>69</v>
      </c>
      <c r="N381" t="s">
        <v>83</v>
      </c>
      <c r="O381" t="s">
        <v>69</v>
      </c>
      <c r="P381" t="s">
        <v>70</v>
      </c>
      <c r="Q381" t="s">
        <v>1168</v>
      </c>
      <c r="R381" s="3">
        <v>34</v>
      </c>
      <c r="S381">
        <v>34</v>
      </c>
      <c r="T381" t="s">
        <v>109</v>
      </c>
      <c r="U381" t="s">
        <v>73</v>
      </c>
      <c r="V381" t="s">
        <v>2297</v>
      </c>
      <c r="W381" t="s">
        <v>413</v>
      </c>
      <c r="X381">
        <v>4</v>
      </c>
      <c r="Y381">
        <v>4</v>
      </c>
      <c r="Z381">
        <v>3</v>
      </c>
      <c r="AA381">
        <v>3</v>
      </c>
      <c r="AB381">
        <v>3</v>
      </c>
      <c r="AC381">
        <v>3</v>
      </c>
      <c r="AD381">
        <v>3</v>
      </c>
      <c r="AE381">
        <v>3</v>
      </c>
      <c r="AF381">
        <v>3</v>
      </c>
      <c r="AG381">
        <v>3</v>
      </c>
      <c r="AH381">
        <v>4</v>
      </c>
      <c r="AI381">
        <v>4</v>
      </c>
      <c r="AJ381">
        <v>4</v>
      </c>
      <c r="AK381">
        <v>4</v>
      </c>
      <c r="AL381">
        <v>3</v>
      </c>
      <c r="AM381">
        <v>3</v>
      </c>
      <c r="AN381">
        <v>3</v>
      </c>
      <c r="AO381">
        <v>3</v>
      </c>
      <c r="AP381">
        <v>1</v>
      </c>
      <c r="AQ381">
        <v>4</v>
      </c>
      <c r="AR381" t="s">
        <v>75</v>
      </c>
      <c r="AT381">
        <v>0</v>
      </c>
      <c r="AU381" t="s">
        <v>69</v>
      </c>
      <c r="AW381">
        <v>0</v>
      </c>
      <c r="AX381" t="s">
        <v>69</v>
      </c>
      <c r="AY381" t="s">
        <v>83</v>
      </c>
      <c r="AZ381" t="s">
        <v>96</v>
      </c>
      <c r="BA381">
        <v>0</v>
      </c>
      <c r="BB381">
        <v>0</v>
      </c>
      <c r="BC381" t="s">
        <v>2298</v>
      </c>
      <c r="BD381" t="s">
        <v>235</v>
      </c>
      <c r="BE381" t="s">
        <v>98</v>
      </c>
      <c r="BF381" t="s">
        <v>99</v>
      </c>
      <c r="BG381" t="s">
        <v>98</v>
      </c>
      <c r="BH381" t="s">
        <v>99</v>
      </c>
      <c r="BI381" t="s">
        <v>98</v>
      </c>
    </row>
    <row r="382" spans="1:61" x14ac:dyDescent="0.35">
      <c r="A382">
        <v>381</v>
      </c>
      <c r="B382">
        <v>45848.994340277779</v>
      </c>
      <c r="C382" t="s">
        <v>2238</v>
      </c>
      <c r="D382" t="s">
        <v>2299</v>
      </c>
      <c r="E382" t="s">
        <v>63</v>
      </c>
      <c r="F382" t="s">
        <v>2300</v>
      </c>
      <c r="G382" t="s">
        <v>2301</v>
      </c>
      <c r="H382" t="s">
        <v>138</v>
      </c>
      <c r="I382" t="s">
        <v>139</v>
      </c>
      <c r="J382" t="s">
        <v>2204</v>
      </c>
      <c r="K382" t="s">
        <v>2302</v>
      </c>
      <c r="L382" t="s">
        <v>69</v>
      </c>
      <c r="M382" t="s">
        <v>69</v>
      </c>
      <c r="N382" t="s">
        <v>69</v>
      </c>
      <c r="O382" t="s">
        <v>69</v>
      </c>
      <c r="P382" t="s">
        <v>70</v>
      </c>
      <c r="Q382" t="s">
        <v>1168</v>
      </c>
      <c r="R382" s="3">
        <v>31</v>
      </c>
      <c r="S382">
        <v>31</v>
      </c>
      <c r="T382" t="s">
        <v>109</v>
      </c>
      <c r="U382" t="s">
        <v>93</v>
      </c>
      <c r="V382" t="s">
        <v>110</v>
      </c>
      <c r="W382" t="s">
        <v>110</v>
      </c>
      <c r="X382">
        <v>4</v>
      </c>
      <c r="Y382">
        <v>4</v>
      </c>
      <c r="Z382">
        <v>4</v>
      </c>
      <c r="AA382">
        <v>4</v>
      </c>
      <c r="AB382">
        <v>4</v>
      </c>
      <c r="AC382">
        <v>4</v>
      </c>
      <c r="AD382">
        <v>4</v>
      </c>
      <c r="AE382">
        <v>4</v>
      </c>
      <c r="AF382">
        <v>4</v>
      </c>
      <c r="AG382">
        <v>4</v>
      </c>
      <c r="AH382">
        <v>4</v>
      </c>
      <c r="AI382">
        <v>4</v>
      </c>
      <c r="AJ382">
        <v>4</v>
      </c>
      <c r="AK382">
        <v>4</v>
      </c>
      <c r="AL382">
        <v>4</v>
      </c>
      <c r="AM382">
        <v>4</v>
      </c>
      <c r="AN382">
        <v>4</v>
      </c>
      <c r="AO382">
        <v>4</v>
      </c>
      <c r="AQ382">
        <v>0</v>
      </c>
      <c r="AR382" t="s">
        <v>69</v>
      </c>
      <c r="AT382">
        <v>0</v>
      </c>
      <c r="AU382" t="s">
        <v>69</v>
      </c>
      <c r="AV382">
        <v>1</v>
      </c>
      <c r="AW382">
        <v>4</v>
      </c>
      <c r="AX382" t="s">
        <v>75</v>
      </c>
      <c r="AY382" t="s">
        <v>83</v>
      </c>
      <c r="AZ382" t="s">
        <v>96</v>
      </c>
      <c r="BA382">
        <v>0</v>
      </c>
      <c r="BB382">
        <v>0</v>
      </c>
      <c r="BC382" t="s">
        <v>98</v>
      </c>
      <c r="BD382" t="s">
        <v>99</v>
      </c>
      <c r="BE382" t="s">
        <v>98</v>
      </c>
      <c r="BF382" t="s">
        <v>99</v>
      </c>
      <c r="BG382" t="s">
        <v>98</v>
      </c>
      <c r="BH382" t="s">
        <v>99</v>
      </c>
      <c r="BI382" t="s">
        <v>98</v>
      </c>
    </row>
    <row r="383" spans="1:61" x14ac:dyDescent="0.35">
      <c r="A383">
        <v>382</v>
      </c>
      <c r="B383">
        <v>45848.997141203705</v>
      </c>
      <c r="C383" t="s">
        <v>2303</v>
      </c>
      <c r="D383" t="s">
        <v>2304</v>
      </c>
      <c r="E383" t="s">
        <v>63</v>
      </c>
      <c r="F383" t="s">
        <v>338</v>
      </c>
      <c r="G383" t="s">
        <v>2305</v>
      </c>
      <c r="H383" t="s">
        <v>138</v>
      </c>
      <c r="I383" t="s">
        <v>139</v>
      </c>
      <c r="J383" t="s">
        <v>2204</v>
      </c>
      <c r="K383" t="s">
        <v>2306</v>
      </c>
      <c r="L383" t="s">
        <v>69</v>
      </c>
      <c r="M383" t="s">
        <v>69</v>
      </c>
      <c r="N383" t="s">
        <v>69</v>
      </c>
      <c r="O383" t="s">
        <v>69</v>
      </c>
      <c r="P383" t="s">
        <v>70</v>
      </c>
      <c r="Q383" t="s">
        <v>1168</v>
      </c>
      <c r="R383" s="3">
        <v>22</v>
      </c>
      <c r="S383">
        <v>22</v>
      </c>
      <c r="T383" t="s">
        <v>72</v>
      </c>
      <c r="U383" t="s">
        <v>73</v>
      </c>
      <c r="V383" t="s">
        <v>74</v>
      </c>
      <c r="W383" t="s">
        <v>74</v>
      </c>
      <c r="X383">
        <v>4</v>
      </c>
      <c r="Y383">
        <v>4</v>
      </c>
      <c r="Z383">
        <v>4</v>
      </c>
      <c r="AA383">
        <v>4</v>
      </c>
      <c r="AB383">
        <v>4</v>
      </c>
      <c r="AC383">
        <v>4</v>
      </c>
      <c r="AD383">
        <v>4</v>
      </c>
      <c r="AE383">
        <v>4</v>
      </c>
      <c r="AF383">
        <v>4</v>
      </c>
      <c r="AG383">
        <v>4</v>
      </c>
      <c r="AH383">
        <v>4</v>
      </c>
      <c r="AI383">
        <v>4</v>
      </c>
      <c r="AJ383">
        <v>4</v>
      </c>
      <c r="AK383">
        <v>4</v>
      </c>
      <c r="AL383">
        <v>4</v>
      </c>
      <c r="AM383">
        <v>4</v>
      </c>
      <c r="AN383">
        <v>4</v>
      </c>
      <c r="AO383">
        <v>4</v>
      </c>
      <c r="AP383">
        <v>1</v>
      </c>
      <c r="AQ383">
        <v>4</v>
      </c>
      <c r="AR383" t="s">
        <v>75</v>
      </c>
      <c r="AT383">
        <v>0</v>
      </c>
      <c r="AU383" t="s">
        <v>69</v>
      </c>
      <c r="AW383">
        <v>0</v>
      </c>
      <c r="AX383" t="s">
        <v>69</v>
      </c>
      <c r="AY383" t="s">
        <v>83</v>
      </c>
      <c r="AZ383" t="s">
        <v>96</v>
      </c>
      <c r="BA383">
        <v>0</v>
      </c>
      <c r="BB383">
        <v>0</v>
      </c>
      <c r="BC383" t="s">
        <v>98</v>
      </c>
      <c r="BD383" t="s">
        <v>99</v>
      </c>
      <c r="BE383" t="s">
        <v>98</v>
      </c>
      <c r="BF383" t="s">
        <v>99</v>
      </c>
      <c r="BG383" t="s">
        <v>98</v>
      </c>
      <c r="BH383" t="s">
        <v>99</v>
      </c>
      <c r="BI383" t="s">
        <v>98</v>
      </c>
    </row>
    <row r="384" spans="1:61" x14ac:dyDescent="0.35">
      <c r="A384">
        <v>383</v>
      </c>
      <c r="B384">
        <v>45849</v>
      </c>
      <c r="C384" t="s">
        <v>2307</v>
      </c>
      <c r="D384" t="s">
        <v>2308</v>
      </c>
      <c r="E384" t="s">
        <v>63</v>
      </c>
      <c r="F384" t="s">
        <v>2308</v>
      </c>
      <c r="G384" t="s">
        <v>2309</v>
      </c>
      <c r="H384" t="s">
        <v>138</v>
      </c>
      <c r="I384" t="s">
        <v>139</v>
      </c>
      <c r="J384" t="s">
        <v>2204</v>
      </c>
      <c r="K384" t="s">
        <v>2310</v>
      </c>
      <c r="L384" t="s">
        <v>69</v>
      </c>
      <c r="M384" t="s">
        <v>69</v>
      </c>
      <c r="N384" t="s">
        <v>69</v>
      </c>
      <c r="O384" t="s">
        <v>69</v>
      </c>
      <c r="P384" t="s">
        <v>70</v>
      </c>
      <c r="Q384" t="s">
        <v>1168</v>
      </c>
      <c r="R384" s="3">
        <v>25</v>
      </c>
      <c r="S384">
        <v>25</v>
      </c>
      <c r="T384" t="s">
        <v>72</v>
      </c>
      <c r="U384" t="s">
        <v>93</v>
      </c>
      <c r="V384" t="s">
        <v>2311</v>
      </c>
      <c r="W384" t="s">
        <v>246</v>
      </c>
      <c r="X384">
        <v>3</v>
      </c>
      <c r="Y384">
        <v>3</v>
      </c>
      <c r="Z384">
        <v>3</v>
      </c>
      <c r="AA384">
        <v>3</v>
      </c>
      <c r="AB384">
        <v>3</v>
      </c>
      <c r="AC384">
        <v>3</v>
      </c>
      <c r="AD384">
        <v>3</v>
      </c>
      <c r="AE384">
        <v>3</v>
      </c>
      <c r="AF384">
        <v>3</v>
      </c>
      <c r="AG384">
        <v>3</v>
      </c>
      <c r="AH384">
        <v>3</v>
      </c>
      <c r="AI384">
        <v>3</v>
      </c>
      <c r="AJ384">
        <v>3</v>
      </c>
      <c r="AK384">
        <v>3</v>
      </c>
      <c r="AL384">
        <v>3</v>
      </c>
      <c r="AM384">
        <v>3</v>
      </c>
      <c r="AN384">
        <v>3</v>
      </c>
      <c r="AO384">
        <v>3</v>
      </c>
      <c r="AP384">
        <v>2</v>
      </c>
      <c r="AQ384">
        <v>3</v>
      </c>
      <c r="AR384" t="s">
        <v>75</v>
      </c>
      <c r="AT384">
        <v>0</v>
      </c>
      <c r="AU384" t="s">
        <v>69</v>
      </c>
      <c r="AW384">
        <v>0</v>
      </c>
      <c r="AX384" t="s">
        <v>69</v>
      </c>
      <c r="AY384" t="s">
        <v>83</v>
      </c>
      <c r="AZ384" t="s">
        <v>96</v>
      </c>
      <c r="BA384">
        <v>0</v>
      </c>
      <c r="BB384">
        <v>0</v>
      </c>
      <c r="BC384" t="s">
        <v>98</v>
      </c>
      <c r="BD384" t="s">
        <v>99</v>
      </c>
      <c r="BE384" t="s">
        <v>98</v>
      </c>
      <c r="BF384" t="s">
        <v>99</v>
      </c>
      <c r="BG384" t="s">
        <v>98</v>
      </c>
      <c r="BH384" t="s">
        <v>99</v>
      </c>
      <c r="BI384" t="s">
        <v>2312</v>
      </c>
    </row>
    <row r="385" spans="1:61" x14ac:dyDescent="0.35">
      <c r="A385">
        <v>384</v>
      </c>
      <c r="B385">
        <v>45849.002928240741</v>
      </c>
      <c r="C385" t="s">
        <v>2313</v>
      </c>
      <c r="D385" t="s">
        <v>2314</v>
      </c>
      <c r="E385" t="s">
        <v>63</v>
      </c>
      <c r="F385" t="s">
        <v>757</v>
      </c>
      <c r="G385" t="s">
        <v>2315</v>
      </c>
      <c r="H385" t="s">
        <v>138</v>
      </c>
      <c r="I385" t="s">
        <v>139</v>
      </c>
      <c r="J385" t="s">
        <v>2204</v>
      </c>
      <c r="K385" t="s">
        <v>2316</v>
      </c>
      <c r="L385" t="s">
        <v>69</v>
      </c>
      <c r="M385" t="s">
        <v>69</v>
      </c>
      <c r="N385" t="s">
        <v>69</v>
      </c>
      <c r="O385" t="s">
        <v>69</v>
      </c>
      <c r="P385" t="s">
        <v>70</v>
      </c>
      <c r="Q385" t="s">
        <v>1168</v>
      </c>
      <c r="R385" s="3">
        <v>27</v>
      </c>
      <c r="S385">
        <v>27</v>
      </c>
      <c r="T385" t="s">
        <v>92</v>
      </c>
      <c r="U385" t="s">
        <v>93</v>
      </c>
      <c r="V385" t="s">
        <v>74</v>
      </c>
      <c r="W385" t="s">
        <v>74</v>
      </c>
      <c r="X385">
        <v>4</v>
      </c>
      <c r="Y385">
        <v>4</v>
      </c>
      <c r="Z385">
        <v>4</v>
      </c>
      <c r="AA385">
        <v>4</v>
      </c>
      <c r="AB385">
        <v>3</v>
      </c>
      <c r="AC385">
        <v>3</v>
      </c>
      <c r="AD385">
        <v>3</v>
      </c>
      <c r="AE385">
        <v>3</v>
      </c>
      <c r="AF385">
        <v>4</v>
      </c>
      <c r="AG385">
        <v>4</v>
      </c>
      <c r="AH385">
        <v>3</v>
      </c>
      <c r="AI385">
        <v>4</v>
      </c>
      <c r="AJ385">
        <v>4</v>
      </c>
      <c r="AK385">
        <v>4</v>
      </c>
      <c r="AL385">
        <v>4</v>
      </c>
      <c r="AM385">
        <v>4</v>
      </c>
      <c r="AN385">
        <v>4</v>
      </c>
      <c r="AO385">
        <v>4</v>
      </c>
      <c r="AP385">
        <v>1</v>
      </c>
      <c r="AQ385">
        <v>4</v>
      </c>
      <c r="AR385" t="s">
        <v>75</v>
      </c>
      <c r="AT385">
        <v>0</v>
      </c>
      <c r="AU385" t="s">
        <v>69</v>
      </c>
      <c r="AW385">
        <v>0</v>
      </c>
      <c r="AX385" t="s">
        <v>69</v>
      </c>
      <c r="AY385" t="s">
        <v>83</v>
      </c>
      <c r="AZ385" t="s">
        <v>96</v>
      </c>
      <c r="BA385">
        <v>0</v>
      </c>
      <c r="BB385">
        <v>0</v>
      </c>
      <c r="BC385" t="s">
        <v>98</v>
      </c>
      <c r="BD385" t="s">
        <v>99</v>
      </c>
      <c r="BE385" t="s">
        <v>263</v>
      </c>
      <c r="BF385" t="s">
        <v>99</v>
      </c>
      <c r="BG385" t="s">
        <v>98</v>
      </c>
      <c r="BH385" t="s">
        <v>99</v>
      </c>
      <c r="BI385" t="s">
        <v>98</v>
      </c>
    </row>
    <row r="386" spans="1:61" x14ac:dyDescent="0.35">
      <c r="A386">
        <v>385</v>
      </c>
      <c r="B386">
        <v>45849.259097222224</v>
      </c>
      <c r="C386" t="s">
        <v>2317</v>
      </c>
      <c r="D386" t="s">
        <v>2318</v>
      </c>
      <c r="E386" t="s">
        <v>63</v>
      </c>
      <c r="F386" t="s">
        <v>149</v>
      </c>
      <c r="G386" t="s">
        <v>2319</v>
      </c>
      <c r="H386" t="s">
        <v>517</v>
      </c>
      <c r="I386" t="s">
        <v>518</v>
      </c>
      <c r="J386" t="s">
        <v>2320</v>
      </c>
      <c r="K386" t="s">
        <v>900</v>
      </c>
      <c r="L386" t="s">
        <v>69</v>
      </c>
      <c r="M386" t="s">
        <v>69</v>
      </c>
      <c r="N386" t="s">
        <v>69</v>
      </c>
      <c r="O386" t="s">
        <v>69</v>
      </c>
      <c r="P386" t="s">
        <v>70</v>
      </c>
      <c r="Q386" t="s">
        <v>1168</v>
      </c>
      <c r="R386" s="3" t="s">
        <v>483</v>
      </c>
      <c r="S386">
        <v>28</v>
      </c>
      <c r="T386" t="s">
        <v>92</v>
      </c>
      <c r="U386" t="s">
        <v>93</v>
      </c>
      <c r="V386" t="s">
        <v>232</v>
      </c>
      <c r="W386" t="s">
        <v>232</v>
      </c>
      <c r="X386">
        <v>3</v>
      </c>
      <c r="Y386">
        <v>4</v>
      </c>
      <c r="Z386">
        <v>4</v>
      </c>
      <c r="AA386">
        <v>4</v>
      </c>
      <c r="AB386">
        <v>4</v>
      </c>
      <c r="AC386">
        <v>4</v>
      </c>
      <c r="AD386">
        <v>0</v>
      </c>
      <c r="AE386">
        <v>0</v>
      </c>
      <c r="AF386">
        <v>4</v>
      </c>
      <c r="AG386">
        <v>4</v>
      </c>
      <c r="AH386">
        <v>4</v>
      </c>
      <c r="AI386">
        <v>4</v>
      </c>
      <c r="AJ386">
        <v>4</v>
      </c>
      <c r="AK386">
        <v>4</v>
      </c>
      <c r="AL386">
        <v>4</v>
      </c>
      <c r="AM386">
        <v>4</v>
      </c>
      <c r="AN386">
        <v>3</v>
      </c>
      <c r="AO386">
        <v>4</v>
      </c>
      <c r="AQ386">
        <v>0</v>
      </c>
      <c r="AR386" t="s">
        <v>69</v>
      </c>
      <c r="AT386">
        <v>0</v>
      </c>
      <c r="AU386" t="s">
        <v>69</v>
      </c>
      <c r="AV386">
        <v>1</v>
      </c>
      <c r="AW386">
        <v>4</v>
      </c>
      <c r="AX386" t="s">
        <v>75</v>
      </c>
      <c r="AY386" t="s">
        <v>83</v>
      </c>
      <c r="AZ386" t="s">
        <v>96</v>
      </c>
      <c r="BA386">
        <v>0</v>
      </c>
      <c r="BB386">
        <v>0</v>
      </c>
      <c r="BC386" t="s">
        <v>503</v>
      </c>
      <c r="BD386" t="s">
        <v>79</v>
      </c>
      <c r="BE386" t="s">
        <v>503</v>
      </c>
      <c r="BF386" t="s">
        <v>79</v>
      </c>
      <c r="BG386" t="s">
        <v>503</v>
      </c>
      <c r="BH386" t="s">
        <v>79</v>
      </c>
      <c r="BI386" t="s">
        <v>83</v>
      </c>
    </row>
    <row r="387" spans="1:61" x14ac:dyDescent="0.35">
      <c r="A387">
        <v>386</v>
      </c>
      <c r="B387">
        <v>45849.262418981481</v>
      </c>
      <c r="C387" t="s">
        <v>2321</v>
      </c>
      <c r="D387" t="s">
        <v>2322</v>
      </c>
      <c r="E387" t="s">
        <v>63</v>
      </c>
      <c r="F387" t="s">
        <v>2323</v>
      </c>
      <c r="G387" t="s">
        <v>2324</v>
      </c>
      <c r="H387" t="s">
        <v>517</v>
      </c>
      <c r="I387" t="s">
        <v>518</v>
      </c>
      <c r="J387" t="s">
        <v>2320</v>
      </c>
      <c r="K387" t="s">
        <v>2325</v>
      </c>
      <c r="L387" t="s">
        <v>69</v>
      </c>
      <c r="M387" t="s">
        <v>69</v>
      </c>
      <c r="N387" t="s">
        <v>69</v>
      </c>
      <c r="O387" t="s">
        <v>69</v>
      </c>
      <c r="P387" t="s">
        <v>106</v>
      </c>
      <c r="Q387" t="s">
        <v>1168</v>
      </c>
      <c r="R387" s="3" t="s">
        <v>1862</v>
      </c>
      <c r="S387">
        <v>35</v>
      </c>
      <c r="T387" t="s">
        <v>109</v>
      </c>
      <c r="U387" t="s">
        <v>73</v>
      </c>
      <c r="V387" t="s">
        <v>110</v>
      </c>
      <c r="W387" t="s">
        <v>110</v>
      </c>
      <c r="X387">
        <v>3</v>
      </c>
      <c r="Y387">
        <v>4</v>
      </c>
      <c r="Z387">
        <v>4</v>
      </c>
      <c r="AA387">
        <v>4</v>
      </c>
      <c r="AB387">
        <v>4</v>
      </c>
      <c r="AC387">
        <v>4</v>
      </c>
      <c r="AD387">
        <v>0</v>
      </c>
      <c r="AE387">
        <v>0</v>
      </c>
      <c r="AF387">
        <v>4</v>
      </c>
      <c r="AG387">
        <v>4</v>
      </c>
      <c r="AH387">
        <v>4</v>
      </c>
      <c r="AI387">
        <v>4</v>
      </c>
      <c r="AJ387">
        <v>4</v>
      </c>
      <c r="AK387">
        <v>4</v>
      </c>
      <c r="AL387">
        <v>4</v>
      </c>
      <c r="AM387">
        <v>4</v>
      </c>
      <c r="AN387">
        <v>4</v>
      </c>
      <c r="AO387">
        <v>4</v>
      </c>
      <c r="AQ387">
        <v>0</v>
      </c>
      <c r="AR387" t="s">
        <v>69</v>
      </c>
      <c r="AT387">
        <v>0</v>
      </c>
      <c r="AU387" t="s">
        <v>69</v>
      </c>
      <c r="AW387">
        <v>0</v>
      </c>
      <c r="AX387" t="s">
        <v>69</v>
      </c>
      <c r="AY387" t="s">
        <v>144</v>
      </c>
      <c r="AZ387" t="s">
        <v>144</v>
      </c>
      <c r="BA387">
        <v>3</v>
      </c>
      <c r="BB387">
        <v>2</v>
      </c>
      <c r="BC387" t="s">
        <v>528</v>
      </c>
      <c r="BD387" t="s">
        <v>79</v>
      </c>
      <c r="BE387" t="s">
        <v>528</v>
      </c>
      <c r="BF387" t="s">
        <v>79</v>
      </c>
      <c r="BG387" t="s">
        <v>528</v>
      </c>
      <c r="BH387" t="s">
        <v>79</v>
      </c>
      <c r="BI387" t="s">
        <v>83</v>
      </c>
    </row>
    <row r="388" spans="1:61" x14ac:dyDescent="0.35">
      <c r="A388">
        <v>387</v>
      </c>
      <c r="B388">
        <v>45849.265856481485</v>
      </c>
      <c r="C388" t="s">
        <v>2326</v>
      </c>
      <c r="D388" t="s">
        <v>2327</v>
      </c>
      <c r="E388" t="s">
        <v>63</v>
      </c>
      <c r="F388" t="s">
        <v>86</v>
      </c>
      <c r="G388" t="s">
        <v>2328</v>
      </c>
      <c r="H388" t="s">
        <v>517</v>
      </c>
      <c r="I388" t="s">
        <v>518</v>
      </c>
      <c r="J388" t="s">
        <v>2320</v>
      </c>
      <c r="K388" t="s">
        <v>2329</v>
      </c>
      <c r="L388" t="s">
        <v>69</v>
      </c>
      <c r="M388" t="s">
        <v>69</v>
      </c>
      <c r="N388" t="s">
        <v>69</v>
      </c>
      <c r="O388" t="s">
        <v>69</v>
      </c>
      <c r="P388" t="s">
        <v>106</v>
      </c>
      <c r="Q388" t="s">
        <v>1168</v>
      </c>
      <c r="R388" s="3" t="s">
        <v>546</v>
      </c>
      <c r="S388">
        <v>31</v>
      </c>
      <c r="T388" t="s">
        <v>109</v>
      </c>
      <c r="U388" t="s">
        <v>93</v>
      </c>
      <c r="V388" t="s">
        <v>74</v>
      </c>
      <c r="W388" t="s">
        <v>74</v>
      </c>
      <c r="X388">
        <v>3</v>
      </c>
      <c r="Y388">
        <v>3</v>
      </c>
      <c r="Z388">
        <v>3</v>
      </c>
      <c r="AA388">
        <v>4</v>
      </c>
      <c r="AB388">
        <v>3</v>
      </c>
      <c r="AC388">
        <v>3</v>
      </c>
      <c r="AD388">
        <v>0</v>
      </c>
      <c r="AE388">
        <v>0</v>
      </c>
      <c r="AF388">
        <v>3</v>
      </c>
      <c r="AG388">
        <v>3</v>
      </c>
      <c r="AH388">
        <v>3</v>
      </c>
      <c r="AI388">
        <v>3</v>
      </c>
      <c r="AJ388">
        <v>4</v>
      </c>
      <c r="AK388">
        <v>3</v>
      </c>
      <c r="AL388">
        <v>3</v>
      </c>
      <c r="AM388">
        <v>3</v>
      </c>
      <c r="AN388">
        <v>4</v>
      </c>
      <c r="AO388">
        <v>3</v>
      </c>
      <c r="AQ388">
        <v>0</v>
      </c>
      <c r="AR388" t="s">
        <v>69</v>
      </c>
      <c r="AT388">
        <v>0</v>
      </c>
      <c r="AU388" t="s">
        <v>69</v>
      </c>
      <c r="AV388">
        <v>2</v>
      </c>
      <c r="AW388">
        <v>3</v>
      </c>
      <c r="AX388" t="s">
        <v>69</v>
      </c>
      <c r="AY388" t="s">
        <v>83</v>
      </c>
      <c r="AZ388" t="s">
        <v>96</v>
      </c>
      <c r="BA388">
        <v>0</v>
      </c>
      <c r="BB388">
        <v>0</v>
      </c>
      <c r="BC388" t="s">
        <v>503</v>
      </c>
      <c r="BD388" t="s">
        <v>79</v>
      </c>
      <c r="BE388" t="s">
        <v>503</v>
      </c>
      <c r="BF388" t="s">
        <v>79</v>
      </c>
      <c r="BG388" t="s">
        <v>503</v>
      </c>
      <c r="BH388" t="s">
        <v>79</v>
      </c>
      <c r="BI388" t="s">
        <v>83</v>
      </c>
    </row>
    <row r="389" spans="1:61" x14ac:dyDescent="0.35">
      <c r="A389">
        <v>388</v>
      </c>
      <c r="B389">
        <v>45849.286400462966</v>
      </c>
      <c r="C389" t="s">
        <v>2330</v>
      </c>
      <c r="D389" t="s">
        <v>2331</v>
      </c>
      <c r="E389" t="s">
        <v>179</v>
      </c>
      <c r="F389" t="s">
        <v>63</v>
      </c>
      <c r="G389" t="s">
        <v>2332</v>
      </c>
      <c r="H389" t="s">
        <v>517</v>
      </c>
      <c r="I389" t="s">
        <v>518</v>
      </c>
      <c r="J389" t="s">
        <v>2320</v>
      </c>
      <c r="K389" t="s">
        <v>2333</v>
      </c>
      <c r="L389" t="s">
        <v>69</v>
      </c>
      <c r="M389" t="s">
        <v>69</v>
      </c>
      <c r="N389" t="s">
        <v>69</v>
      </c>
      <c r="O389" t="s">
        <v>69</v>
      </c>
      <c r="P389" t="s">
        <v>70</v>
      </c>
      <c r="Q389" t="s">
        <v>1168</v>
      </c>
      <c r="R389" s="3" t="s">
        <v>546</v>
      </c>
      <c r="S389">
        <v>31</v>
      </c>
      <c r="T389" t="s">
        <v>109</v>
      </c>
      <c r="U389" t="s">
        <v>93</v>
      </c>
      <c r="V389" t="s">
        <v>232</v>
      </c>
      <c r="W389" t="s">
        <v>232</v>
      </c>
      <c r="X389">
        <v>4</v>
      </c>
      <c r="Y389">
        <v>4</v>
      </c>
      <c r="Z389">
        <v>4</v>
      </c>
      <c r="AA389">
        <v>4</v>
      </c>
      <c r="AB389">
        <v>4</v>
      </c>
      <c r="AC389">
        <v>4</v>
      </c>
      <c r="AD389">
        <v>0</v>
      </c>
      <c r="AE389">
        <v>0</v>
      </c>
      <c r="AF389">
        <v>4</v>
      </c>
      <c r="AG389">
        <v>4</v>
      </c>
      <c r="AH389">
        <v>4</v>
      </c>
      <c r="AI389">
        <v>4</v>
      </c>
      <c r="AJ389">
        <v>4</v>
      </c>
      <c r="AK389">
        <v>4</v>
      </c>
      <c r="AL389">
        <v>4</v>
      </c>
      <c r="AM389">
        <v>4</v>
      </c>
      <c r="AN389">
        <v>4</v>
      </c>
      <c r="AO389">
        <v>4</v>
      </c>
      <c r="AQ389">
        <v>0</v>
      </c>
      <c r="AR389" t="s">
        <v>69</v>
      </c>
      <c r="AT389">
        <v>0</v>
      </c>
      <c r="AU389" t="s">
        <v>69</v>
      </c>
      <c r="AV389">
        <v>1</v>
      </c>
      <c r="AW389">
        <v>4</v>
      </c>
      <c r="AX389" t="s">
        <v>75</v>
      </c>
      <c r="AY389" t="s">
        <v>83</v>
      </c>
      <c r="AZ389" t="s">
        <v>96</v>
      </c>
      <c r="BA389">
        <v>0</v>
      </c>
      <c r="BB389">
        <v>0</v>
      </c>
      <c r="BC389" t="s">
        <v>248</v>
      </c>
      <c r="BD389" t="s">
        <v>79</v>
      </c>
      <c r="BE389" t="s">
        <v>1305</v>
      </c>
      <c r="BF389" t="s">
        <v>81</v>
      </c>
      <c r="BG389" t="s">
        <v>2334</v>
      </c>
      <c r="BH389" t="s">
        <v>79</v>
      </c>
      <c r="BI389" t="s">
        <v>83</v>
      </c>
    </row>
    <row r="390" spans="1:61" x14ac:dyDescent="0.35">
      <c r="A390">
        <v>389</v>
      </c>
      <c r="B390">
        <v>45849.289398148147</v>
      </c>
      <c r="C390" t="s">
        <v>2335</v>
      </c>
      <c r="D390" t="s">
        <v>2336</v>
      </c>
      <c r="E390" t="s">
        <v>63</v>
      </c>
      <c r="F390" t="s">
        <v>63</v>
      </c>
      <c r="G390" t="s">
        <v>2337</v>
      </c>
      <c r="H390" t="s">
        <v>517</v>
      </c>
      <c r="I390" t="s">
        <v>518</v>
      </c>
      <c r="J390" t="s">
        <v>2320</v>
      </c>
      <c r="K390" t="s">
        <v>2338</v>
      </c>
      <c r="L390" t="s">
        <v>69</v>
      </c>
      <c r="M390" t="s">
        <v>69</v>
      </c>
      <c r="N390" t="s">
        <v>69</v>
      </c>
      <c r="O390" t="s">
        <v>69</v>
      </c>
      <c r="P390" t="s">
        <v>70</v>
      </c>
      <c r="Q390" t="s">
        <v>1168</v>
      </c>
      <c r="R390" s="3" t="s">
        <v>483</v>
      </c>
      <c r="S390">
        <v>28</v>
      </c>
      <c r="T390" t="s">
        <v>92</v>
      </c>
      <c r="U390" t="s">
        <v>93</v>
      </c>
      <c r="V390" t="s">
        <v>232</v>
      </c>
      <c r="W390" t="s">
        <v>232</v>
      </c>
      <c r="X390">
        <v>3</v>
      </c>
      <c r="Y390">
        <v>4</v>
      </c>
      <c r="Z390">
        <v>4</v>
      </c>
      <c r="AA390">
        <v>4</v>
      </c>
      <c r="AB390">
        <v>3</v>
      </c>
      <c r="AC390">
        <v>3</v>
      </c>
      <c r="AD390">
        <v>0</v>
      </c>
      <c r="AE390">
        <v>0</v>
      </c>
      <c r="AF390">
        <v>4</v>
      </c>
      <c r="AG390">
        <v>4</v>
      </c>
      <c r="AH390">
        <v>4</v>
      </c>
      <c r="AI390">
        <v>4</v>
      </c>
      <c r="AJ390">
        <v>3</v>
      </c>
      <c r="AK390">
        <v>4</v>
      </c>
      <c r="AL390">
        <v>4</v>
      </c>
      <c r="AM390">
        <v>4</v>
      </c>
      <c r="AN390">
        <v>3</v>
      </c>
      <c r="AO390">
        <v>4</v>
      </c>
      <c r="AQ390">
        <v>0</v>
      </c>
      <c r="AR390" t="s">
        <v>69</v>
      </c>
      <c r="AT390">
        <v>0</v>
      </c>
      <c r="AU390" t="s">
        <v>69</v>
      </c>
      <c r="AV390">
        <v>1</v>
      </c>
      <c r="AW390">
        <v>4</v>
      </c>
      <c r="AX390" t="s">
        <v>75</v>
      </c>
      <c r="AY390" t="s">
        <v>83</v>
      </c>
      <c r="AZ390" t="s">
        <v>96</v>
      </c>
      <c r="BA390">
        <v>0</v>
      </c>
      <c r="BB390">
        <v>0</v>
      </c>
      <c r="BC390" t="s">
        <v>2339</v>
      </c>
      <c r="BD390" t="s">
        <v>112</v>
      </c>
      <c r="BE390" t="s">
        <v>528</v>
      </c>
      <c r="BF390" t="s">
        <v>79</v>
      </c>
      <c r="BG390" t="s">
        <v>503</v>
      </c>
      <c r="BH390" t="s">
        <v>79</v>
      </c>
      <c r="BI390" t="s">
        <v>83</v>
      </c>
    </row>
    <row r="391" spans="1:61" x14ac:dyDescent="0.35">
      <c r="A391">
        <v>390</v>
      </c>
      <c r="B391">
        <v>45849.292939814812</v>
      </c>
      <c r="C391" t="s">
        <v>2340</v>
      </c>
      <c r="D391" t="s">
        <v>2341</v>
      </c>
      <c r="E391" t="s">
        <v>63</v>
      </c>
      <c r="F391" t="s">
        <v>136</v>
      </c>
      <c r="G391" t="s">
        <v>2342</v>
      </c>
      <c r="H391" t="s">
        <v>517</v>
      </c>
      <c r="I391" t="s">
        <v>518</v>
      </c>
      <c r="J391" t="s">
        <v>2320</v>
      </c>
      <c r="K391" t="s">
        <v>2343</v>
      </c>
      <c r="L391" t="s">
        <v>69</v>
      </c>
      <c r="M391" t="s">
        <v>69</v>
      </c>
      <c r="N391" t="s">
        <v>69</v>
      </c>
      <c r="O391" t="s">
        <v>69</v>
      </c>
      <c r="P391" t="s">
        <v>106</v>
      </c>
      <c r="Q391" t="s">
        <v>1180</v>
      </c>
      <c r="R391" s="3" t="s">
        <v>272</v>
      </c>
      <c r="S391">
        <v>43</v>
      </c>
      <c r="T391" t="s">
        <v>197</v>
      </c>
      <c r="U391" t="s">
        <v>93</v>
      </c>
      <c r="V391" t="s">
        <v>74</v>
      </c>
      <c r="W391" t="s">
        <v>74</v>
      </c>
      <c r="X391">
        <v>3</v>
      </c>
      <c r="Y391">
        <v>3</v>
      </c>
      <c r="Z391">
        <v>3</v>
      </c>
      <c r="AA391">
        <v>3</v>
      </c>
      <c r="AB391">
        <v>4</v>
      </c>
      <c r="AC391">
        <v>4</v>
      </c>
      <c r="AD391">
        <v>0</v>
      </c>
      <c r="AE391">
        <v>0</v>
      </c>
      <c r="AF391">
        <v>3</v>
      </c>
      <c r="AG391">
        <v>3</v>
      </c>
      <c r="AH391">
        <v>3</v>
      </c>
      <c r="AI391">
        <v>3</v>
      </c>
      <c r="AJ391">
        <v>4</v>
      </c>
      <c r="AK391">
        <v>4</v>
      </c>
      <c r="AL391">
        <v>3</v>
      </c>
      <c r="AM391">
        <v>3</v>
      </c>
      <c r="AN391">
        <v>3</v>
      </c>
      <c r="AO391">
        <v>3</v>
      </c>
      <c r="AQ391">
        <v>0</v>
      </c>
      <c r="AR391" t="s">
        <v>69</v>
      </c>
      <c r="AT391">
        <v>0</v>
      </c>
      <c r="AU391" t="s">
        <v>69</v>
      </c>
      <c r="AW391">
        <v>0</v>
      </c>
      <c r="AX391" t="s">
        <v>69</v>
      </c>
      <c r="AY391" t="s">
        <v>2344</v>
      </c>
      <c r="AZ391" t="s">
        <v>144</v>
      </c>
      <c r="BA391">
        <v>1</v>
      </c>
      <c r="BB391">
        <v>4</v>
      </c>
      <c r="BC391" t="s">
        <v>248</v>
      </c>
      <c r="BD391" t="s">
        <v>79</v>
      </c>
      <c r="BE391" t="s">
        <v>248</v>
      </c>
      <c r="BF391" t="s">
        <v>79</v>
      </c>
      <c r="BG391" t="s">
        <v>2345</v>
      </c>
      <c r="BH391" t="s">
        <v>146</v>
      </c>
      <c r="BI391" t="s">
        <v>83</v>
      </c>
    </row>
    <row r="392" spans="1:61" x14ac:dyDescent="0.35">
      <c r="A392">
        <v>391</v>
      </c>
      <c r="B392">
        <v>45849.297175925924</v>
      </c>
      <c r="C392" t="s">
        <v>2346</v>
      </c>
      <c r="D392" t="s">
        <v>2347</v>
      </c>
      <c r="E392" t="s">
        <v>1030</v>
      </c>
      <c r="F392" t="s">
        <v>2348</v>
      </c>
      <c r="G392" t="s">
        <v>2270</v>
      </c>
      <c r="H392" t="s">
        <v>517</v>
      </c>
      <c r="I392" t="s">
        <v>518</v>
      </c>
      <c r="J392" t="s">
        <v>2320</v>
      </c>
      <c r="K392" t="s">
        <v>2349</v>
      </c>
      <c r="L392" t="s">
        <v>69</v>
      </c>
      <c r="M392" t="s">
        <v>69</v>
      </c>
      <c r="N392" t="s">
        <v>69</v>
      </c>
      <c r="O392" t="s">
        <v>69</v>
      </c>
      <c r="P392" t="s">
        <v>70</v>
      </c>
      <c r="Q392" t="s">
        <v>1180</v>
      </c>
      <c r="R392" s="3" t="s">
        <v>671</v>
      </c>
      <c r="S392">
        <v>49</v>
      </c>
      <c r="T392" t="s">
        <v>225</v>
      </c>
      <c r="U392" t="s">
        <v>93</v>
      </c>
      <c r="V392" t="s">
        <v>74</v>
      </c>
      <c r="W392" t="s">
        <v>74</v>
      </c>
      <c r="X392">
        <v>4</v>
      </c>
      <c r="Y392">
        <v>4</v>
      </c>
      <c r="Z392">
        <v>4</v>
      </c>
      <c r="AA392">
        <v>4</v>
      </c>
      <c r="AB392">
        <v>4</v>
      </c>
      <c r="AC392">
        <v>4</v>
      </c>
      <c r="AD392">
        <v>0</v>
      </c>
      <c r="AE392">
        <v>0</v>
      </c>
      <c r="AF392">
        <v>4</v>
      </c>
      <c r="AG392">
        <v>4</v>
      </c>
      <c r="AH392">
        <v>4</v>
      </c>
      <c r="AI392">
        <v>4</v>
      </c>
      <c r="AJ392">
        <v>4</v>
      </c>
      <c r="AK392">
        <v>4</v>
      </c>
      <c r="AL392">
        <v>4</v>
      </c>
      <c r="AM392">
        <v>4</v>
      </c>
      <c r="AN392">
        <v>4</v>
      </c>
      <c r="AO392">
        <v>4</v>
      </c>
      <c r="AQ392">
        <v>0</v>
      </c>
      <c r="AR392" t="s">
        <v>69</v>
      </c>
      <c r="AT392">
        <v>0</v>
      </c>
      <c r="AU392" t="s">
        <v>69</v>
      </c>
      <c r="AW392">
        <v>0</v>
      </c>
      <c r="AX392" t="s">
        <v>69</v>
      </c>
      <c r="AY392" t="s">
        <v>2350</v>
      </c>
      <c r="AZ392" t="s">
        <v>186</v>
      </c>
      <c r="BA392">
        <v>1</v>
      </c>
      <c r="BB392">
        <v>4</v>
      </c>
      <c r="BC392" t="s">
        <v>2351</v>
      </c>
      <c r="BD392" t="s">
        <v>2352</v>
      </c>
      <c r="BE392" t="s">
        <v>2353</v>
      </c>
      <c r="BF392" t="s">
        <v>1755</v>
      </c>
      <c r="BG392" t="s">
        <v>528</v>
      </c>
      <c r="BH392" t="s">
        <v>79</v>
      </c>
      <c r="BI392" t="s">
        <v>83</v>
      </c>
    </row>
    <row r="393" spans="1:61" x14ac:dyDescent="0.35">
      <c r="A393">
        <v>392</v>
      </c>
      <c r="B393">
        <v>45849.644525462965</v>
      </c>
      <c r="C393" t="s">
        <v>2354</v>
      </c>
      <c r="D393" t="s">
        <v>2355</v>
      </c>
      <c r="E393" t="s">
        <v>63</v>
      </c>
      <c r="F393" t="s">
        <v>338</v>
      </c>
      <c r="G393" t="s">
        <v>2356</v>
      </c>
      <c r="H393" t="s">
        <v>88</v>
      </c>
      <c r="I393" t="s">
        <v>2088</v>
      </c>
      <c r="J393" t="s">
        <v>2357</v>
      </c>
      <c r="K393" t="s">
        <v>2358</v>
      </c>
      <c r="L393" t="s">
        <v>69</v>
      </c>
      <c r="M393" t="s">
        <v>69</v>
      </c>
      <c r="N393" t="s">
        <v>69</v>
      </c>
      <c r="O393" t="s">
        <v>69</v>
      </c>
      <c r="P393" t="s">
        <v>106</v>
      </c>
      <c r="Q393" t="s">
        <v>1180</v>
      </c>
      <c r="R393" s="3" t="s">
        <v>1045</v>
      </c>
      <c r="S393">
        <v>29</v>
      </c>
      <c r="T393" t="s">
        <v>92</v>
      </c>
      <c r="U393" t="s">
        <v>73</v>
      </c>
      <c r="V393" t="s">
        <v>74</v>
      </c>
      <c r="W393" t="s">
        <v>74</v>
      </c>
      <c r="X393">
        <v>4</v>
      </c>
      <c r="Y393">
        <v>3</v>
      </c>
      <c r="Z393">
        <v>4</v>
      </c>
      <c r="AA393">
        <v>4</v>
      </c>
      <c r="AB393">
        <v>4</v>
      </c>
      <c r="AC393">
        <v>3</v>
      </c>
      <c r="AD393">
        <v>0</v>
      </c>
      <c r="AE393">
        <v>0</v>
      </c>
      <c r="AF393">
        <v>4</v>
      </c>
      <c r="AG393">
        <v>3</v>
      </c>
      <c r="AH393">
        <v>4</v>
      </c>
      <c r="AI393">
        <v>3</v>
      </c>
      <c r="AJ393">
        <v>4</v>
      </c>
      <c r="AK393">
        <v>3</v>
      </c>
      <c r="AL393">
        <v>4</v>
      </c>
      <c r="AM393">
        <v>3</v>
      </c>
      <c r="AN393">
        <v>4</v>
      </c>
      <c r="AO393">
        <v>3</v>
      </c>
      <c r="AQ393">
        <v>0</v>
      </c>
      <c r="AR393" t="s">
        <v>69</v>
      </c>
      <c r="AT393">
        <v>0</v>
      </c>
      <c r="AU393" t="s">
        <v>69</v>
      </c>
      <c r="AV393">
        <v>1</v>
      </c>
      <c r="AW393">
        <v>4</v>
      </c>
      <c r="AX393" t="s">
        <v>75</v>
      </c>
      <c r="AY393" t="s">
        <v>83</v>
      </c>
      <c r="AZ393" t="s">
        <v>96</v>
      </c>
      <c r="BA393">
        <v>0</v>
      </c>
      <c r="BB393">
        <v>0</v>
      </c>
      <c r="BC393" t="s">
        <v>98</v>
      </c>
      <c r="BD393" t="s">
        <v>99</v>
      </c>
      <c r="BE393" t="s">
        <v>98</v>
      </c>
      <c r="BF393" t="s">
        <v>99</v>
      </c>
      <c r="BG393" t="s">
        <v>98</v>
      </c>
      <c r="BH393" t="s">
        <v>99</v>
      </c>
      <c r="BI393" t="s">
        <v>98</v>
      </c>
    </row>
    <row r="394" spans="1:61" x14ac:dyDescent="0.35">
      <c r="A394">
        <v>393</v>
      </c>
      <c r="B394">
        <v>45849.653217592589</v>
      </c>
      <c r="C394" t="s">
        <v>2359</v>
      </c>
      <c r="D394" t="s">
        <v>2360</v>
      </c>
      <c r="E394" t="s">
        <v>63</v>
      </c>
      <c r="F394" t="s">
        <v>63</v>
      </c>
      <c r="G394" t="s">
        <v>2361</v>
      </c>
      <c r="H394" t="s">
        <v>1679</v>
      </c>
      <c r="I394" t="s">
        <v>439</v>
      </c>
      <c r="J394" t="s">
        <v>2357</v>
      </c>
      <c r="K394" t="s">
        <v>1399</v>
      </c>
      <c r="L394" t="s">
        <v>69</v>
      </c>
      <c r="M394" t="s">
        <v>69</v>
      </c>
      <c r="N394" t="s">
        <v>69</v>
      </c>
      <c r="O394" t="s">
        <v>69</v>
      </c>
      <c r="P394" t="s">
        <v>106</v>
      </c>
      <c r="Q394" t="s">
        <v>1168</v>
      </c>
      <c r="R394" s="3" t="s">
        <v>868</v>
      </c>
      <c r="S394">
        <v>33</v>
      </c>
      <c r="T394" t="s">
        <v>109</v>
      </c>
      <c r="U394" t="s">
        <v>93</v>
      </c>
      <c r="V394" t="s">
        <v>110</v>
      </c>
      <c r="W394" t="s">
        <v>110</v>
      </c>
      <c r="X394">
        <v>3</v>
      </c>
      <c r="Y394">
        <v>3</v>
      </c>
      <c r="Z394">
        <v>4</v>
      </c>
      <c r="AA394">
        <v>4</v>
      </c>
      <c r="AB394">
        <v>4</v>
      </c>
      <c r="AC394">
        <v>4</v>
      </c>
      <c r="AD394">
        <v>0</v>
      </c>
      <c r="AE394">
        <v>0</v>
      </c>
      <c r="AF394">
        <v>4</v>
      </c>
      <c r="AG394">
        <v>4</v>
      </c>
      <c r="AH394">
        <v>4</v>
      </c>
      <c r="AI394">
        <v>4</v>
      </c>
      <c r="AJ394">
        <v>4</v>
      </c>
      <c r="AK394">
        <v>4</v>
      </c>
      <c r="AL394">
        <v>3</v>
      </c>
      <c r="AM394">
        <v>3</v>
      </c>
      <c r="AN394">
        <v>4</v>
      </c>
      <c r="AO394">
        <v>4</v>
      </c>
      <c r="AQ394">
        <v>0</v>
      </c>
      <c r="AR394" t="s">
        <v>69</v>
      </c>
      <c r="AT394">
        <v>0</v>
      </c>
      <c r="AU394" t="s">
        <v>69</v>
      </c>
      <c r="AW394">
        <v>0</v>
      </c>
      <c r="AX394" t="s">
        <v>69</v>
      </c>
      <c r="AY394" t="s">
        <v>2135</v>
      </c>
      <c r="AZ394" t="s">
        <v>144</v>
      </c>
      <c r="BA394">
        <v>1</v>
      </c>
      <c r="BB394">
        <v>4</v>
      </c>
      <c r="BC394" t="s">
        <v>2362</v>
      </c>
      <c r="BD394" t="s">
        <v>112</v>
      </c>
      <c r="BE394" t="s">
        <v>442</v>
      </c>
      <c r="BF394" t="s">
        <v>79</v>
      </c>
      <c r="BG394" t="s">
        <v>2363</v>
      </c>
      <c r="BH394" t="s">
        <v>146</v>
      </c>
      <c r="BI394" t="s">
        <v>83</v>
      </c>
    </row>
    <row r="395" spans="1:61" x14ac:dyDescent="0.35">
      <c r="A395">
        <v>394</v>
      </c>
      <c r="B395">
        <v>45849.661249999997</v>
      </c>
      <c r="C395" t="s">
        <v>2364</v>
      </c>
      <c r="D395" t="s">
        <v>2365</v>
      </c>
      <c r="E395" t="s">
        <v>2366</v>
      </c>
      <c r="F395" t="s">
        <v>2367</v>
      </c>
      <c r="G395" t="s">
        <v>2368</v>
      </c>
      <c r="H395" t="s">
        <v>1679</v>
      </c>
      <c r="I395" t="s">
        <v>439</v>
      </c>
      <c r="J395" t="s">
        <v>2357</v>
      </c>
      <c r="K395" t="s">
        <v>2369</v>
      </c>
      <c r="L395" t="s">
        <v>69</v>
      </c>
      <c r="M395" t="s">
        <v>69</v>
      </c>
      <c r="N395" t="s">
        <v>69</v>
      </c>
      <c r="O395" t="s">
        <v>69</v>
      </c>
      <c r="P395" t="s">
        <v>106</v>
      </c>
      <c r="Q395" t="s">
        <v>1168</v>
      </c>
      <c r="R395" s="3" t="s">
        <v>1037</v>
      </c>
      <c r="S395">
        <v>51</v>
      </c>
      <c r="T395" t="s">
        <v>383</v>
      </c>
      <c r="U395" t="s">
        <v>1343</v>
      </c>
      <c r="V395" t="s">
        <v>110</v>
      </c>
      <c r="W395" t="s">
        <v>110</v>
      </c>
      <c r="X395">
        <v>4</v>
      </c>
      <c r="Y395">
        <v>4</v>
      </c>
      <c r="Z395">
        <v>4</v>
      </c>
      <c r="AA395">
        <v>4</v>
      </c>
      <c r="AB395">
        <v>4</v>
      </c>
      <c r="AC395">
        <v>4</v>
      </c>
      <c r="AD395">
        <v>0</v>
      </c>
      <c r="AE395">
        <v>0</v>
      </c>
      <c r="AF395">
        <v>4</v>
      </c>
      <c r="AG395">
        <v>4</v>
      </c>
      <c r="AH395">
        <v>4</v>
      </c>
      <c r="AI395">
        <v>4</v>
      </c>
      <c r="AJ395">
        <v>4</v>
      </c>
      <c r="AK395">
        <v>4</v>
      </c>
      <c r="AL395">
        <v>4</v>
      </c>
      <c r="AM395">
        <v>4</v>
      </c>
      <c r="AN395">
        <v>3</v>
      </c>
      <c r="AO395">
        <v>3</v>
      </c>
      <c r="AQ395">
        <v>0</v>
      </c>
      <c r="AR395" t="s">
        <v>69</v>
      </c>
      <c r="AT395">
        <v>0</v>
      </c>
      <c r="AU395" t="s">
        <v>69</v>
      </c>
      <c r="AW395">
        <v>0</v>
      </c>
      <c r="AX395" t="s">
        <v>69</v>
      </c>
      <c r="AY395" t="s">
        <v>2370</v>
      </c>
      <c r="AZ395" t="s">
        <v>186</v>
      </c>
      <c r="BA395">
        <v>1</v>
      </c>
      <c r="BB395">
        <v>4</v>
      </c>
      <c r="BC395" t="s">
        <v>442</v>
      </c>
      <c r="BD395" t="s">
        <v>79</v>
      </c>
      <c r="BE395" t="s">
        <v>442</v>
      </c>
      <c r="BF395" t="s">
        <v>79</v>
      </c>
      <c r="BG395" t="s">
        <v>2371</v>
      </c>
      <c r="BH395" t="s">
        <v>190</v>
      </c>
      <c r="BI395" t="s">
        <v>83</v>
      </c>
    </row>
    <row r="396" spans="1:61" x14ac:dyDescent="0.35">
      <c r="A396">
        <v>395</v>
      </c>
      <c r="B396">
        <v>45849.671666666669</v>
      </c>
      <c r="C396" t="s">
        <v>2372</v>
      </c>
      <c r="D396" t="s">
        <v>2373</v>
      </c>
      <c r="E396" t="s">
        <v>63</v>
      </c>
      <c r="F396" t="s">
        <v>125</v>
      </c>
      <c r="G396" t="s">
        <v>2374</v>
      </c>
      <c r="H396" t="s">
        <v>1679</v>
      </c>
      <c r="I396" t="s">
        <v>439</v>
      </c>
      <c r="J396" t="s">
        <v>2357</v>
      </c>
      <c r="K396" t="s">
        <v>2129</v>
      </c>
      <c r="L396" t="s">
        <v>69</v>
      </c>
      <c r="M396" t="s">
        <v>69</v>
      </c>
      <c r="N396" t="s">
        <v>69</v>
      </c>
      <c r="O396" t="s">
        <v>69</v>
      </c>
      <c r="P396" t="s">
        <v>70</v>
      </c>
      <c r="Q396" t="s">
        <v>1180</v>
      </c>
      <c r="R396" s="3" t="s">
        <v>404</v>
      </c>
      <c r="S396">
        <v>42</v>
      </c>
      <c r="T396" t="s">
        <v>197</v>
      </c>
      <c r="U396" t="s">
        <v>73</v>
      </c>
      <c r="V396" t="s">
        <v>110</v>
      </c>
      <c r="W396" t="s">
        <v>110</v>
      </c>
      <c r="X396">
        <v>4</v>
      </c>
      <c r="Y396">
        <v>3</v>
      </c>
      <c r="Z396">
        <v>3</v>
      </c>
      <c r="AA396">
        <v>3</v>
      </c>
      <c r="AB396">
        <v>4</v>
      </c>
      <c r="AC396">
        <v>4</v>
      </c>
      <c r="AD396">
        <v>3</v>
      </c>
      <c r="AE396">
        <v>3</v>
      </c>
      <c r="AF396">
        <v>4</v>
      </c>
      <c r="AG396">
        <v>4</v>
      </c>
      <c r="AH396">
        <v>4</v>
      </c>
      <c r="AI396">
        <v>4</v>
      </c>
      <c r="AJ396">
        <v>4</v>
      </c>
      <c r="AK396">
        <v>4</v>
      </c>
      <c r="AL396">
        <v>4</v>
      </c>
      <c r="AM396">
        <v>4</v>
      </c>
      <c r="AN396">
        <v>3</v>
      </c>
      <c r="AO396">
        <v>3</v>
      </c>
      <c r="AP396">
        <v>1</v>
      </c>
      <c r="AQ396">
        <v>4</v>
      </c>
      <c r="AR396" t="s">
        <v>75</v>
      </c>
      <c r="AT396">
        <v>0</v>
      </c>
      <c r="AU396" t="s">
        <v>69</v>
      </c>
      <c r="AW396">
        <v>0</v>
      </c>
      <c r="AX396" t="s">
        <v>69</v>
      </c>
      <c r="AY396" t="s">
        <v>83</v>
      </c>
      <c r="AZ396" t="s">
        <v>96</v>
      </c>
      <c r="BA396">
        <v>0</v>
      </c>
      <c r="BB396">
        <v>0</v>
      </c>
      <c r="BC396" t="s">
        <v>442</v>
      </c>
      <c r="BD396" t="s">
        <v>79</v>
      </c>
      <c r="BE396" t="s">
        <v>442</v>
      </c>
      <c r="BF396" t="s">
        <v>79</v>
      </c>
      <c r="BG396" t="s">
        <v>2375</v>
      </c>
      <c r="BH396" t="s">
        <v>190</v>
      </c>
      <c r="BI396" t="s">
        <v>83</v>
      </c>
    </row>
    <row r="397" spans="1:61" x14ac:dyDescent="0.35">
      <c r="A397">
        <v>396</v>
      </c>
      <c r="B397">
        <v>45849.679363425923</v>
      </c>
      <c r="C397" t="s">
        <v>2376</v>
      </c>
      <c r="D397" t="s">
        <v>2377</v>
      </c>
      <c r="E397" t="s">
        <v>63</v>
      </c>
      <c r="F397" t="s">
        <v>1372</v>
      </c>
      <c r="G397" t="s">
        <v>2378</v>
      </c>
      <c r="H397" t="s">
        <v>1679</v>
      </c>
      <c r="I397" t="s">
        <v>439</v>
      </c>
      <c r="J397" t="s">
        <v>2379</v>
      </c>
      <c r="K397" t="s">
        <v>2380</v>
      </c>
      <c r="L397" t="s">
        <v>69</v>
      </c>
      <c r="M397" t="s">
        <v>69</v>
      </c>
      <c r="N397" t="s">
        <v>69</v>
      </c>
      <c r="O397" t="s">
        <v>69</v>
      </c>
      <c r="P397" t="s">
        <v>106</v>
      </c>
      <c r="Q397" t="s">
        <v>1180</v>
      </c>
      <c r="R397" s="3" t="s">
        <v>538</v>
      </c>
      <c r="S397">
        <v>41</v>
      </c>
      <c r="T397" t="s">
        <v>197</v>
      </c>
      <c r="U397" t="s">
        <v>73</v>
      </c>
      <c r="V397" t="s">
        <v>110</v>
      </c>
      <c r="W397" t="s">
        <v>110</v>
      </c>
      <c r="X397">
        <v>4</v>
      </c>
      <c r="Y397">
        <v>4</v>
      </c>
      <c r="Z397">
        <v>4</v>
      </c>
      <c r="AA397">
        <v>4</v>
      </c>
      <c r="AB397">
        <v>4</v>
      </c>
      <c r="AC397">
        <v>4</v>
      </c>
      <c r="AD397">
        <v>4</v>
      </c>
      <c r="AE397">
        <v>4</v>
      </c>
      <c r="AF397">
        <v>4</v>
      </c>
      <c r="AG397">
        <v>4</v>
      </c>
      <c r="AH397">
        <v>4</v>
      </c>
      <c r="AI397">
        <v>4</v>
      </c>
      <c r="AJ397">
        <v>4</v>
      </c>
      <c r="AK397">
        <v>4</v>
      </c>
      <c r="AL397">
        <v>4</v>
      </c>
      <c r="AM397">
        <v>4</v>
      </c>
      <c r="AN397">
        <v>4</v>
      </c>
      <c r="AO397">
        <v>4</v>
      </c>
      <c r="AQ397">
        <v>0</v>
      </c>
      <c r="AR397" t="s">
        <v>69</v>
      </c>
      <c r="AT397">
        <v>0</v>
      </c>
      <c r="AU397" t="s">
        <v>69</v>
      </c>
      <c r="AW397">
        <v>0</v>
      </c>
      <c r="AX397" t="s">
        <v>69</v>
      </c>
      <c r="AY397" t="s">
        <v>2381</v>
      </c>
      <c r="AZ397" t="s">
        <v>186</v>
      </c>
      <c r="BA397">
        <v>1</v>
      </c>
      <c r="BB397">
        <v>4</v>
      </c>
      <c r="BC397" t="s">
        <v>2382</v>
      </c>
      <c r="BD397" t="s">
        <v>79</v>
      </c>
      <c r="BE397" t="s">
        <v>442</v>
      </c>
      <c r="BF397" t="s">
        <v>79</v>
      </c>
      <c r="BG397" t="s">
        <v>442</v>
      </c>
      <c r="BH397" t="s">
        <v>79</v>
      </c>
      <c r="BI397" t="s">
        <v>83</v>
      </c>
    </row>
    <row r="398" spans="1:61" x14ac:dyDescent="0.35">
      <c r="A398">
        <v>397</v>
      </c>
      <c r="B398">
        <v>45849.682233796295</v>
      </c>
      <c r="C398" t="s">
        <v>2383</v>
      </c>
      <c r="D398" t="s">
        <v>2384</v>
      </c>
      <c r="E398" t="s">
        <v>63</v>
      </c>
      <c r="F398" t="s">
        <v>179</v>
      </c>
      <c r="G398" t="s">
        <v>2385</v>
      </c>
      <c r="H398" t="s">
        <v>1679</v>
      </c>
      <c r="I398" t="s">
        <v>439</v>
      </c>
      <c r="J398" t="s">
        <v>2357</v>
      </c>
      <c r="K398" t="s">
        <v>1584</v>
      </c>
      <c r="L398" t="s">
        <v>69</v>
      </c>
      <c r="M398" t="s">
        <v>69</v>
      </c>
      <c r="N398" t="s">
        <v>69</v>
      </c>
      <c r="O398" t="s">
        <v>69</v>
      </c>
      <c r="P398" t="s">
        <v>106</v>
      </c>
      <c r="Q398" t="s">
        <v>1180</v>
      </c>
      <c r="R398" s="3" t="s">
        <v>551</v>
      </c>
      <c r="S398">
        <v>34</v>
      </c>
      <c r="T398" t="s">
        <v>109</v>
      </c>
      <c r="U398" t="s">
        <v>93</v>
      </c>
      <c r="V398" t="s">
        <v>110</v>
      </c>
      <c r="W398" t="s">
        <v>110</v>
      </c>
      <c r="X398">
        <v>3</v>
      </c>
      <c r="Y398">
        <v>3</v>
      </c>
      <c r="Z398">
        <v>3</v>
      </c>
      <c r="AA398">
        <v>3</v>
      </c>
      <c r="AB398">
        <v>3</v>
      </c>
      <c r="AC398">
        <v>3</v>
      </c>
      <c r="AD398">
        <v>3</v>
      </c>
      <c r="AE398">
        <v>3</v>
      </c>
      <c r="AF398">
        <v>4</v>
      </c>
      <c r="AG398">
        <v>4</v>
      </c>
      <c r="AH398">
        <v>4</v>
      </c>
      <c r="AI398">
        <v>4</v>
      </c>
      <c r="AJ398">
        <v>4</v>
      </c>
      <c r="AK398">
        <v>4</v>
      </c>
      <c r="AL398">
        <v>4</v>
      </c>
      <c r="AM398">
        <v>4</v>
      </c>
      <c r="AN398">
        <v>4</v>
      </c>
      <c r="AO398">
        <v>4</v>
      </c>
      <c r="AQ398">
        <v>0</v>
      </c>
      <c r="AR398" t="s">
        <v>75</v>
      </c>
      <c r="AT398">
        <v>0</v>
      </c>
      <c r="AU398" t="s">
        <v>69</v>
      </c>
      <c r="AV398">
        <v>1</v>
      </c>
      <c r="AW398">
        <v>4</v>
      </c>
      <c r="AX398" t="s">
        <v>69</v>
      </c>
      <c r="AY398" t="s">
        <v>83</v>
      </c>
      <c r="AZ398" t="s">
        <v>96</v>
      </c>
      <c r="BA398">
        <v>0</v>
      </c>
      <c r="BB398">
        <v>0</v>
      </c>
      <c r="BC398" t="s">
        <v>442</v>
      </c>
      <c r="BD398" t="s">
        <v>79</v>
      </c>
      <c r="BE398" t="s">
        <v>442</v>
      </c>
      <c r="BF398" t="s">
        <v>79</v>
      </c>
      <c r="BG398" t="s">
        <v>442</v>
      </c>
      <c r="BH398" t="s">
        <v>79</v>
      </c>
    </row>
    <row r="399" spans="1:61" x14ac:dyDescent="0.35">
      <c r="A399">
        <v>398</v>
      </c>
      <c r="B399">
        <v>45849.6953125</v>
      </c>
      <c r="C399" t="s">
        <v>2386</v>
      </c>
      <c r="D399" t="s">
        <v>2387</v>
      </c>
      <c r="E399" t="s">
        <v>352</v>
      </c>
      <c r="F399" t="s">
        <v>1409</v>
      </c>
      <c r="G399" t="s">
        <v>2388</v>
      </c>
      <c r="H399" t="s">
        <v>138</v>
      </c>
      <c r="I399" t="s">
        <v>2065</v>
      </c>
      <c r="J399" t="s">
        <v>2389</v>
      </c>
      <c r="K399" t="s">
        <v>2390</v>
      </c>
      <c r="L399" t="s">
        <v>69</v>
      </c>
      <c r="M399" t="s">
        <v>69</v>
      </c>
      <c r="N399" t="s">
        <v>69</v>
      </c>
      <c r="O399" t="s">
        <v>69</v>
      </c>
      <c r="P399" t="s">
        <v>106</v>
      </c>
      <c r="Q399" t="s">
        <v>1168</v>
      </c>
      <c r="R399" s="3">
        <v>33</v>
      </c>
      <c r="S399">
        <v>33</v>
      </c>
      <c r="T399" t="s">
        <v>109</v>
      </c>
      <c r="U399" t="s">
        <v>73</v>
      </c>
      <c r="V399" t="s">
        <v>110</v>
      </c>
      <c r="W399" t="s">
        <v>110</v>
      </c>
      <c r="X399">
        <v>4</v>
      </c>
      <c r="Y399">
        <v>3</v>
      </c>
      <c r="Z399">
        <v>3</v>
      </c>
      <c r="AA399">
        <v>4</v>
      </c>
      <c r="AB399">
        <v>2</v>
      </c>
      <c r="AC399">
        <v>3</v>
      </c>
      <c r="AD399">
        <v>0</v>
      </c>
      <c r="AE399">
        <v>0</v>
      </c>
      <c r="AF399">
        <v>3</v>
      </c>
      <c r="AG399">
        <v>3</v>
      </c>
      <c r="AH399">
        <v>3</v>
      </c>
      <c r="AI399">
        <v>4</v>
      </c>
      <c r="AJ399">
        <v>4</v>
      </c>
      <c r="AK399">
        <v>4</v>
      </c>
      <c r="AL399">
        <v>3</v>
      </c>
      <c r="AM399">
        <v>3</v>
      </c>
      <c r="AN399">
        <v>4</v>
      </c>
      <c r="AO399">
        <v>4</v>
      </c>
      <c r="AP399">
        <v>1</v>
      </c>
      <c r="AQ399">
        <v>4</v>
      </c>
      <c r="AR399" t="s">
        <v>69</v>
      </c>
      <c r="AT399">
        <v>0</v>
      </c>
      <c r="AU399" t="s">
        <v>69</v>
      </c>
      <c r="AW399">
        <v>0</v>
      </c>
      <c r="AX399" t="s">
        <v>69</v>
      </c>
      <c r="AY399" t="s">
        <v>83</v>
      </c>
      <c r="AZ399" t="s">
        <v>96</v>
      </c>
      <c r="BA399">
        <v>0</v>
      </c>
      <c r="BB399">
        <v>0</v>
      </c>
      <c r="BC399" t="s">
        <v>2069</v>
      </c>
      <c r="BD399" t="s">
        <v>99</v>
      </c>
      <c r="BE399" t="s">
        <v>2391</v>
      </c>
      <c r="BF399" t="s">
        <v>157</v>
      </c>
      <c r="BG399" t="s">
        <v>2069</v>
      </c>
      <c r="BH399" t="s">
        <v>99</v>
      </c>
    </row>
    <row r="400" spans="1:61" x14ac:dyDescent="0.35">
      <c r="A400">
        <v>399</v>
      </c>
      <c r="B400">
        <v>45849.698391203703</v>
      </c>
      <c r="C400" t="s">
        <v>2392</v>
      </c>
      <c r="D400" t="s">
        <v>2393</v>
      </c>
      <c r="E400" t="s">
        <v>63</v>
      </c>
      <c r="F400" t="s">
        <v>63</v>
      </c>
      <c r="G400" t="s">
        <v>2394</v>
      </c>
      <c r="H400" t="s">
        <v>138</v>
      </c>
      <c r="I400" t="s">
        <v>2065</v>
      </c>
      <c r="J400" t="s">
        <v>2389</v>
      </c>
      <c r="K400" t="s">
        <v>2395</v>
      </c>
      <c r="L400" t="s">
        <v>69</v>
      </c>
      <c r="M400" t="s">
        <v>69</v>
      </c>
      <c r="N400" t="s">
        <v>69</v>
      </c>
      <c r="O400" t="s">
        <v>69</v>
      </c>
      <c r="P400" t="s">
        <v>106</v>
      </c>
      <c r="Q400" t="s">
        <v>1180</v>
      </c>
      <c r="R400" s="3">
        <v>23</v>
      </c>
      <c r="S400">
        <v>23</v>
      </c>
      <c r="T400" t="s">
        <v>72</v>
      </c>
      <c r="U400" t="s">
        <v>73</v>
      </c>
      <c r="V400" t="s">
        <v>74</v>
      </c>
      <c r="W400" t="s">
        <v>74</v>
      </c>
      <c r="X400">
        <v>3</v>
      </c>
      <c r="Y400">
        <v>4</v>
      </c>
      <c r="Z400">
        <v>4</v>
      </c>
      <c r="AA400">
        <v>4</v>
      </c>
      <c r="AB400">
        <v>4</v>
      </c>
      <c r="AC400">
        <v>4</v>
      </c>
      <c r="AD400">
        <v>0</v>
      </c>
      <c r="AE400">
        <v>0</v>
      </c>
      <c r="AF400">
        <v>3</v>
      </c>
      <c r="AG400">
        <v>3</v>
      </c>
      <c r="AH400">
        <v>4</v>
      </c>
      <c r="AI400">
        <v>4</v>
      </c>
      <c r="AJ400">
        <v>4</v>
      </c>
      <c r="AK400">
        <v>4</v>
      </c>
      <c r="AL400">
        <v>4</v>
      </c>
      <c r="AM400">
        <v>4</v>
      </c>
      <c r="AN400">
        <v>4</v>
      </c>
      <c r="AO400">
        <v>4</v>
      </c>
      <c r="AQ400">
        <v>0</v>
      </c>
      <c r="AR400" t="s">
        <v>69</v>
      </c>
      <c r="AT400">
        <v>0</v>
      </c>
      <c r="AU400" t="s">
        <v>69</v>
      </c>
      <c r="AV400">
        <v>1</v>
      </c>
      <c r="AW400">
        <v>4</v>
      </c>
      <c r="AX400" t="s">
        <v>69</v>
      </c>
      <c r="AY400" t="s">
        <v>83</v>
      </c>
      <c r="AZ400" t="s">
        <v>96</v>
      </c>
      <c r="BA400">
        <v>0</v>
      </c>
      <c r="BB400">
        <v>0</v>
      </c>
      <c r="BC400" t="s">
        <v>2069</v>
      </c>
      <c r="BD400" t="s">
        <v>99</v>
      </c>
      <c r="BE400" t="s">
        <v>2069</v>
      </c>
      <c r="BF400" t="s">
        <v>99</v>
      </c>
      <c r="BG400" t="s">
        <v>2069</v>
      </c>
      <c r="BH400" t="s">
        <v>99</v>
      </c>
    </row>
    <row r="401" spans="1:60" x14ac:dyDescent="0.35">
      <c r="A401">
        <v>400</v>
      </c>
      <c r="B401">
        <v>45849.795416666668</v>
      </c>
      <c r="C401" t="s">
        <v>2396</v>
      </c>
      <c r="D401" t="s">
        <v>2397</v>
      </c>
      <c r="E401" t="s">
        <v>63</v>
      </c>
      <c r="F401" t="s">
        <v>63</v>
      </c>
      <c r="G401" t="s">
        <v>2398</v>
      </c>
      <c r="H401" t="s">
        <v>65</v>
      </c>
      <c r="I401" t="s">
        <v>66</v>
      </c>
      <c r="J401" t="s">
        <v>2357</v>
      </c>
      <c r="K401" t="s">
        <v>2399</v>
      </c>
      <c r="L401" t="s">
        <v>69</v>
      </c>
      <c r="M401" t="s">
        <v>69</v>
      </c>
      <c r="N401" t="s">
        <v>69</v>
      </c>
      <c r="O401" t="s">
        <v>69</v>
      </c>
      <c r="P401" t="s">
        <v>106</v>
      </c>
      <c r="Q401" t="s">
        <v>1180</v>
      </c>
      <c r="R401" s="3" t="s">
        <v>546</v>
      </c>
      <c r="S401">
        <v>31</v>
      </c>
      <c r="T401" t="s">
        <v>109</v>
      </c>
      <c r="U401" t="s">
        <v>73</v>
      </c>
      <c r="V401" t="s">
        <v>74</v>
      </c>
      <c r="W401" t="s">
        <v>74</v>
      </c>
      <c r="X401">
        <v>4</v>
      </c>
      <c r="Y401">
        <v>4</v>
      </c>
      <c r="Z401">
        <v>4</v>
      </c>
      <c r="AA401">
        <v>4</v>
      </c>
      <c r="AB401">
        <v>4</v>
      </c>
      <c r="AC401">
        <v>4</v>
      </c>
      <c r="AD401">
        <v>0</v>
      </c>
      <c r="AE401">
        <v>0</v>
      </c>
      <c r="AF401">
        <v>4</v>
      </c>
      <c r="AG401">
        <v>4</v>
      </c>
      <c r="AH401">
        <v>4</v>
      </c>
      <c r="AI401">
        <v>4</v>
      </c>
      <c r="AJ401">
        <v>4</v>
      </c>
      <c r="AK401">
        <v>4</v>
      </c>
      <c r="AL401">
        <v>4</v>
      </c>
      <c r="AM401">
        <v>4</v>
      </c>
      <c r="AN401">
        <v>4</v>
      </c>
      <c r="AO401">
        <v>4</v>
      </c>
      <c r="AQ401">
        <v>0</v>
      </c>
      <c r="AR401" t="s">
        <v>69</v>
      </c>
      <c r="AT401">
        <v>0</v>
      </c>
      <c r="AU401" t="s">
        <v>69</v>
      </c>
      <c r="AW401">
        <v>0</v>
      </c>
      <c r="AX401" t="s">
        <v>69</v>
      </c>
      <c r="AY401" t="s">
        <v>144</v>
      </c>
      <c r="AZ401" t="s">
        <v>144</v>
      </c>
      <c r="BA401">
        <v>1</v>
      </c>
      <c r="BB401">
        <v>4</v>
      </c>
      <c r="BC401" t="s">
        <v>2400</v>
      </c>
      <c r="BD401" t="s">
        <v>112</v>
      </c>
      <c r="BE401" t="s">
        <v>2401</v>
      </c>
      <c r="BF401" t="s">
        <v>112</v>
      </c>
      <c r="BG401" t="s">
        <v>442</v>
      </c>
      <c r="BH401" t="s">
        <v>79</v>
      </c>
    </row>
    <row r="402" spans="1:60" x14ac:dyDescent="0.35">
      <c r="A402">
        <v>401</v>
      </c>
      <c r="B402">
        <v>45850.722858796296</v>
      </c>
      <c r="C402" t="s">
        <v>2402</v>
      </c>
      <c r="D402" t="s">
        <v>2403</v>
      </c>
      <c r="E402" t="s">
        <v>63</v>
      </c>
      <c r="F402" t="s">
        <v>240</v>
      </c>
      <c r="G402" t="s">
        <v>2404</v>
      </c>
      <c r="H402" t="s">
        <v>138</v>
      </c>
      <c r="I402" t="s">
        <v>2065</v>
      </c>
      <c r="J402" t="s">
        <v>2405</v>
      </c>
      <c r="K402" t="s">
        <v>2406</v>
      </c>
      <c r="L402" t="s">
        <v>69</v>
      </c>
      <c r="M402" t="s">
        <v>69</v>
      </c>
      <c r="N402" t="s">
        <v>69</v>
      </c>
      <c r="O402" t="s">
        <v>69</v>
      </c>
      <c r="P402" t="s">
        <v>106</v>
      </c>
      <c r="Q402" t="s">
        <v>1180</v>
      </c>
      <c r="R402" s="3">
        <v>38</v>
      </c>
      <c r="S402">
        <v>38</v>
      </c>
      <c r="T402" t="s">
        <v>153</v>
      </c>
      <c r="U402" t="s">
        <v>73</v>
      </c>
      <c r="V402" t="s">
        <v>74</v>
      </c>
      <c r="W402" t="s">
        <v>74</v>
      </c>
      <c r="X402">
        <v>4</v>
      </c>
      <c r="Y402">
        <v>4</v>
      </c>
      <c r="Z402">
        <v>4</v>
      </c>
      <c r="AA402">
        <v>4</v>
      </c>
      <c r="AB402">
        <v>4</v>
      </c>
      <c r="AC402">
        <v>4</v>
      </c>
      <c r="AD402">
        <v>0</v>
      </c>
      <c r="AE402">
        <v>0</v>
      </c>
      <c r="AF402">
        <v>4</v>
      </c>
      <c r="AG402">
        <v>4</v>
      </c>
      <c r="AH402">
        <v>4</v>
      </c>
      <c r="AI402">
        <v>4</v>
      </c>
      <c r="AJ402">
        <v>4</v>
      </c>
      <c r="AK402">
        <v>4</v>
      </c>
      <c r="AL402">
        <v>4</v>
      </c>
      <c r="AM402">
        <v>4</v>
      </c>
      <c r="AN402">
        <v>4</v>
      </c>
      <c r="AO402">
        <v>4</v>
      </c>
      <c r="AP402">
        <v>1</v>
      </c>
      <c r="AQ402">
        <v>4</v>
      </c>
      <c r="AR402" t="s">
        <v>69</v>
      </c>
      <c r="AT402">
        <v>0</v>
      </c>
      <c r="AU402" t="s">
        <v>75</v>
      </c>
      <c r="AW402">
        <v>0</v>
      </c>
      <c r="AX402" t="s">
        <v>69</v>
      </c>
      <c r="AY402" t="s">
        <v>83</v>
      </c>
      <c r="AZ402" t="s">
        <v>96</v>
      </c>
      <c r="BA402">
        <v>0</v>
      </c>
      <c r="BB402">
        <v>0</v>
      </c>
      <c r="BC402" t="s">
        <v>2069</v>
      </c>
      <c r="BD402" t="s">
        <v>99</v>
      </c>
      <c r="BE402" t="s">
        <v>2069</v>
      </c>
      <c r="BF402" t="s">
        <v>99</v>
      </c>
      <c r="BG402" t="s">
        <v>2069</v>
      </c>
      <c r="BH402"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2AED-0ED6-4C1D-8A60-C21E63FD6182}">
  <dimension ref="A1:BF402"/>
  <sheetViews>
    <sheetView topLeftCell="AV1" zoomScale="85" workbookViewId="0">
      <selection activeCell="BC3" sqref="BC3"/>
    </sheetView>
  </sheetViews>
  <sheetFormatPr defaultRowHeight="14.5" x14ac:dyDescent="0.35"/>
  <cols>
    <col min="2" max="2" width="17.54296875" customWidth="1"/>
    <col min="3" max="3" width="11.90625" customWidth="1"/>
    <col min="4" max="4" width="12.26953125" customWidth="1"/>
    <col min="5" max="8" width="46.7265625" customWidth="1"/>
    <col min="9" max="9" width="14.26953125" customWidth="1"/>
    <col min="10" max="10" width="46.7265625" customWidth="1"/>
    <col min="12" max="12" width="13" customWidth="1"/>
    <col min="13" max="13" width="19.90625" customWidth="1"/>
    <col min="14" max="14" width="17.26953125" customWidth="1"/>
    <col min="15" max="15" width="33" customWidth="1"/>
    <col min="16" max="17" width="35.26953125" customWidth="1"/>
    <col min="18" max="18" width="30.54296875" customWidth="1"/>
    <col min="19" max="20" width="32.81640625" customWidth="1"/>
    <col min="21" max="22" width="46.7265625" customWidth="1"/>
    <col min="23" max="23" width="32.81640625" customWidth="1"/>
    <col min="24" max="24" width="34.7265625" customWidth="1"/>
    <col min="25" max="26" width="46.7265625" customWidth="1"/>
    <col min="27" max="27" width="42.08984375" customWidth="1"/>
    <col min="28" max="28" width="44.36328125" customWidth="1"/>
    <col min="29" max="29" width="45.08984375" customWidth="1"/>
    <col min="30" max="30" width="41.26953125" customWidth="1"/>
    <col min="31" max="34" width="46.7265625" customWidth="1"/>
    <col min="35" max="35" width="20.90625" customWidth="1"/>
    <col min="36" max="36" width="19.453125" customWidth="1"/>
    <col min="37" max="37" width="17.1796875" customWidth="1"/>
    <col min="38" max="38" width="30.1796875" customWidth="1"/>
    <col min="39" max="39" width="17.26953125" customWidth="1"/>
    <col min="40" max="40" width="30.26953125" customWidth="1"/>
    <col min="41" max="41" width="9.36328125" customWidth="1"/>
    <col min="42" max="42" width="15.453125" customWidth="1"/>
    <col min="43" max="43" width="11.81640625" customWidth="1"/>
    <col min="44" max="44" width="16.90625" customWidth="1"/>
    <col min="45" max="45" width="46.7265625" customWidth="1"/>
    <col min="46" max="46" width="14.6328125" customWidth="1"/>
    <col min="47" max="47" width="46.7265625" customWidth="1"/>
    <col min="48" max="48" width="15.453125" customWidth="1"/>
    <col min="49" max="49" width="45.7265625" customWidth="1"/>
    <col min="50" max="50" width="24" customWidth="1"/>
    <col min="51" max="51" width="17.90625" customWidth="1"/>
  </cols>
  <sheetData>
    <row r="1" spans="1:58" x14ac:dyDescent="0.35">
      <c r="A1" s="6" t="s">
        <v>0</v>
      </c>
      <c r="B1" s="7" t="s">
        <v>2</v>
      </c>
      <c r="C1" s="7" t="s">
        <v>4</v>
      </c>
      <c r="D1" s="7" t="s">
        <v>5</v>
      </c>
      <c r="E1" s="7" t="s">
        <v>11</v>
      </c>
      <c r="F1" s="7" t="s">
        <v>12</v>
      </c>
      <c r="G1" s="7" t="s">
        <v>13</v>
      </c>
      <c r="H1" s="7" t="s">
        <v>14</v>
      </c>
      <c r="I1" s="7" t="s">
        <v>2542</v>
      </c>
      <c r="J1" s="7" t="s">
        <v>16</v>
      </c>
      <c r="K1" s="7" t="s">
        <v>2543</v>
      </c>
      <c r="L1" s="7" t="s">
        <v>18</v>
      </c>
      <c r="M1" s="7" t="s">
        <v>2544</v>
      </c>
      <c r="N1" s="7" t="s">
        <v>2547</v>
      </c>
      <c r="O1" s="7" t="s">
        <v>2407</v>
      </c>
      <c r="P1" s="7" t="s">
        <v>2408</v>
      </c>
      <c r="Q1" s="7" t="s">
        <v>2599</v>
      </c>
      <c r="R1" s="7" t="s">
        <v>2410</v>
      </c>
      <c r="S1" s="7" t="s">
        <v>2411</v>
      </c>
      <c r="T1" s="7" t="s">
        <v>2600</v>
      </c>
      <c r="U1" s="7" t="s">
        <v>2413</v>
      </c>
      <c r="V1" s="7" t="s">
        <v>2414</v>
      </c>
      <c r="W1" s="7" t="s">
        <v>2601</v>
      </c>
      <c r="X1" s="7" t="s">
        <v>2416</v>
      </c>
      <c r="Y1" s="7" t="s">
        <v>2417</v>
      </c>
      <c r="Z1" s="7" t="s">
        <v>2602</v>
      </c>
      <c r="AA1" s="7" t="s">
        <v>2419</v>
      </c>
      <c r="AB1" s="7" t="s">
        <v>2420</v>
      </c>
      <c r="AC1" s="7" t="s">
        <v>2603</v>
      </c>
      <c r="AD1" s="7" t="s">
        <v>2422</v>
      </c>
      <c r="AE1" s="7" t="s">
        <v>2423</v>
      </c>
      <c r="AF1" s="7" t="s">
        <v>2616</v>
      </c>
      <c r="AG1" s="7" t="s">
        <v>2425</v>
      </c>
      <c r="AH1" s="7" t="s">
        <v>2426</v>
      </c>
      <c r="AI1" s="7" t="s">
        <v>2604</v>
      </c>
      <c r="AJ1" s="7" t="s">
        <v>2428</v>
      </c>
      <c r="AK1" s="7" t="s">
        <v>2429</v>
      </c>
      <c r="AL1" s="7" t="s">
        <v>2605</v>
      </c>
      <c r="AM1" s="7" t="s">
        <v>2431</v>
      </c>
      <c r="AN1" s="7" t="s">
        <v>2432</v>
      </c>
      <c r="AO1" s="7" t="s">
        <v>2607</v>
      </c>
      <c r="AP1" s="7" t="s">
        <v>2606</v>
      </c>
      <c r="AQ1" s="7" t="s">
        <v>43</v>
      </c>
      <c r="AR1" s="7" t="s">
        <v>2546</v>
      </c>
      <c r="AS1" s="7" t="s">
        <v>46</v>
      </c>
      <c r="AT1" s="7" t="s">
        <v>48</v>
      </c>
      <c r="AU1" s="7" t="s">
        <v>49</v>
      </c>
      <c r="AV1" s="7" t="s">
        <v>50</v>
      </c>
      <c r="AW1" s="7" t="s">
        <v>51</v>
      </c>
      <c r="AX1" s="7" t="s">
        <v>52</v>
      </c>
      <c r="AY1" s="7" t="s">
        <v>53</v>
      </c>
      <c r="AZ1" s="7" t="s">
        <v>54</v>
      </c>
      <c r="BA1" s="7" t="s">
        <v>55</v>
      </c>
      <c r="BB1" s="7" t="s">
        <v>56</v>
      </c>
      <c r="BC1" s="7" t="s">
        <v>57</v>
      </c>
      <c r="BD1" s="7" t="s">
        <v>58</v>
      </c>
      <c r="BE1" s="7" t="s">
        <v>59</v>
      </c>
      <c r="BF1" s="8" t="s">
        <v>60</v>
      </c>
    </row>
    <row r="2" spans="1:58" x14ac:dyDescent="0.35">
      <c r="A2" s="4">
        <v>1</v>
      </c>
      <c r="B2" s="1" t="s">
        <v>61</v>
      </c>
      <c r="C2" s="1" t="s">
        <v>63</v>
      </c>
      <c r="D2" s="1" t="s">
        <v>63</v>
      </c>
      <c r="E2" s="1" t="s">
        <v>69</v>
      </c>
      <c r="F2" s="1" t="s">
        <v>69</v>
      </c>
      <c r="G2" s="1" t="s">
        <v>69</v>
      </c>
      <c r="H2" s="1" t="s">
        <v>69</v>
      </c>
      <c r="I2" s="1" t="s">
        <v>70</v>
      </c>
      <c r="J2" s="1" t="s">
        <v>71</v>
      </c>
      <c r="K2" s="1">
        <v>23</v>
      </c>
      <c r="L2" s="1" t="s">
        <v>72</v>
      </c>
      <c r="M2" s="1" t="s">
        <v>73</v>
      </c>
      <c r="N2" s="1" t="s">
        <v>74</v>
      </c>
      <c r="O2" s="1">
        <v>3</v>
      </c>
      <c r="P2" s="1">
        <v>3</v>
      </c>
      <c r="Q2" s="1">
        <f>data[[#This Row],[Nilai Kepentingan Dimensi Persyaratan]]-data[[#This Row],[Nilai Kepuasan Dimensi Persyaratan]]</f>
        <v>0</v>
      </c>
      <c r="R2" s="1">
        <v>3</v>
      </c>
      <c r="S2" s="1">
        <v>3</v>
      </c>
      <c r="T2" s="1">
        <f>data[[#This Row],[Nilai Kepentingan Dimensi Prosedur]]-data[[#This Row],[Nilai Kepuasan Dimensi Prosedur]]</f>
        <v>0</v>
      </c>
      <c r="U2" s="1">
        <v>3</v>
      </c>
      <c r="V2" s="1">
        <v>3</v>
      </c>
      <c r="W2" s="1">
        <f>data[[#This Row],[Nilai Kepentingan Dimensi Waktu Pelayanan/Penyelesaian]]-data[[#This Row],[Nilai Kepuasan Dimensi Waktu Pelayanan/Penyelesaian]]</f>
        <v>0</v>
      </c>
      <c r="X2" s="1">
        <v>4</v>
      </c>
      <c r="Y2" s="1">
        <v>4</v>
      </c>
      <c r="Z2" s="1">
        <f>data[[#This Row],[Nilai Kepentingan Dimensi Tarif/ Biaya]]-data[[#This Row],[Nilai Kepuasan Dimensi Tarif / Biaya]]</f>
        <v>0</v>
      </c>
      <c r="AA2" s="1">
        <v>3</v>
      </c>
      <c r="AB2" s="1">
        <v>4</v>
      </c>
      <c r="AC2" s="1">
        <f>data[[#This Row],[Nilai Kepentingan Dimensi Produk Spesifikasi Jenis Layanan]]-data[[#This Row],[Nilai Kepuasan Dimensi Produk Spesifikasi Jenis Layanan]]</f>
        <v>1</v>
      </c>
      <c r="AD2" s="1">
        <v>4</v>
      </c>
      <c r="AE2" s="1">
        <v>4</v>
      </c>
      <c r="AF2" s="1">
        <f>data[[#This Row],[Nilai Kepentingan Dimensi Kompetensi Pelaksana]]-data[[#This Row],[Nilai Kepuasan Dimensi Kompetensi Pelaksana]]</f>
        <v>0</v>
      </c>
      <c r="AG2" s="1">
        <v>4</v>
      </c>
      <c r="AH2" s="1">
        <v>4</v>
      </c>
      <c r="AI2" s="1">
        <f>data[[#This Row],[Nilai Kepentingan Dimensi Perilaku Pelaksana]]-data[[#This Row],[Nilai Kepuasan Dimensi Perilaku Pelaksana]]</f>
        <v>0</v>
      </c>
      <c r="AJ2" s="1">
        <v>3</v>
      </c>
      <c r="AK2" s="1">
        <v>3</v>
      </c>
      <c r="AL2" s="1">
        <f>data[[#This Row],[Nilai Kepentingan Dimensi Penanganan Pengaduan, Saran &amp; Masukan]]-data[[#This Row],[Nilai Kepuasan Dimensi Penanganan Pengaduan, Saran &amp; Masukan]]</f>
        <v>0</v>
      </c>
      <c r="AM2" s="1">
        <v>3</v>
      </c>
      <c r="AN2" s="1">
        <v>3</v>
      </c>
      <c r="AO2" s="1">
        <f>data[[#This Row],[Nilai Kepentingan Dimensi Kualitas Sarana dan Prasarana]]-data[[#This Row],[Nilai Kepuasan Dimensi Kualitas Sarana dan Prasarana]]</f>
        <v>0</v>
      </c>
      <c r="AP2" s="1">
        <v>3</v>
      </c>
      <c r="AQ2" s="1" t="s">
        <v>75</v>
      </c>
      <c r="AR2" s="1">
        <v>2</v>
      </c>
      <c r="AS2" s="1" t="s">
        <v>75</v>
      </c>
      <c r="AT2" s="1">
        <v>2</v>
      </c>
      <c r="AU2" s="1" t="s">
        <v>75</v>
      </c>
      <c r="AV2" s="1" t="s">
        <v>76</v>
      </c>
      <c r="AW2" s="1" t="s">
        <v>77</v>
      </c>
      <c r="AX2" s="1">
        <v>2</v>
      </c>
      <c r="AY2" s="1">
        <v>3</v>
      </c>
      <c r="AZ2" s="1" t="s">
        <v>78</v>
      </c>
      <c r="BA2" s="1" t="s">
        <v>79</v>
      </c>
      <c r="BB2" s="1" t="s">
        <v>80</v>
      </c>
      <c r="BC2" s="1" t="s">
        <v>81</v>
      </c>
      <c r="BD2" s="1" t="s">
        <v>82</v>
      </c>
      <c r="BE2" s="1" t="s">
        <v>79</v>
      </c>
      <c r="BF2" s="5" t="s">
        <v>83</v>
      </c>
    </row>
    <row r="3" spans="1:58" x14ac:dyDescent="0.35">
      <c r="A3" s="4">
        <v>2</v>
      </c>
      <c r="B3" s="1" t="s">
        <v>84</v>
      </c>
      <c r="C3" s="1" t="s">
        <v>63</v>
      </c>
      <c r="D3" s="1" t="s">
        <v>86</v>
      </c>
      <c r="E3" s="1" t="s">
        <v>69</v>
      </c>
      <c r="F3" s="1" t="s">
        <v>69</v>
      </c>
      <c r="G3" s="1" t="s">
        <v>69</v>
      </c>
      <c r="H3" s="1" t="s">
        <v>69</v>
      </c>
      <c r="I3" s="1" t="s">
        <v>70</v>
      </c>
      <c r="J3" s="1" t="s">
        <v>71</v>
      </c>
      <c r="K3" s="1">
        <v>27</v>
      </c>
      <c r="L3" s="1" t="s">
        <v>92</v>
      </c>
      <c r="M3" s="1" t="s">
        <v>93</v>
      </c>
      <c r="N3" s="1" t="s">
        <v>95</v>
      </c>
      <c r="O3" s="1">
        <v>3</v>
      </c>
      <c r="P3" s="1">
        <v>3</v>
      </c>
      <c r="Q3" s="1">
        <f>data[[#This Row],[Nilai Kepentingan Dimensi Persyaratan]]-data[[#This Row],[Nilai Kepuasan Dimensi Persyaratan]]</f>
        <v>0</v>
      </c>
      <c r="R3" s="1">
        <v>4</v>
      </c>
      <c r="S3" s="1">
        <v>3</v>
      </c>
      <c r="T3" s="1">
        <f>data[[#This Row],[Nilai Kepentingan Dimensi Prosedur]]-data[[#This Row],[Nilai Kepuasan Dimensi Prosedur]]</f>
        <v>-1</v>
      </c>
      <c r="U3" s="1">
        <v>3</v>
      </c>
      <c r="V3" s="1">
        <v>4</v>
      </c>
      <c r="W3" s="1">
        <f>data[[#This Row],[Nilai Kepentingan Dimensi Waktu Pelayanan/Penyelesaian]]-data[[#This Row],[Nilai Kepuasan Dimensi Waktu Pelayanan/Penyelesaian]]</f>
        <v>1</v>
      </c>
      <c r="X3" s="1">
        <v>4</v>
      </c>
      <c r="Y3" s="1">
        <v>4</v>
      </c>
      <c r="Z3" s="1">
        <f>data[[#This Row],[Nilai Kepentingan Dimensi Tarif/ Biaya]]-data[[#This Row],[Nilai Kepuasan Dimensi Tarif / Biaya]]</f>
        <v>0</v>
      </c>
      <c r="AA3" s="1">
        <v>4</v>
      </c>
      <c r="AB3" s="1">
        <v>4</v>
      </c>
      <c r="AC3" s="1">
        <f>data[[#This Row],[Nilai Kepentingan Dimensi Produk Spesifikasi Jenis Layanan]]-data[[#This Row],[Nilai Kepuasan Dimensi Produk Spesifikasi Jenis Layanan]]</f>
        <v>0</v>
      </c>
      <c r="AD3" s="1">
        <v>3</v>
      </c>
      <c r="AE3" s="1">
        <v>4</v>
      </c>
      <c r="AF3" s="1">
        <f>data[[#This Row],[Nilai Kepentingan Dimensi Kompetensi Pelaksana]]-data[[#This Row],[Nilai Kepuasan Dimensi Kompetensi Pelaksana]]</f>
        <v>1</v>
      </c>
      <c r="AG3" s="1">
        <v>4</v>
      </c>
      <c r="AH3" s="1">
        <v>3</v>
      </c>
      <c r="AI3" s="1">
        <f>data[[#This Row],[Nilai Kepentingan Dimensi Perilaku Pelaksana]]-data[[#This Row],[Nilai Kepuasan Dimensi Perilaku Pelaksana]]</f>
        <v>-1</v>
      </c>
      <c r="AJ3" s="1">
        <v>4</v>
      </c>
      <c r="AK3" s="1">
        <v>4</v>
      </c>
      <c r="AL3" s="1">
        <f>data[[#This Row],[Nilai Kepentingan Dimensi Penanganan Pengaduan, Saran &amp; Masukan]]-data[[#This Row],[Nilai Kepuasan Dimensi Penanganan Pengaduan, Saran &amp; Masukan]]</f>
        <v>0</v>
      </c>
      <c r="AM3" s="1">
        <v>4</v>
      </c>
      <c r="AN3" s="1">
        <v>4</v>
      </c>
      <c r="AO3" s="1">
        <f>data[[#This Row],[Nilai Kepentingan Dimensi Kualitas Sarana dan Prasarana]]-data[[#This Row],[Nilai Kepuasan Dimensi Kualitas Sarana dan Prasarana]]</f>
        <v>0</v>
      </c>
      <c r="AP3" s="1">
        <v>3</v>
      </c>
      <c r="AQ3" s="1" t="s">
        <v>75</v>
      </c>
      <c r="AR3" s="1">
        <v>0</v>
      </c>
      <c r="AS3" s="1" t="s">
        <v>69</v>
      </c>
      <c r="AT3" s="1">
        <v>0</v>
      </c>
      <c r="AU3" s="1" t="s">
        <v>69</v>
      </c>
      <c r="AV3" s="1" t="s">
        <v>83</v>
      </c>
      <c r="AW3" s="1" t="s">
        <v>96</v>
      </c>
      <c r="AX3" s="1">
        <v>0</v>
      </c>
      <c r="AY3" s="1">
        <v>0</v>
      </c>
      <c r="AZ3" s="1" t="s">
        <v>97</v>
      </c>
      <c r="BA3" s="1" t="s">
        <v>79</v>
      </c>
      <c r="BB3" s="1" t="s">
        <v>98</v>
      </c>
      <c r="BC3" s="1" t="s">
        <v>99</v>
      </c>
      <c r="BD3" s="1" t="s">
        <v>98</v>
      </c>
      <c r="BE3" s="1" t="s">
        <v>99</v>
      </c>
      <c r="BF3" s="5" t="s">
        <v>98</v>
      </c>
    </row>
    <row r="4" spans="1:58" x14ac:dyDescent="0.35">
      <c r="A4" s="4">
        <v>3</v>
      </c>
      <c r="B4" s="1" t="s">
        <v>100</v>
      </c>
      <c r="C4" s="1" t="s">
        <v>63</v>
      </c>
      <c r="D4" s="1" t="s">
        <v>63</v>
      </c>
      <c r="E4" s="1" t="s">
        <v>69</v>
      </c>
      <c r="F4" s="1" t="s">
        <v>69</v>
      </c>
      <c r="G4" s="1" t="s">
        <v>69</v>
      </c>
      <c r="H4" s="1" t="s">
        <v>69</v>
      </c>
      <c r="I4" s="1" t="s">
        <v>106</v>
      </c>
      <c r="J4" s="1" t="s">
        <v>107</v>
      </c>
      <c r="K4" s="1">
        <v>32</v>
      </c>
      <c r="L4" s="1" t="s">
        <v>109</v>
      </c>
      <c r="M4" s="1" t="s">
        <v>73</v>
      </c>
      <c r="N4" s="1" t="s">
        <v>110</v>
      </c>
      <c r="O4" s="1">
        <v>4</v>
      </c>
      <c r="P4" s="1">
        <v>4</v>
      </c>
      <c r="Q4" s="1">
        <f>data[[#This Row],[Nilai Kepentingan Dimensi Persyaratan]]-data[[#This Row],[Nilai Kepuasan Dimensi Persyaratan]]</f>
        <v>0</v>
      </c>
      <c r="R4" s="1">
        <v>4</v>
      </c>
      <c r="S4" s="1">
        <v>4</v>
      </c>
      <c r="T4" s="1">
        <f>data[[#This Row],[Nilai Kepentingan Dimensi Prosedur]]-data[[#This Row],[Nilai Kepuasan Dimensi Prosedur]]</f>
        <v>0</v>
      </c>
      <c r="U4" s="1">
        <v>4</v>
      </c>
      <c r="V4" s="1">
        <v>4</v>
      </c>
      <c r="W4" s="1">
        <f>data[[#This Row],[Nilai Kepentingan Dimensi Waktu Pelayanan/Penyelesaian]]-data[[#This Row],[Nilai Kepuasan Dimensi Waktu Pelayanan/Penyelesaian]]</f>
        <v>0</v>
      </c>
      <c r="X4" s="1">
        <v>4</v>
      </c>
      <c r="Y4" s="1">
        <v>4</v>
      </c>
      <c r="Z4" s="1">
        <f>data[[#This Row],[Nilai Kepentingan Dimensi Tarif/ Biaya]]-data[[#This Row],[Nilai Kepuasan Dimensi Tarif / Biaya]]</f>
        <v>0</v>
      </c>
      <c r="AA4" s="1">
        <v>4</v>
      </c>
      <c r="AB4" s="1">
        <v>4</v>
      </c>
      <c r="AC4" s="1">
        <f>data[[#This Row],[Nilai Kepentingan Dimensi Produk Spesifikasi Jenis Layanan]]-data[[#This Row],[Nilai Kepuasan Dimensi Produk Spesifikasi Jenis Layanan]]</f>
        <v>0</v>
      </c>
      <c r="AD4" s="1">
        <v>4</v>
      </c>
      <c r="AE4" s="1">
        <v>4</v>
      </c>
      <c r="AF4" s="1">
        <f>data[[#This Row],[Nilai Kepentingan Dimensi Kompetensi Pelaksana]]-data[[#This Row],[Nilai Kepuasan Dimensi Kompetensi Pelaksana]]</f>
        <v>0</v>
      </c>
      <c r="AG4" s="1">
        <v>4</v>
      </c>
      <c r="AH4" s="1">
        <v>4</v>
      </c>
      <c r="AI4" s="1">
        <f>data[[#This Row],[Nilai Kepentingan Dimensi Perilaku Pelaksana]]-data[[#This Row],[Nilai Kepuasan Dimensi Perilaku Pelaksana]]</f>
        <v>0</v>
      </c>
      <c r="AJ4" s="1">
        <v>4</v>
      </c>
      <c r="AK4" s="1">
        <v>4</v>
      </c>
      <c r="AL4" s="1">
        <f>data[[#This Row],[Nilai Kepentingan Dimensi Penanganan Pengaduan, Saran &amp; Masukan]]-data[[#This Row],[Nilai Kepuasan Dimensi Penanganan Pengaduan, Saran &amp; Masukan]]</f>
        <v>0</v>
      </c>
      <c r="AM4" s="1">
        <v>4</v>
      </c>
      <c r="AN4" s="1">
        <v>4</v>
      </c>
      <c r="AO4" s="1">
        <f>data[[#This Row],[Nilai Kepentingan Dimensi Kualitas Sarana dan Prasarana]]-data[[#This Row],[Nilai Kepuasan Dimensi Kualitas Sarana dan Prasarana]]</f>
        <v>0</v>
      </c>
      <c r="AP4" s="1">
        <v>0</v>
      </c>
      <c r="AQ4" s="1" t="s">
        <v>75</v>
      </c>
      <c r="AR4" s="1">
        <v>0</v>
      </c>
      <c r="AS4" s="1" t="s">
        <v>69</v>
      </c>
      <c r="AT4" s="1">
        <v>0</v>
      </c>
      <c r="AU4" s="1" t="s">
        <v>69</v>
      </c>
      <c r="AV4" s="1" t="s">
        <v>83</v>
      </c>
      <c r="AW4" s="1" t="s">
        <v>96</v>
      </c>
      <c r="AX4" s="1">
        <v>0</v>
      </c>
      <c r="AY4" s="1">
        <v>0</v>
      </c>
      <c r="AZ4" s="1" t="s">
        <v>111</v>
      </c>
      <c r="BA4" s="1" t="s">
        <v>112</v>
      </c>
      <c r="BB4" s="1" t="s">
        <v>113</v>
      </c>
      <c r="BC4" s="1" t="s">
        <v>112</v>
      </c>
      <c r="BD4" s="1" t="s">
        <v>114</v>
      </c>
      <c r="BE4" s="1" t="s">
        <v>79</v>
      </c>
      <c r="BF4" s="5" t="s">
        <v>83</v>
      </c>
    </row>
    <row r="5" spans="1:58" x14ac:dyDescent="0.35">
      <c r="A5" s="4">
        <v>4</v>
      </c>
      <c r="B5" s="1" t="s">
        <v>115</v>
      </c>
      <c r="C5" s="1" t="s">
        <v>63</v>
      </c>
      <c r="D5" s="1" t="s">
        <v>63</v>
      </c>
      <c r="E5" s="1" t="s">
        <v>69</v>
      </c>
      <c r="F5" s="1" t="s">
        <v>69</v>
      </c>
      <c r="G5" s="1" t="s">
        <v>69</v>
      </c>
      <c r="H5" s="1" t="s">
        <v>69</v>
      </c>
      <c r="I5" s="1" t="s">
        <v>106</v>
      </c>
      <c r="J5" s="1" t="s">
        <v>71</v>
      </c>
      <c r="K5" s="1">
        <v>27</v>
      </c>
      <c r="L5" s="1" t="s">
        <v>92</v>
      </c>
      <c r="M5" s="1" t="s">
        <v>73</v>
      </c>
      <c r="N5" s="1" t="s">
        <v>74</v>
      </c>
      <c r="O5" s="1">
        <v>4</v>
      </c>
      <c r="P5" s="1">
        <v>4</v>
      </c>
      <c r="Q5" s="1">
        <f>data[[#This Row],[Nilai Kepentingan Dimensi Persyaratan]]-data[[#This Row],[Nilai Kepuasan Dimensi Persyaratan]]</f>
        <v>0</v>
      </c>
      <c r="R5" s="1">
        <v>4</v>
      </c>
      <c r="S5" s="1">
        <v>4</v>
      </c>
      <c r="T5" s="1">
        <f>data[[#This Row],[Nilai Kepentingan Dimensi Prosedur]]-data[[#This Row],[Nilai Kepuasan Dimensi Prosedur]]</f>
        <v>0</v>
      </c>
      <c r="U5" s="1">
        <v>4</v>
      </c>
      <c r="V5" s="1">
        <v>4</v>
      </c>
      <c r="W5" s="1">
        <f>data[[#This Row],[Nilai Kepentingan Dimensi Waktu Pelayanan/Penyelesaian]]-data[[#This Row],[Nilai Kepuasan Dimensi Waktu Pelayanan/Penyelesaian]]</f>
        <v>0</v>
      </c>
      <c r="X5" s="1">
        <v>4</v>
      </c>
      <c r="Y5" s="1">
        <v>4</v>
      </c>
      <c r="Z5" s="1">
        <f>data[[#This Row],[Nilai Kepentingan Dimensi Tarif/ Biaya]]-data[[#This Row],[Nilai Kepuasan Dimensi Tarif / Biaya]]</f>
        <v>0</v>
      </c>
      <c r="AA5" s="1">
        <v>4</v>
      </c>
      <c r="AB5" s="1">
        <v>4</v>
      </c>
      <c r="AC5" s="1">
        <f>data[[#This Row],[Nilai Kepentingan Dimensi Produk Spesifikasi Jenis Layanan]]-data[[#This Row],[Nilai Kepuasan Dimensi Produk Spesifikasi Jenis Layanan]]</f>
        <v>0</v>
      </c>
      <c r="AD5" s="1">
        <v>4</v>
      </c>
      <c r="AE5" s="1">
        <v>4</v>
      </c>
      <c r="AF5" s="1">
        <f>data[[#This Row],[Nilai Kepentingan Dimensi Kompetensi Pelaksana]]-data[[#This Row],[Nilai Kepuasan Dimensi Kompetensi Pelaksana]]</f>
        <v>0</v>
      </c>
      <c r="AG5" s="1">
        <v>4</v>
      </c>
      <c r="AH5" s="1">
        <v>4</v>
      </c>
      <c r="AI5" s="1">
        <f>data[[#This Row],[Nilai Kepentingan Dimensi Perilaku Pelaksana]]-data[[#This Row],[Nilai Kepuasan Dimensi Perilaku Pelaksana]]</f>
        <v>0</v>
      </c>
      <c r="AJ5" s="1">
        <v>3</v>
      </c>
      <c r="AK5" s="1">
        <v>3</v>
      </c>
      <c r="AL5" s="1">
        <f>data[[#This Row],[Nilai Kepentingan Dimensi Penanganan Pengaduan, Saran &amp; Masukan]]-data[[#This Row],[Nilai Kepuasan Dimensi Penanganan Pengaduan, Saran &amp; Masukan]]</f>
        <v>0</v>
      </c>
      <c r="AM5" s="1">
        <v>3</v>
      </c>
      <c r="AN5" s="1">
        <v>3</v>
      </c>
      <c r="AO5" s="1">
        <f>data[[#This Row],[Nilai Kepentingan Dimensi Kualitas Sarana dan Prasarana]]-data[[#This Row],[Nilai Kepuasan Dimensi Kualitas Sarana dan Prasarana]]</f>
        <v>0</v>
      </c>
      <c r="AP5" s="1">
        <v>4</v>
      </c>
      <c r="AQ5" s="1" t="s">
        <v>75</v>
      </c>
      <c r="AR5" s="1">
        <v>0</v>
      </c>
      <c r="AS5" s="1" t="s">
        <v>69</v>
      </c>
      <c r="AT5" s="1">
        <v>0</v>
      </c>
      <c r="AU5" s="1" t="s">
        <v>69</v>
      </c>
      <c r="AV5" s="1" t="s">
        <v>83</v>
      </c>
      <c r="AW5" s="1" t="s">
        <v>96</v>
      </c>
      <c r="AX5" s="1">
        <v>0</v>
      </c>
      <c r="AY5" s="1">
        <v>0</v>
      </c>
      <c r="AZ5" s="1" t="s">
        <v>119</v>
      </c>
      <c r="BA5" s="1" t="s">
        <v>79</v>
      </c>
      <c r="BB5" s="1" t="s">
        <v>120</v>
      </c>
      <c r="BC5" s="1" t="s">
        <v>81</v>
      </c>
      <c r="BD5" s="1" t="s">
        <v>121</v>
      </c>
      <c r="BE5" s="1" t="s">
        <v>79</v>
      </c>
      <c r="BF5" s="5" t="s">
        <v>122</v>
      </c>
    </row>
    <row r="6" spans="1:58" x14ac:dyDescent="0.35">
      <c r="A6" s="4">
        <v>5</v>
      </c>
      <c r="B6" s="1" t="s">
        <v>123</v>
      </c>
      <c r="C6" s="1" t="s">
        <v>63</v>
      </c>
      <c r="D6" s="1" t="s">
        <v>125</v>
      </c>
      <c r="E6" s="1" t="s">
        <v>69</v>
      </c>
      <c r="F6" s="1" t="s">
        <v>69</v>
      </c>
      <c r="G6" s="1" t="s">
        <v>69</v>
      </c>
      <c r="H6" s="1" t="s">
        <v>69</v>
      </c>
      <c r="I6" s="1" t="s">
        <v>106</v>
      </c>
      <c r="J6" s="1" t="s">
        <v>71</v>
      </c>
      <c r="K6" s="1">
        <v>18</v>
      </c>
      <c r="L6" s="1" t="s">
        <v>131</v>
      </c>
      <c r="M6" s="1" t="s">
        <v>73</v>
      </c>
      <c r="N6" s="1" t="s">
        <v>133</v>
      </c>
      <c r="O6" s="1">
        <v>3</v>
      </c>
      <c r="P6" s="1">
        <v>3</v>
      </c>
      <c r="Q6" s="1">
        <f>data[[#This Row],[Nilai Kepentingan Dimensi Persyaratan]]-data[[#This Row],[Nilai Kepuasan Dimensi Persyaratan]]</f>
        <v>0</v>
      </c>
      <c r="R6" s="1">
        <v>4</v>
      </c>
      <c r="S6" s="1">
        <v>4</v>
      </c>
      <c r="T6" s="1">
        <f>data[[#This Row],[Nilai Kepentingan Dimensi Prosedur]]-data[[#This Row],[Nilai Kepuasan Dimensi Prosedur]]</f>
        <v>0</v>
      </c>
      <c r="U6" s="1">
        <v>3</v>
      </c>
      <c r="V6" s="1">
        <v>3</v>
      </c>
      <c r="W6" s="1">
        <f>data[[#This Row],[Nilai Kepentingan Dimensi Waktu Pelayanan/Penyelesaian]]-data[[#This Row],[Nilai Kepuasan Dimensi Waktu Pelayanan/Penyelesaian]]</f>
        <v>0</v>
      </c>
      <c r="X6" s="1">
        <v>4</v>
      </c>
      <c r="Y6" s="1">
        <v>4</v>
      </c>
      <c r="Z6" s="1">
        <f>data[[#This Row],[Nilai Kepentingan Dimensi Tarif/ Biaya]]-data[[#This Row],[Nilai Kepuasan Dimensi Tarif / Biaya]]</f>
        <v>0</v>
      </c>
      <c r="AA6" s="1">
        <v>4</v>
      </c>
      <c r="AB6" s="1">
        <v>4</v>
      </c>
      <c r="AC6" s="1">
        <f>data[[#This Row],[Nilai Kepentingan Dimensi Produk Spesifikasi Jenis Layanan]]-data[[#This Row],[Nilai Kepuasan Dimensi Produk Spesifikasi Jenis Layanan]]</f>
        <v>0</v>
      </c>
      <c r="AD6" s="1">
        <v>3</v>
      </c>
      <c r="AE6" s="1">
        <v>4</v>
      </c>
      <c r="AF6" s="1">
        <f>data[[#This Row],[Nilai Kepentingan Dimensi Kompetensi Pelaksana]]-data[[#This Row],[Nilai Kepuasan Dimensi Kompetensi Pelaksana]]</f>
        <v>1</v>
      </c>
      <c r="AG6" s="1">
        <v>4</v>
      </c>
      <c r="AH6" s="1">
        <v>4</v>
      </c>
      <c r="AI6" s="1">
        <f>data[[#This Row],[Nilai Kepentingan Dimensi Perilaku Pelaksana]]-data[[#This Row],[Nilai Kepuasan Dimensi Perilaku Pelaksana]]</f>
        <v>0</v>
      </c>
      <c r="AJ6" s="1">
        <v>4</v>
      </c>
      <c r="AK6" s="1">
        <v>4</v>
      </c>
      <c r="AL6" s="1">
        <f>data[[#This Row],[Nilai Kepentingan Dimensi Penanganan Pengaduan, Saran &amp; Masukan]]-data[[#This Row],[Nilai Kepuasan Dimensi Penanganan Pengaduan, Saran &amp; Masukan]]</f>
        <v>0</v>
      </c>
      <c r="AM6" s="1">
        <v>3</v>
      </c>
      <c r="AN6" s="1">
        <v>3</v>
      </c>
      <c r="AO6" s="1">
        <f>data[[#This Row],[Nilai Kepentingan Dimensi Kualitas Sarana dan Prasarana]]-data[[#This Row],[Nilai Kepuasan Dimensi Kualitas Sarana dan Prasarana]]</f>
        <v>0</v>
      </c>
      <c r="AP6" s="1">
        <v>3</v>
      </c>
      <c r="AQ6" s="1" t="s">
        <v>75</v>
      </c>
      <c r="AR6" s="1">
        <v>0</v>
      </c>
      <c r="AS6" s="1" t="s">
        <v>69</v>
      </c>
      <c r="AT6" s="1">
        <v>0</v>
      </c>
      <c r="AU6" s="1" t="s">
        <v>69</v>
      </c>
      <c r="AV6" s="1" t="s">
        <v>83</v>
      </c>
      <c r="AW6" s="1" t="s">
        <v>96</v>
      </c>
      <c r="AX6" s="1">
        <v>0</v>
      </c>
      <c r="AY6" s="1">
        <v>0</v>
      </c>
      <c r="AZ6" s="1" t="s">
        <v>98</v>
      </c>
      <c r="BA6" s="1" t="s">
        <v>99</v>
      </c>
      <c r="BB6" s="1" t="s">
        <v>98</v>
      </c>
      <c r="BC6" s="1" t="s">
        <v>99</v>
      </c>
      <c r="BD6" s="1" t="s">
        <v>98</v>
      </c>
      <c r="BE6" s="1" t="s">
        <v>99</v>
      </c>
      <c r="BF6" s="5" t="s">
        <v>98</v>
      </c>
    </row>
    <row r="7" spans="1:58" x14ac:dyDescent="0.35">
      <c r="A7" s="4">
        <v>6</v>
      </c>
      <c r="B7" s="1" t="s">
        <v>134</v>
      </c>
      <c r="C7" s="1" t="s">
        <v>63</v>
      </c>
      <c r="D7" s="1" t="s">
        <v>136</v>
      </c>
      <c r="E7" s="1" t="s">
        <v>69</v>
      </c>
      <c r="F7" s="1" t="s">
        <v>69</v>
      </c>
      <c r="G7" s="1" t="s">
        <v>69</v>
      </c>
      <c r="H7" s="1" t="s">
        <v>69</v>
      </c>
      <c r="I7" s="1" t="s">
        <v>70</v>
      </c>
      <c r="J7" s="1" t="s">
        <v>71</v>
      </c>
      <c r="K7" s="1">
        <v>24</v>
      </c>
      <c r="L7" s="1" t="s">
        <v>72</v>
      </c>
      <c r="M7" s="1" t="s">
        <v>93</v>
      </c>
      <c r="N7" s="1" t="s">
        <v>143</v>
      </c>
      <c r="O7" s="1">
        <v>4</v>
      </c>
      <c r="P7" s="1">
        <v>4</v>
      </c>
      <c r="Q7" s="1">
        <f>data[[#This Row],[Nilai Kepentingan Dimensi Persyaratan]]-data[[#This Row],[Nilai Kepuasan Dimensi Persyaratan]]</f>
        <v>0</v>
      </c>
      <c r="R7" s="1">
        <v>4</v>
      </c>
      <c r="S7" s="1">
        <v>3</v>
      </c>
      <c r="T7" s="1">
        <f>data[[#This Row],[Nilai Kepentingan Dimensi Prosedur]]-data[[#This Row],[Nilai Kepuasan Dimensi Prosedur]]</f>
        <v>-1</v>
      </c>
      <c r="U7" s="1">
        <v>4</v>
      </c>
      <c r="V7" s="1">
        <v>4</v>
      </c>
      <c r="W7" s="1">
        <f>data[[#This Row],[Nilai Kepentingan Dimensi Waktu Pelayanan/Penyelesaian]]-data[[#This Row],[Nilai Kepuasan Dimensi Waktu Pelayanan/Penyelesaian]]</f>
        <v>0</v>
      </c>
      <c r="X7" s="1">
        <v>4</v>
      </c>
      <c r="Y7" s="1">
        <v>4</v>
      </c>
      <c r="Z7" s="1">
        <f>data[[#This Row],[Nilai Kepentingan Dimensi Tarif/ Biaya]]-data[[#This Row],[Nilai Kepuasan Dimensi Tarif / Biaya]]</f>
        <v>0</v>
      </c>
      <c r="AA7" s="1">
        <v>4</v>
      </c>
      <c r="AB7" s="1">
        <v>4</v>
      </c>
      <c r="AC7" s="1">
        <f>data[[#This Row],[Nilai Kepentingan Dimensi Produk Spesifikasi Jenis Layanan]]-data[[#This Row],[Nilai Kepuasan Dimensi Produk Spesifikasi Jenis Layanan]]</f>
        <v>0</v>
      </c>
      <c r="AD7" s="1">
        <v>4</v>
      </c>
      <c r="AE7" s="1">
        <v>4</v>
      </c>
      <c r="AF7" s="1">
        <f>data[[#This Row],[Nilai Kepentingan Dimensi Kompetensi Pelaksana]]-data[[#This Row],[Nilai Kepuasan Dimensi Kompetensi Pelaksana]]</f>
        <v>0</v>
      </c>
      <c r="AG7" s="1">
        <v>4</v>
      </c>
      <c r="AH7" s="1">
        <v>4</v>
      </c>
      <c r="AI7" s="1">
        <f>data[[#This Row],[Nilai Kepentingan Dimensi Perilaku Pelaksana]]-data[[#This Row],[Nilai Kepuasan Dimensi Perilaku Pelaksana]]</f>
        <v>0</v>
      </c>
      <c r="AJ7" s="1">
        <v>4</v>
      </c>
      <c r="AK7" s="1">
        <v>4</v>
      </c>
      <c r="AL7" s="1">
        <f>data[[#This Row],[Nilai Kepentingan Dimensi Penanganan Pengaduan, Saran &amp; Masukan]]-data[[#This Row],[Nilai Kepuasan Dimensi Penanganan Pengaduan, Saran &amp; Masukan]]</f>
        <v>0</v>
      </c>
      <c r="AM7" s="1">
        <v>3</v>
      </c>
      <c r="AN7" s="1">
        <v>3</v>
      </c>
      <c r="AO7" s="1">
        <f>data[[#This Row],[Nilai Kepentingan Dimensi Kualitas Sarana dan Prasarana]]-data[[#This Row],[Nilai Kepuasan Dimensi Kualitas Sarana dan Prasarana]]</f>
        <v>0</v>
      </c>
      <c r="AP7" s="1">
        <v>0</v>
      </c>
      <c r="AQ7" s="1" t="s">
        <v>69</v>
      </c>
      <c r="AR7" s="1">
        <v>0</v>
      </c>
      <c r="AS7" s="1" t="s">
        <v>69</v>
      </c>
      <c r="AT7" s="1">
        <v>0</v>
      </c>
      <c r="AU7" s="1" t="s">
        <v>69</v>
      </c>
      <c r="AV7" s="1" t="s">
        <v>144</v>
      </c>
      <c r="AW7" s="1" t="s">
        <v>144</v>
      </c>
      <c r="AX7" s="1">
        <v>1</v>
      </c>
      <c r="AY7" s="1">
        <v>4</v>
      </c>
      <c r="AZ7" s="1" t="s">
        <v>98</v>
      </c>
      <c r="BA7" s="1" t="s">
        <v>99</v>
      </c>
      <c r="BB7" s="1" t="s">
        <v>98</v>
      </c>
      <c r="BC7" s="1" t="s">
        <v>99</v>
      </c>
      <c r="BD7" s="1" t="s">
        <v>145</v>
      </c>
      <c r="BE7" s="1" t="s">
        <v>146</v>
      </c>
      <c r="BF7" s="5" t="s">
        <v>98</v>
      </c>
    </row>
    <row r="8" spans="1:58" x14ac:dyDescent="0.35">
      <c r="A8" s="4">
        <v>7</v>
      </c>
      <c r="B8" s="1" t="s">
        <v>147</v>
      </c>
      <c r="C8" s="1" t="s">
        <v>63</v>
      </c>
      <c r="D8" s="1" t="s">
        <v>149</v>
      </c>
      <c r="E8" s="1" t="s">
        <v>69</v>
      </c>
      <c r="F8" s="1" t="s">
        <v>69</v>
      </c>
      <c r="G8" s="1" t="s">
        <v>69</v>
      </c>
      <c r="H8" s="1" t="s">
        <v>69</v>
      </c>
      <c r="I8" s="1" t="s">
        <v>70</v>
      </c>
      <c r="J8" s="1" t="s">
        <v>107</v>
      </c>
      <c r="K8" s="1">
        <v>37</v>
      </c>
      <c r="L8" s="1" t="s">
        <v>153</v>
      </c>
      <c r="M8" s="1" t="s">
        <v>93</v>
      </c>
      <c r="N8" s="1" t="s">
        <v>154</v>
      </c>
      <c r="O8" s="1">
        <v>4</v>
      </c>
      <c r="P8" s="1">
        <v>3</v>
      </c>
      <c r="Q8" s="1">
        <f>data[[#This Row],[Nilai Kepentingan Dimensi Persyaratan]]-data[[#This Row],[Nilai Kepuasan Dimensi Persyaratan]]</f>
        <v>-1</v>
      </c>
      <c r="R8" s="1">
        <v>4</v>
      </c>
      <c r="S8" s="1">
        <v>4</v>
      </c>
      <c r="T8" s="1">
        <f>data[[#This Row],[Nilai Kepentingan Dimensi Prosedur]]-data[[#This Row],[Nilai Kepuasan Dimensi Prosedur]]</f>
        <v>0</v>
      </c>
      <c r="U8" s="1">
        <v>4</v>
      </c>
      <c r="V8" s="1">
        <v>4</v>
      </c>
      <c r="W8" s="1">
        <f>data[[#This Row],[Nilai Kepentingan Dimensi Waktu Pelayanan/Penyelesaian]]-data[[#This Row],[Nilai Kepuasan Dimensi Waktu Pelayanan/Penyelesaian]]</f>
        <v>0</v>
      </c>
      <c r="X8" s="1">
        <v>4</v>
      </c>
      <c r="Y8" s="1">
        <v>4</v>
      </c>
      <c r="Z8" s="1">
        <f>data[[#This Row],[Nilai Kepentingan Dimensi Tarif/ Biaya]]-data[[#This Row],[Nilai Kepuasan Dimensi Tarif / Biaya]]</f>
        <v>0</v>
      </c>
      <c r="AA8" s="1">
        <v>3</v>
      </c>
      <c r="AB8" s="1">
        <v>3</v>
      </c>
      <c r="AC8" s="1">
        <f>data[[#This Row],[Nilai Kepentingan Dimensi Produk Spesifikasi Jenis Layanan]]-data[[#This Row],[Nilai Kepuasan Dimensi Produk Spesifikasi Jenis Layanan]]</f>
        <v>0</v>
      </c>
      <c r="AD8" s="1">
        <v>3</v>
      </c>
      <c r="AE8" s="1">
        <v>3</v>
      </c>
      <c r="AF8" s="1">
        <f>data[[#This Row],[Nilai Kepentingan Dimensi Kompetensi Pelaksana]]-data[[#This Row],[Nilai Kepuasan Dimensi Kompetensi Pelaksana]]</f>
        <v>0</v>
      </c>
      <c r="AG8" s="1">
        <v>3</v>
      </c>
      <c r="AH8" s="1">
        <v>3</v>
      </c>
      <c r="AI8" s="1">
        <f>data[[#This Row],[Nilai Kepentingan Dimensi Perilaku Pelaksana]]-data[[#This Row],[Nilai Kepuasan Dimensi Perilaku Pelaksana]]</f>
        <v>0</v>
      </c>
      <c r="AJ8" s="1">
        <v>3</v>
      </c>
      <c r="AK8" s="1">
        <v>3</v>
      </c>
      <c r="AL8" s="1">
        <f>data[[#This Row],[Nilai Kepentingan Dimensi Penanganan Pengaduan, Saran &amp; Masukan]]-data[[#This Row],[Nilai Kepuasan Dimensi Penanganan Pengaduan, Saran &amp; Masukan]]</f>
        <v>0</v>
      </c>
      <c r="AM8" s="1">
        <v>3</v>
      </c>
      <c r="AN8" s="1">
        <v>4</v>
      </c>
      <c r="AO8" s="1">
        <f>data[[#This Row],[Nilai Kepentingan Dimensi Kualitas Sarana dan Prasarana]]-data[[#This Row],[Nilai Kepuasan Dimensi Kualitas Sarana dan Prasarana]]</f>
        <v>1</v>
      </c>
      <c r="AP8" s="1">
        <v>3</v>
      </c>
      <c r="AQ8" s="1" t="s">
        <v>75</v>
      </c>
      <c r="AR8" s="1">
        <v>3</v>
      </c>
      <c r="AS8" s="1" t="s">
        <v>75</v>
      </c>
      <c r="AT8" s="1">
        <v>0</v>
      </c>
      <c r="AU8" s="1" t="s">
        <v>69</v>
      </c>
      <c r="AV8" s="1" t="s">
        <v>83</v>
      </c>
      <c r="AW8" s="1" t="s">
        <v>96</v>
      </c>
      <c r="AX8" s="1">
        <v>0</v>
      </c>
      <c r="AY8" s="1">
        <v>0</v>
      </c>
      <c r="AZ8" s="1" t="s">
        <v>155</v>
      </c>
      <c r="BA8" s="1" t="s">
        <v>79</v>
      </c>
      <c r="BB8" s="1" t="s">
        <v>156</v>
      </c>
      <c r="BC8" s="1" t="s">
        <v>157</v>
      </c>
      <c r="BD8" s="1" t="s">
        <v>158</v>
      </c>
      <c r="BE8" s="1" t="s">
        <v>79</v>
      </c>
      <c r="BF8" s="5" t="s">
        <v>159</v>
      </c>
    </row>
    <row r="9" spans="1:58" x14ac:dyDescent="0.35">
      <c r="A9" s="4">
        <v>8</v>
      </c>
      <c r="B9" s="1" t="s">
        <v>160</v>
      </c>
      <c r="C9" s="1" t="s">
        <v>63</v>
      </c>
      <c r="D9" s="1" t="s">
        <v>136</v>
      </c>
      <c r="E9" s="1" t="s">
        <v>69</v>
      </c>
      <c r="F9" s="1" t="s">
        <v>69</v>
      </c>
      <c r="G9" s="1" t="s">
        <v>69</v>
      </c>
      <c r="H9" s="1" t="s">
        <v>69</v>
      </c>
      <c r="I9" s="1" t="s">
        <v>70</v>
      </c>
      <c r="J9" s="1" t="s">
        <v>71</v>
      </c>
      <c r="K9" s="1">
        <v>18</v>
      </c>
      <c r="L9" s="1" t="s">
        <v>131</v>
      </c>
      <c r="M9" s="1" t="s">
        <v>73</v>
      </c>
      <c r="N9" s="1" t="s">
        <v>133</v>
      </c>
      <c r="O9" s="1">
        <v>4</v>
      </c>
      <c r="P9" s="1">
        <v>4</v>
      </c>
      <c r="Q9" s="1">
        <f>data[[#This Row],[Nilai Kepentingan Dimensi Persyaratan]]-data[[#This Row],[Nilai Kepuasan Dimensi Persyaratan]]</f>
        <v>0</v>
      </c>
      <c r="R9" s="1">
        <v>4</v>
      </c>
      <c r="S9" s="1">
        <v>4</v>
      </c>
      <c r="T9" s="1">
        <f>data[[#This Row],[Nilai Kepentingan Dimensi Prosedur]]-data[[#This Row],[Nilai Kepuasan Dimensi Prosedur]]</f>
        <v>0</v>
      </c>
      <c r="U9" s="1">
        <v>4</v>
      </c>
      <c r="V9" s="1">
        <v>4</v>
      </c>
      <c r="W9" s="1">
        <f>data[[#This Row],[Nilai Kepentingan Dimensi Waktu Pelayanan/Penyelesaian]]-data[[#This Row],[Nilai Kepuasan Dimensi Waktu Pelayanan/Penyelesaian]]</f>
        <v>0</v>
      </c>
      <c r="X9" s="1">
        <v>4</v>
      </c>
      <c r="Y9" s="1">
        <v>4</v>
      </c>
      <c r="Z9" s="1">
        <f>data[[#This Row],[Nilai Kepentingan Dimensi Tarif/ Biaya]]-data[[#This Row],[Nilai Kepuasan Dimensi Tarif / Biaya]]</f>
        <v>0</v>
      </c>
      <c r="AA9" s="1">
        <v>4</v>
      </c>
      <c r="AB9" s="1">
        <v>4</v>
      </c>
      <c r="AC9" s="1">
        <f>data[[#This Row],[Nilai Kepentingan Dimensi Produk Spesifikasi Jenis Layanan]]-data[[#This Row],[Nilai Kepuasan Dimensi Produk Spesifikasi Jenis Layanan]]</f>
        <v>0</v>
      </c>
      <c r="AD9" s="1">
        <v>4</v>
      </c>
      <c r="AE9" s="1">
        <v>4</v>
      </c>
      <c r="AF9" s="1">
        <f>data[[#This Row],[Nilai Kepentingan Dimensi Kompetensi Pelaksana]]-data[[#This Row],[Nilai Kepuasan Dimensi Kompetensi Pelaksana]]</f>
        <v>0</v>
      </c>
      <c r="AG9" s="1">
        <v>4</v>
      </c>
      <c r="AH9" s="1">
        <v>4</v>
      </c>
      <c r="AI9" s="1">
        <f>data[[#This Row],[Nilai Kepentingan Dimensi Perilaku Pelaksana]]-data[[#This Row],[Nilai Kepuasan Dimensi Perilaku Pelaksana]]</f>
        <v>0</v>
      </c>
      <c r="AJ9" s="1">
        <v>4</v>
      </c>
      <c r="AK9" s="1">
        <v>4</v>
      </c>
      <c r="AL9" s="1">
        <f>data[[#This Row],[Nilai Kepentingan Dimensi Penanganan Pengaduan, Saran &amp; Masukan]]-data[[#This Row],[Nilai Kepuasan Dimensi Penanganan Pengaduan, Saran &amp; Masukan]]</f>
        <v>0</v>
      </c>
      <c r="AM9" s="1">
        <v>4</v>
      </c>
      <c r="AN9" s="1">
        <v>4</v>
      </c>
      <c r="AO9" s="1">
        <f>data[[#This Row],[Nilai Kepentingan Dimensi Kualitas Sarana dan Prasarana]]-data[[#This Row],[Nilai Kepuasan Dimensi Kualitas Sarana dan Prasarana]]</f>
        <v>0</v>
      </c>
      <c r="AP9" s="1">
        <v>0</v>
      </c>
      <c r="AQ9" s="1" t="s">
        <v>69</v>
      </c>
      <c r="AR9" s="1">
        <v>0</v>
      </c>
      <c r="AS9" s="1" t="s">
        <v>69</v>
      </c>
      <c r="AT9" s="1">
        <v>0</v>
      </c>
      <c r="AU9" s="1" t="s">
        <v>69</v>
      </c>
      <c r="AV9" s="1" t="s">
        <v>166</v>
      </c>
      <c r="AW9" s="1" t="s">
        <v>77</v>
      </c>
      <c r="AX9" s="1">
        <v>1</v>
      </c>
      <c r="AY9" s="1">
        <v>4</v>
      </c>
      <c r="AZ9" s="1" t="s">
        <v>98</v>
      </c>
      <c r="BA9" s="1" t="s">
        <v>99</v>
      </c>
      <c r="BB9" s="1" t="s">
        <v>98</v>
      </c>
      <c r="BC9" s="1" t="s">
        <v>99</v>
      </c>
      <c r="BD9" s="1" t="s">
        <v>98</v>
      </c>
      <c r="BE9" s="1" t="s">
        <v>99</v>
      </c>
      <c r="BF9" s="5" t="s">
        <v>98</v>
      </c>
    </row>
    <row r="10" spans="1:58" x14ac:dyDescent="0.35">
      <c r="A10" s="4">
        <v>9</v>
      </c>
      <c r="B10" s="1" t="s">
        <v>167</v>
      </c>
      <c r="C10" s="1" t="s">
        <v>63</v>
      </c>
      <c r="D10" s="1" t="s">
        <v>63</v>
      </c>
      <c r="E10" s="1" t="s">
        <v>69</v>
      </c>
      <c r="F10" s="1" t="s">
        <v>69</v>
      </c>
      <c r="G10" s="1" t="s">
        <v>69</v>
      </c>
      <c r="H10" s="1" t="s">
        <v>69</v>
      </c>
      <c r="I10" s="1" t="s">
        <v>70</v>
      </c>
      <c r="J10" s="1" t="s">
        <v>71</v>
      </c>
      <c r="K10" s="1">
        <v>18</v>
      </c>
      <c r="L10" s="1" t="s">
        <v>131</v>
      </c>
      <c r="M10" s="1" t="s">
        <v>73</v>
      </c>
      <c r="N10" s="1" t="s">
        <v>133</v>
      </c>
      <c r="O10" s="1">
        <v>3</v>
      </c>
      <c r="P10" s="1">
        <v>3</v>
      </c>
      <c r="Q10" s="1">
        <f>data[[#This Row],[Nilai Kepentingan Dimensi Persyaratan]]-data[[#This Row],[Nilai Kepuasan Dimensi Persyaratan]]</f>
        <v>0</v>
      </c>
      <c r="R10" s="1">
        <v>3</v>
      </c>
      <c r="S10" s="1">
        <v>3</v>
      </c>
      <c r="T10" s="1">
        <f>data[[#This Row],[Nilai Kepentingan Dimensi Prosedur]]-data[[#This Row],[Nilai Kepuasan Dimensi Prosedur]]</f>
        <v>0</v>
      </c>
      <c r="U10" s="1">
        <v>3</v>
      </c>
      <c r="V10" s="1">
        <v>3</v>
      </c>
      <c r="W10" s="1">
        <f>data[[#This Row],[Nilai Kepentingan Dimensi Waktu Pelayanan/Penyelesaian]]-data[[#This Row],[Nilai Kepuasan Dimensi Waktu Pelayanan/Penyelesaian]]</f>
        <v>0</v>
      </c>
      <c r="X10" s="1">
        <v>3</v>
      </c>
      <c r="Y10" s="1">
        <v>3</v>
      </c>
      <c r="Z10" s="1">
        <f>data[[#This Row],[Nilai Kepentingan Dimensi Tarif/ Biaya]]-data[[#This Row],[Nilai Kepuasan Dimensi Tarif / Biaya]]</f>
        <v>0</v>
      </c>
      <c r="AA10" s="1">
        <v>3</v>
      </c>
      <c r="AB10" s="1">
        <v>3</v>
      </c>
      <c r="AC10" s="1">
        <f>data[[#This Row],[Nilai Kepentingan Dimensi Produk Spesifikasi Jenis Layanan]]-data[[#This Row],[Nilai Kepuasan Dimensi Produk Spesifikasi Jenis Layanan]]</f>
        <v>0</v>
      </c>
      <c r="AD10" s="1">
        <v>3</v>
      </c>
      <c r="AE10" s="1">
        <v>3</v>
      </c>
      <c r="AF10" s="1">
        <f>data[[#This Row],[Nilai Kepentingan Dimensi Kompetensi Pelaksana]]-data[[#This Row],[Nilai Kepuasan Dimensi Kompetensi Pelaksana]]</f>
        <v>0</v>
      </c>
      <c r="AG10" s="1">
        <v>4</v>
      </c>
      <c r="AH10" s="1">
        <v>3</v>
      </c>
      <c r="AI10" s="1">
        <f>data[[#This Row],[Nilai Kepentingan Dimensi Perilaku Pelaksana]]-data[[#This Row],[Nilai Kepuasan Dimensi Perilaku Pelaksana]]</f>
        <v>-1</v>
      </c>
      <c r="AJ10" s="1">
        <v>3</v>
      </c>
      <c r="AK10" s="1">
        <v>3</v>
      </c>
      <c r="AL10" s="1">
        <f>data[[#This Row],[Nilai Kepentingan Dimensi Penanganan Pengaduan, Saran &amp; Masukan]]-data[[#This Row],[Nilai Kepuasan Dimensi Penanganan Pengaduan, Saran &amp; Masukan]]</f>
        <v>0</v>
      </c>
      <c r="AM10" s="1">
        <v>3</v>
      </c>
      <c r="AN10" s="1">
        <v>3</v>
      </c>
      <c r="AO10" s="1">
        <f>data[[#This Row],[Nilai Kepentingan Dimensi Kualitas Sarana dan Prasarana]]-data[[#This Row],[Nilai Kepuasan Dimensi Kualitas Sarana dan Prasarana]]</f>
        <v>0</v>
      </c>
      <c r="AP10" s="1">
        <v>0</v>
      </c>
      <c r="AQ10" s="1" t="s">
        <v>69</v>
      </c>
      <c r="AR10" s="1">
        <v>0</v>
      </c>
      <c r="AS10" s="1" t="s">
        <v>69</v>
      </c>
      <c r="AT10" s="1">
        <v>0</v>
      </c>
      <c r="AU10" s="1" t="s">
        <v>69</v>
      </c>
      <c r="AV10" s="1" t="s">
        <v>172</v>
      </c>
      <c r="AW10" s="1" t="s">
        <v>77</v>
      </c>
      <c r="AX10" s="1">
        <v>2</v>
      </c>
      <c r="AY10" s="1">
        <v>3</v>
      </c>
      <c r="AZ10" s="1" t="s">
        <v>98</v>
      </c>
      <c r="BA10" s="1" t="s">
        <v>99</v>
      </c>
      <c r="BB10" s="1" t="s">
        <v>98</v>
      </c>
      <c r="BC10" s="1" t="s">
        <v>99</v>
      </c>
      <c r="BD10" s="1" t="s">
        <v>98</v>
      </c>
      <c r="BE10" s="1" t="s">
        <v>99</v>
      </c>
      <c r="BF10" s="5" t="s">
        <v>98</v>
      </c>
    </row>
    <row r="11" spans="1:58" x14ac:dyDescent="0.35">
      <c r="A11" s="4">
        <v>10</v>
      </c>
      <c r="B11" s="1" t="s">
        <v>173</v>
      </c>
      <c r="C11" s="1" t="s">
        <v>63</v>
      </c>
      <c r="D11" s="1" t="s">
        <v>136</v>
      </c>
      <c r="E11" s="1" t="s">
        <v>69</v>
      </c>
      <c r="F11" s="1" t="s">
        <v>69</v>
      </c>
      <c r="G11" s="1" t="s">
        <v>69</v>
      </c>
      <c r="H11" s="1" t="s">
        <v>69</v>
      </c>
      <c r="I11" s="1" t="s">
        <v>70</v>
      </c>
      <c r="J11" s="1" t="s">
        <v>71</v>
      </c>
      <c r="K11" s="1">
        <v>18</v>
      </c>
      <c r="L11" s="1" t="s">
        <v>131</v>
      </c>
      <c r="M11" s="1" t="s">
        <v>73</v>
      </c>
      <c r="N11" s="1" t="s">
        <v>95</v>
      </c>
      <c r="O11" s="1">
        <v>4</v>
      </c>
      <c r="P11" s="1">
        <v>4</v>
      </c>
      <c r="Q11" s="1">
        <f>data[[#This Row],[Nilai Kepentingan Dimensi Persyaratan]]-data[[#This Row],[Nilai Kepuasan Dimensi Persyaratan]]</f>
        <v>0</v>
      </c>
      <c r="R11" s="1">
        <v>4</v>
      </c>
      <c r="S11" s="1">
        <v>4</v>
      </c>
      <c r="T11" s="1">
        <f>data[[#This Row],[Nilai Kepentingan Dimensi Prosedur]]-data[[#This Row],[Nilai Kepuasan Dimensi Prosedur]]</f>
        <v>0</v>
      </c>
      <c r="U11" s="1">
        <v>4</v>
      </c>
      <c r="V11" s="1">
        <v>4</v>
      </c>
      <c r="W11" s="1">
        <f>data[[#This Row],[Nilai Kepentingan Dimensi Waktu Pelayanan/Penyelesaian]]-data[[#This Row],[Nilai Kepuasan Dimensi Waktu Pelayanan/Penyelesaian]]</f>
        <v>0</v>
      </c>
      <c r="X11" s="1">
        <v>3</v>
      </c>
      <c r="Y11" s="1">
        <v>4</v>
      </c>
      <c r="Z11" s="1">
        <f>data[[#This Row],[Nilai Kepentingan Dimensi Tarif/ Biaya]]-data[[#This Row],[Nilai Kepuasan Dimensi Tarif / Biaya]]</f>
        <v>1</v>
      </c>
      <c r="AA11" s="1">
        <v>4</v>
      </c>
      <c r="AB11" s="1">
        <v>4</v>
      </c>
      <c r="AC11" s="1">
        <f>data[[#This Row],[Nilai Kepentingan Dimensi Produk Spesifikasi Jenis Layanan]]-data[[#This Row],[Nilai Kepuasan Dimensi Produk Spesifikasi Jenis Layanan]]</f>
        <v>0</v>
      </c>
      <c r="AD11" s="1">
        <v>4</v>
      </c>
      <c r="AE11" s="1">
        <v>4</v>
      </c>
      <c r="AF11" s="1">
        <f>data[[#This Row],[Nilai Kepentingan Dimensi Kompetensi Pelaksana]]-data[[#This Row],[Nilai Kepuasan Dimensi Kompetensi Pelaksana]]</f>
        <v>0</v>
      </c>
      <c r="AG11" s="1">
        <v>4</v>
      </c>
      <c r="AH11" s="1">
        <v>4</v>
      </c>
      <c r="AI11" s="1">
        <f>data[[#This Row],[Nilai Kepentingan Dimensi Perilaku Pelaksana]]-data[[#This Row],[Nilai Kepuasan Dimensi Perilaku Pelaksana]]</f>
        <v>0</v>
      </c>
      <c r="AJ11" s="1">
        <v>4</v>
      </c>
      <c r="AK11" s="1">
        <v>4</v>
      </c>
      <c r="AL11" s="1">
        <f>data[[#This Row],[Nilai Kepentingan Dimensi Penanganan Pengaduan, Saran &amp; Masukan]]-data[[#This Row],[Nilai Kepuasan Dimensi Penanganan Pengaduan, Saran &amp; Masukan]]</f>
        <v>0</v>
      </c>
      <c r="AM11" s="1">
        <v>4</v>
      </c>
      <c r="AN11" s="1">
        <v>4</v>
      </c>
      <c r="AO11" s="1">
        <f>data[[#This Row],[Nilai Kepentingan Dimensi Kualitas Sarana dan Prasarana]]-data[[#This Row],[Nilai Kepuasan Dimensi Kualitas Sarana dan Prasarana]]</f>
        <v>0</v>
      </c>
      <c r="AP11" s="1">
        <v>0</v>
      </c>
      <c r="AQ11" s="1" t="s">
        <v>69</v>
      </c>
      <c r="AR11" s="1">
        <v>0</v>
      </c>
      <c r="AS11" s="1" t="s">
        <v>69</v>
      </c>
      <c r="AT11" s="1">
        <v>4</v>
      </c>
      <c r="AU11" s="1" t="s">
        <v>75</v>
      </c>
      <c r="AV11" s="1" t="s">
        <v>83</v>
      </c>
      <c r="AW11" s="1" t="s">
        <v>96</v>
      </c>
      <c r="AX11" s="1">
        <v>0</v>
      </c>
      <c r="AY11" s="1">
        <v>0</v>
      </c>
      <c r="AZ11" s="1" t="s">
        <v>98</v>
      </c>
      <c r="BA11" s="1" t="s">
        <v>99</v>
      </c>
      <c r="BB11" s="1" t="s">
        <v>98</v>
      </c>
      <c r="BC11" s="1" t="s">
        <v>99</v>
      </c>
      <c r="BD11" s="1" t="s">
        <v>98</v>
      </c>
      <c r="BE11" s="1" t="s">
        <v>99</v>
      </c>
      <c r="BF11" s="5" t="s">
        <v>98</v>
      </c>
    </row>
    <row r="12" spans="1:58" x14ac:dyDescent="0.35">
      <c r="A12" s="4">
        <v>11</v>
      </c>
      <c r="B12" s="1" t="s">
        <v>177</v>
      </c>
      <c r="C12" s="1" t="s">
        <v>63</v>
      </c>
      <c r="D12" s="1" t="s">
        <v>179</v>
      </c>
      <c r="E12" s="1" t="s">
        <v>69</v>
      </c>
      <c r="F12" s="1" t="s">
        <v>69</v>
      </c>
      <c r="G12" s="1" t="s">
        <v>69</v>
      </c>
      <c r="H12" s="1" t="s">
        <v>69</v>
      </c>
      <c r="I12" s="1" t="s">
        <v>106</v>
      </c>
      <c r="J12" s="1" t="s">
        <v>107</v>
      </c>
      <c r="K12" s="1">
        <v>60</v>
      </c>
      <c r="L12" s="1" t="s">
        <v>182</v>
      </c>
      <c r="M12" s="1" t="s">
        <v>93</v>
      </c>
      <c r="N12" s="1" t="s">
        <v>184</v>
      </c>
      <c r="O12" s="1">
        <v>4</v>
      </c>
      <c r="P12" s="1">
        <v>3</v>
      </c>
      <c r="Q12" s="1">
        <f>data[[#This Row],[Nilai Kepentingan Dimensi Persyaratan]]-data[[#This Row],[Nilai Kepuasan Dimensi Persyaratan]]</f>
        <v>-1</v>
      </c>
      <c r="R12" s="1">
        <v>4</v>
      </c>
      <c r="S12" s="1">
        <v>3</v>
      </c>
      <c r="T12" s="1">
        <f>data[[#This Row],[Nilai Kepentingan Dimensi Prosedur]]-data[[#This Row],[Nilai Kepuasan Dimensi Prosedur]]</f>
        <v>-1</v>
      </c>
      <c r="U12" s="1">
        <v>4</v>
      </c>
      <c r="V12" s="1">
        <v>4</v>
      </c>
      <c r="W12" s="1">
        <f>data[[#This Row],[Nilai Kepentingan Dimensi Waktu Pelayanan/Penyelesaian]]-data[[#This Row],[Nilai Kepuasan Dimensi Waktu Pelayanan/Penyelesaian]]</f>
        <v>0</v>
      </c>
      <c r="X12" s="1">
        <v>4</v>
      </c>
      <c r="Y12" s="1">
        <v>4</v>
      </c>
      <c r="Z12" s="1">
        <f>data[[#This Row],[Nilai Kepentingan Dimensi Tarif/ Biaya]]-data[[#This Row],[Nilai Kepuasan Dimensi Tarif / Biaya]]</f>
        <v>0</v>
      </c>
      <c r="AA12" s="1">
        <v>4</v>
      </c>
      <c r="AB12" s="1">
        <v>4</v>
      </c>
      <c r="AC12" s="1">
        <f>data[[#This Row],[Nilai Kepentingan Dimensi Produk Spesifikasi Jenis Layanan]]-data[[#This Row],[Nilai Kepuasan Dimensi Produk Spesifikasi Jenis Layanan]]</f>
        <v>0</v>
      </c>
      <c r="AD12" s="1">
        <v>4</v>
      </c>
      <c r="AE12" s="1">
        <v>3</v>
      </c>
      <c r="AF12" s="1">
        <f>data[[#This Row],[Nilai Kepentingan Dimensi Kompetensi Pelaksana]]-data[[#This Row],[Nilai Kepuasan Dimensi Kompetensi Pelaksana]]</f>
        <v>-1</v>
      </c>
      <c r="AG12" s="1">
        <v>4</v>
      </c>
      <c r="AH12" s="1">
        <v>4</v>
      </c>
      <c r="AI12" s="1">
        <f>data[[#This Row],[Nilai Kepentingan Dimensi Perilaku Pelaksana]]-data[[#This Row],[Nilai Kepuasan Dimensi Perilaku Pelaksana]]</f>
        <v>0</v>
      </c>
      <c r="AJ12" s="1">
        <v>4</v>
      </c>
      <c r="AK12" s="1">
        <v>3</v>
      </c>
      <c r="AL12" s="1">
        <f>data[[#This Row],[Nilai Kepentingan Dimensi Penanganan Pengaduan, Saran &amp; Masukan]]-data[[#This Row],[Nilai Kepuasan Dimensi Penanganan Pengaduan, Saran &amp; Masukan]]</f>
        <v>-1</v>
      </c>
      <c r="AM12" s="1">
        <v>4</v>
      </c>
      <c r="AN12" s="1">
        <v>3</v>
      </c>
      <c r="AO12" s="1">
        <f>data[[#This Row],[Nilai Kepentingan Dimensi Kualitas Sarana dan Prasarana]]-data[[#This Row],[Nilai Kepuasan Dimensi Kualitas Sarana dan Prasarana]]</f>
        <v>-1</v>
      </c>
      <c r="AP12" s="1">
        <v>0</v>
      </c>
      <c r="AQ12" s="1" t="s">
        <v>69</v>
      </c>
      <c r="AR12" s="1">
        <v>0</v>
      </c>
      <c r="AS12" s="1" t="s">
        <v>69</v>
      </c>
      <c r="AT12" s="1">
        <v>0</v>
      </c>
      <c r="AU12" s="1" t="s">
        <v>69</v>
      </c>
      <c r="AV12" s="1" t="s">
        <v>185</v>
      </c>
      <c r="AW12" s="1" t="s">
        <v>186</v>
      </c>
      <c r="AX12" s="1">
        <v>1</v>
      </c>
      <c r="AY12" s="1">
        <v>4</v>
      </c>
      <c r="AZ12" s="1" t="s">
        <v>187</v>
      </c>
      <c r="BA12" s="1" t="s">
        <v>79</v>
      </c>
      <c r="BB12" s="1" t="s">
        <v>188</v>
      </c>
      <c r="BC12" s="1" t="s">
        <v>81</v>
      </c>
      <c r="BD12" s="1" t="s">
        <v>189</v>
      </c>
      <c r="BE12" s="1" t="s">
        <v>190</v>
      </c>
      <c r="BF12" s="5" t="s">
        <v>191</v>
      </c>
    </row>
    <row r="13" spans="1:58" x14ac:dyDescent="0.35">
      <c r="A13" s="4">
        <v>12</v>
      </c>
      <c r="B13" s="1" t="s">
        <v>192</v>
      </c>
      <c r="C13" s="1" t="s">
        <v>63</v>
      </c>
      <c r="D13" s="1" t="s">
        <v>63</v>
      </c>
      <c r="E13" s="1" t="s">
        <v>69</v>
      </c>
      <c r="F13" s="1" t="s">
        <v>69</v>
      </c>
      <c r="G13" s="1" t="s">
        <v>69</v>
      </c>
      <c r="H13" s="1" t="s">
        <v>69</v>
      </c>
      <c r="I13" s="1" t="s">
        <v>70</v>
      </c>
      <c r="J13" s="1" t="s">
        <v>107</v>
      </c>
      <c r="K13" s="1">
        <v>42</v>
      </c>
      <c r="L13" s="1" t="s">
        <v>197</v>
      </c>
      <c r="M13" s="1" t="s">
        <v>73</v>
      </c>
      <c r="N13" s="1" t="s">
        <v>110</v>
      </c>
      <c r="O13" s="1">
        <v>4</v>
      </c>
      <c r="P13" s="1">
        <v>4</v>
      </c>
      <c r="Q13" s="1">
        <f>data[[#This Row],[Nilai Kepentingan Dimensi Persyaratan]]-data[[#This Row],[Nilai Kepuasan Dimensi Persyaratan]]</f>
        <v>0</v>
      </c>
      <c r="R13" s="1">
        <v>4</v>
      </c>
      <c r="S13" s="1">
        <v>4</v>
      </c>
      <c r="T13" s="1">
        <f>data[[#This Row],[Nilai Kepentingan Dimensi Prosedur]]-data[[#This Row],[Nilai Kepuasan Dimensi Prosedur]]</f>
        <v>0</v>
      </c>
      <c r="U13" s="1">
        <v>4</v>
      </c>
      <c r="V13" s="1">
        <v>4</v>
      </c>
      <c r="W13" s="1">
        <f>data[[#This Row],[Nilai Kepentingan Dimensi Waktu Pelayanan/Penyelesaian]]-data[[#This Row],[Nilai Kepuasan Dimensi Waktu Pelayanan/Penyelesaian]]</f>
        <v>0</v>
      </c>
      <c r="X13" s="1">
        <v>0</v>
      </c>
      <c r="Y13" s="1">
        <v>0</v>
      </c>
      <c r="Z13" s="1">
        <f>data[[#This Row],[Nilai Kepentingan Dimensi Tarif/ Biaya]]-data[[#This Row],[Nilai Kepuasan Dimensi Tarif / Biaya]]</f>
        <v>0</v>
      </c>
      <c r="AA13" s="1">
        <v>4</v>
      </c>
      <c r="AB13" s="1">
        <v>4</v>
      </c>
      <c r="AC13" s="1">
        <f>data[[#This Row],[Nilai Kepentingan Dimensi Produk Spesifikasi Jenis Layanan]]-data[[#This Row],[Nilai Kepuasan Dimensi Produk Spesifikasi Jenis Layanan]]</f>
        <v>0</v>
      </c>
      <c r="AD13" s="1">
        <v>4</v>
      </c>
      <c r="AE13" s="1">
        <v>4</v>
      </c>
      <c r="AF13" s="1">
        <f>data[[#This Row],[Nilai Kepentingan Dimensi Kompetensi Pelaksana]]-data[[#This Row],[Nilai Kepuasan Dimensi Kompetensi Pelaksana]]</f>
        <v>0</v>
      </c>
      <c r="AG13" s="1">
        <v>4</v>
      </c>
      <c r="AH13" s="1">
        <v>4</v>
      </c>
      <c r="AI13" s="1">
        <f>data[[#This Row],[Nilai Kepentingan Dimensi Perilaku Pelaksana]]-data[[#This Row],[Nilai Kepuasan Dimensi Perilaku Pelaksana]]</f>
        <v>0</v>
      </c>
      <c r="AJ13" s="1">
        <v>4</v>
      </c>
      <c r="AK13" s="1">
        <v>4</v>
      </c>
      <c r="AL13" s="1">
        <f>data[[#This Row],[Nilai Kepentingan Dimensi Penanganan Pengaduan, Saran &amp; Masukan]]-data[[#This Row],[Nilai Kepuasan Dimensi Penanganan Pengaduan, Saran &amp; Masukan]]</f>
        <v>0</v>
      </c>
      <c r="AM13" s="1">
        <v>3</v>
      </c>
      <c r="AN13" s="1">
        <v>3</v>
      </c>
      <c r="AO13" s="1">
        <f>data[[#This Row],[Nilai Kepentingan Dimensi Kualitas Sarana dan Prasarana]]-data[[#This Row],[Nilai Kepuasan Dimensi Kualitas Sarana dan Prasarana]]</f>
        <v>0</v>
      </c>
      <c r="AP13" s="1">
        <v>0</v>
      </c>
      <c r="AQ13" s="1" t="s">
        <v>69</v>
      </c>
      <c r="AR13" s="1">
        <v>0</v>
      </c>
      <c r="AS13" s="1" t="s">
        <v>69</v>
      </c>
      <c r="AT13" s="1">
        <v>0</v>
      </c>
      <c r="AU13" s="1" t="s">
        <v>69</v>
      </c>
      <c r="AV13" s="1" t="s">
        <v>198</v>
      </c>
      <c r="AW13" s="1" t="s">
        <v>77</v>
      </c>
      <c r="AX13" s="1">
        <v>3</v>
      </c>
      <c r="AY13" s="1">
        <v>2</v>
      </c>
      <c r="AZ13" s="1" t="s">
        <v>199</v>
      </c>
      <c r="BA13" s="1" t="s">
        <v>79</v>
      </c>
      <c r="BB13" s="1" t="s">
        <v>200</v>
      </c>
      <c r="BC13" s="1" t="s">
        <v>112</v>
      </c>
      <c r="BD13" s="1" t="s">
        <v>201</v>
      </c>
      <c r="BE13" s="1" t="s">
        <v>146</v>
      </c>
      <c r="BF13" s="5" t="s">
        <v>83</v>
      </c>
    </row>
    <row r="14" spans="1:58" x14ac:dyDescent="0.35">
      <c r="A14" s="4">
        <v>13</v>
      </c>
      <c r="B14" s="1" t="s">
        <v>202</v>
      </c>
      <c r="C14" s="1" t="s">
        <v>63</v>
      </c>
      <c r="D14" s="1" t="s">
        <v>179</v>
      </c>
      <c r="E14" s="1" t="s">
        <v>69</v>
      </c>
      <c r="F14" s="1" t="s">
        <v>69</v>
      </c>
      <c r="G14" s="1" t="s">
        <v>69</v>
      </c>
      <c r="H14" s="1" t="s">
        <v>69</v>
      </c>
      <c r="I14" s="1" t="s">
        <v>106</v>
      </c>
      <c r="J14" s="1" t="s">
        <v>71</v>
      </c>
      <c r="K14" s="1">
        <v>18</v>
      </c>
      <c r="L14" s="1" t="s">
        <v>131</v>
      </c>
      <c r="M14" s="1" t="s">
        <v>73</v>
      </c>
      <c r="N14" s="1" t="s">
        <v>133</v>
      </c>
      <c r="O14" s="1">
        <v>4</v>
      </c>
      <c r="P14" s="1">
        <v>4</v>
      </c>
      <c r="Q14" s="1">
        <f>data[[#This Row],[Nilai Kepentingan Dimensi Persyaratan]]-data[[#This Row],[Nilai Kepuasan Dimensi Persyaratan]]</f>
        <v>0</v>
      </c>
      <c r="R14" s="1">
        <v>4</v>
      </c>
      <c r="S14" s="1">
        <v>4</v>
      </c>
      <c r="T14" s="1">
        <f>data[[#This Row],[Nilai Kepentingan Dimensi Prosedur]]-data[[#This Row],[Nilai Kepuasan Dimensi Prosedur]]</f>
        <v>0</v>
      </c>
      <c r="U14" s="1">
        <v>3</v>
      </c>
      <c r="V14" s="1">
        <v>4</v>
      </c>
      <c r="W14" s="1">
        <f>data[[#This Row],[Nilai Kepentingan Dimensi Waktu Pelayanan/Penyelesaian]]-data[[#This Row],[Nilai Kepuasan Dimensi Waktu Pelayanan/Penyelesaian]]</f>
        <v>1</v>
      </c>
      <c r="X14" s="1">
        <v>3</v>
      </c>
      <c r="Y14" s="1">
        <v>4</v>
      </c>
      <c r="Z14" s="1">
        <f>data[[#This Row],[Nilai Kepentingan Dimensi Tarif/ Biaya]]-data[[#This Row],[Nilai Kepuasan Dimensi Tarif / Biaya]]</f>
        <v>1</v>
      </c>
      <c r="AA14" s="1">
        <v>4</v>
      </c>
      <c r="AB14" s="1">
        <v>4</v>
      </c>
      <c r="AC14" s="1">
        <f>data[[#This Row],[Nilai Kepentingan Dimensi Produk Spesifikasi Jenis Layanan]]-data[[#This Row],[Nilai Kepuasan Dimensi Produk Spesifikasi Jenis Layanan]]</f>
        <v>0</v>
      </c>
      <c r="AD14" s="1">
        <v>4</v>
      </c>
      <c r="AE14" s="1">
        <v>4</v>
      </c>
      <c r="AF14" s="1">
        <f>data[[#This Row],[Nilai Kepentingan Dimensi Kompetensi Pelaksana]]-data[[#This Row],[Nilai Kepuasan Dimensi Kompetensi Pelaksana]]</f>
        <v>0</v>
      </c>
      <c r="AG14" s="1">
        <v>4</v>
      </c>
      <c r="AH14" s="1">
        <v>4</v>
      </c>
      <c r="AI14" s="1">
        <f>data[[#This Row],[Nilai Kepentingan Dimensi Perilaku Pelaksana]]-data[[#This Row],[Nilai Kepuasan Dimensi Perilaku Pelaksana]]</f>
        <v>0</v>
      </c>
      <c r="AJ14" s="1">
        <v>4</v>
      </c>
      <c r="AK14" s="1">
        <v>4</v>
      </c>
      <c r="AL14" s="1">
        <f>data[[#This Row],[Nilai Kepentingan Dimensi Penanganan Pengaduan, Saran &amp; Masukan]]-data[[#This Row],[Nilai Kepuasan Dimensi Penanganan Pengaduan, Saran &amp; Masukan]]</f>
        <v>0</v>
      </c>
      <c r="AM14" s="1">
        <v>4</v>
      </c>
      <c r="AN14" s="1">
        <v>4</v>
      </c>
      <c r="AO14" s="1">
        <f>data[[#This Row],[Nilai Kepentingan Dimensi Kualitas Sarana dan Prasarana]]-data[[#This Row],[Nilai Kepuasan Dimensi Kualitas Sarana dan Prasarana]]</f>
        <v>0</v>
      </c>
      <c r="AP14" s="1">
        <v>3</v>
      </c>
      <c r="AQ14" s="1" t="s">
        <v>75</v>
      </c>
      <c r="AR14" s="1">
        <v>0</v>
      </c>
      <c r="AS14" s="1" t="s">
        <v>69</v>
      </c>
      <c r="AT14" s="1">
        <v>0</v>
      </c>
      <c r="AU14" s="1" t="s">
        <v>69</v>
      </c>
      <c r="AV14" s="1" t="s">
        <v>83</v>
      </c>
      <c r="AW14" s="1" t="s">
        <v>96</v>
      </c>
      <c r="AX14" s="1">
        <v>0</v>
      </c>
      <c r="AY14" s="1">
        <v>0</v>
      </c>
      <c r="AZ14" s="1" t="s">
        <v>98</v>
      </c>
      <c r="BA14" s="1" t="s">
        <v>99</v>
      </c>
      <c r="BB14" s="1" t="s">
        <v>98</v>
      </c>
      <c r="BC14" s="1" t="s">
        <v>99</v>
      </c>
      <c r="BD14" s="1" t="s">
        <v>98</v>
      </c>
      <c r="BE14" s="1" t="s">
        <v>99</v>
      </c>
      <c r="BF14" s="5" t="s">
        <v>98</v>
      </c>
    </row>
    <row r="15" spans="1:58" x14ac:dyDescent="0.35">
      <c r="A15" s="4">
        <v>14</v>
      </c>
      <c r="B15" s="1" t="s">
        <v>207</v>
      </c>
      <c r="C15" s="1" t="s">
        <v>63</v>
      </c>
      <c r="D15" s="1" t="s">
        <v>136</v>
      </c>
      <c r="E15" s="1" t="s">
        <v>69</v>
      </c>
      <c r="F15" s="1" t="s">
        <v>69</v>
      </c>
      <c r="G15" s="1" t="s">
        <v>69</v>
      </c>
      <c r="H15" s="1" t="s">
        <v>69</v>
      </c>
      <c r="I15" s="1" t="s">
        <v>70</v>
      </c>
      <c r="J15" s="1" t="s">
        <v>107</v>
      </c>
      <c r="K15" s="1">
        <v>32</v>
      </c>
      <c r="L15" s="1" t="s">
        <v>109</v>
      </c>
      <c r="M15" s="1" t="s">
        <v>73</v>
      </c>
      <c r="N15" s="1" t="s">
        <v>74</v>
      </c>
      <c r="O15" s="1">
        <v>3</v>
      </c>
      <c r="P15" s="1">
        <v>3</v>
      </c>
      <c r="Q15" s="1">
        <f>data[[#This Row],[Nilai Kepentingan Dimensi Persyaratan]]-data[[#This Row],[Nilai Kepuasan Dimensi Persyaratan]]</f>
        <v>0</v>
      </c>
      <c r="R15" s="1">
        <v>4</v>
      </c>
      <c r="S15" s="1">
        <v>3</v>
      </c>
      <c r="T15" s="1">
        <f>data[[#This Row],[Nilai Kepentingan Dimensi Prosedur]]-data[[#This Row],[Nilai Kepuasan Dimensi Prosedur]]</f>
        <v>-1</v>
      </c>
      <c r="U15" s="1">
        <v>3</v>
      </c>
      <c r="V15" s="1">
        <v>3</v>
      </c>
      <c r="W15" s="1">
        <f>data[[#This Row],[Nilai Kepentingan Dimensi Waktu Pelayanan/Penyelesaian]]-data[[#This Row],[Nilai Kepuasan Dimensi Waktu Pelayanan/Penyelesaian]]</f>
        <v>0</v>
      </c>
      <c r="X15" s="1">
        <v>4</v>
      </c>
      <c r="Y15" s="1">
        <v>4</v>
      </c>
      <c r="Z15" s="1">
        <f>data[[#This Row],[Nilai Kepentingan Dimensi Tarif/ Biaya]]-data[[#This Row],[Nilai Kepuasan Dimensi Tarif / Biaya]]</f>
        <v>0</v>
      </c>
      <c r="AA15" s="1">
        <v>3</v>
      </c>
      <c r="AB15" s="1">
        <v>3</v>
      </c>
      <c r="AC15" s="1">
        <f>data[[#This Row],[Nilai Kepentingan Dimensi Produk Spesifikasi Jenis Layanan]]-data[[#This Row],[Nilai Kepuasan Dimensi Produk Spesifikasi Jenis Layanan]]</f>
        <v>0</v>
      </c>
      <c r="AD15" s="1">
        <v>3</v>
      </c>
      <c r="AE15" s="1">
        <v>3</v>
      </c>
      <c r="AF15" s="1">
        <f>data[[#This Row],[Nilai Kepentingan Dimensi Kompetensi Pelaksana]]-data[[#This Row],[Nilai Kepuasan Dimensi Kompetensi Pelaksana]]</f>
        <v>0</v>
      </c>
      <c r="AG15" s="1">
        <v>4</v>
      </c>
      <c r="AH15" s="1">
        <v>4</v>
      </c>
      <c r="AI15" s="1">
        <f>data[[#This Row],[Nilai Kepentingan Dimensi Perilaku Pelaksana]]-data[[#This Row],[Nilai Kepuasan Dimensi Perilaku Pelaksana]]</f>
        <v>0</v>
      </c>
      <c r="AJ15" s="1">
        <v>4</v>
      </c>
      <c r="AK15" s="1">
        <v>4</v>
      </c>
      <c r="AL15" s="1">
        <f>data[[#This Row],[Nilai Kepentingan Dimensi Penanganan Pengaduan, Saran &amp; Masukan]]-data[[#This Row],[Nilai Kepuasan Dimensi Penanganan Pengaduan, Saran &amp; Masukan]]</f>
        <v>0</v>
      </c>
      <c r="AM15" s="1">
        <v>3</v>
      </c>
      <c r="AN15" s="1">
        <v>3</v>
      </c>
      <c r="AO15" s="1">
        <f>data[[#This Row],[Nilai Kepentingan Dimensi Kualitas Sarana dan Prasarana]]-data[[#This Row],[Nilai Kepuasan Dimensi Kualitas Sarana dan Prasarana]]</f>
        <v>0</v>
      </c>
      <c r="AP15" s="1">
        <v>0</v>
      </c>
      <c r="AQ15" s="1" t="s">
        <v>69</v>
      </c>
      <c r="AR15" s="1">
        <v>0</v>
      </c>
      <c r="AS15" s="1" t="s">
        <v>69</v>
      </c>
      <c r="AT15" s="1">
        <v>4</v>
      </c>
      <c r="AU15" s="1" t="s">
        <v>75</v>
      </c>
      <c r="AV15" s="1" t="s">
        <v>83</v>
      </c>
      <c r="AW15" s="1" t="s">
        <v>96</v>
      </c>
      <c r="AX15" s="1">
        <v>0</v>
      </c>
      <c r="AY15" s="1">
        <v>0</v>
      </c>
      <c r="AZ15" s="1" t="s">
        <v>98</v>
      </c>
      <c r="BA15" s="1" t="s">
        <v>99</v>
      </c>
      <c r="BB15" s="1" t="s">
        <v>98</v>
      </c>
      <c r="BC15" s="1" t="s">
        <v>99</v>
      </c>
      <c r="BD15" s="1" t="s">
        <v>98</v>
      </c>
      <c r="BE15" s="1" t="s">
        <v>99</v>
      </c>
      <c r="BF15" s="5" t="s">
        <v>98</v>
      </c>
    </row>
    <row r="16" spans="1:58" x14ac:dyDescent="0.35">
      <c r="A16" s="4">
        <v>15</v>
      </c>
      <c r="B16" s="1" t="s">
        <v>213</v>
      </c>
      <c r="C16" s="1" t="s">
        <v>63</v>
      </c>
      <c r="D16" s="1" t="s">
        <v>63</v>
      </c>
      <c r="E16" s="1" t="s">
        <v>69</v>
      </c>
      <c r="F16" s="1" t="s">
        <v>69</v>
      </c>
      <c r="G16" s="1" t="s">
        <v>69</v>
      </c>
      <c r="H16" s="1" t="s">
        <v>69</v>
      </c>
      <c r="I16" s="1" t="s">
        <v>70</v>
      </c>
      <c r="J16" s="1" t="s">
        <v>71</v>
      </c>
      <c r="K16" s="1">
        <v>20</v>
      </c>
      <c r="L16" s="1" t="s">
        <v>131</v>
      </c>
      <c r="M16" s="1" t="s">
        <v>73</v>
      </c>
      <c r="N16" s="1" t="s">
        <v>95</v>
      </c>
      <c r="O16" s="1">
        <v>3</v>
      </c>
      <c r="P16" s="1">
        <v>3</v>
      </c>
      <c r="Q16" s="1">
        <f>data[[#This Row],[Nilai Kepentingan Dimensi Persyaratan]]-data[[#This Row],[Nilai Kepuasan Dimensi Persyaratan]]</f>
        <v>0</v>
      </c>
      <c r="R16" s="1">
        <v>3</v>
      </c>
      <c r="S16" s="1">
        <v>3</v>
      </c>
      <c r="T16" s="1">
        <f>data[[#This Row],[Nilai Kepentingan Dimensi Prosedur]]-data[[#This Row],[Nilai Kepuasan Dimensi Prosedur]]</f>
        <v>0</v>
      </c>
      <c r="U16" s="1">
        <v>3</v>
      </c>
      <c r="V16" s="1">
        <v>3</v>
      </c>
      <c r="W16" s="1">
        <f>data[[#This Row],[Nilai Kepentingan Dimensi Waktu Pelayanan/Penyelesaian]]-data[[#This Row],[Nilai Kepuasan Dimensi Waktu Pelayanan/Penyelesaian]]</f>
        <v>0</v>
      </c>
      <c r="X16" s="1">
        <v>3</v>
      </c>
      <c r="Y16" s="1">
        <v>3</v>
      </c>
      <c r="Z16" s="1">
        <f>data[[#This Row],[Nilai Kepentingan Dimensi Tarif/ Biaya]]-data[[#This Row],[Nilai Kepuasan Dimensi Tarif / Biaya]]</f>
        <v>0</v>
      </c>
      <c r="AA16" s="1">
        <v>3</v>
      </c>
      <c r="AB16" s="1">
        <v>3</v>
      </c>
      <c r="AC16" s="1">
        <f>data[[#This Row],[Nilai Kepentingan Dimensi Produk Spesifikasi Jenis Layanan]]-data[[#This Row],[Nilai Kepuasan Dimensi Produk Spesifikasi Jenis Layanan]]</f>
        <v>0</v>
      </c>
      <c r="AD16" s="1">
        <v>4</v>
      </c>
      <c r="AE16" s="1">
        <v>3</v>
      </c>
      <c r="AF16" s="1">
        <f>data[[#This Row],[Nilai Kepentingan Dimensi Kompetensi Pelaksana]]-data[[#This Row],[Nilai Kepuasan Dimensi Kompetensi Pelaksana]]</f>
        <v>-1</v>
      </c>
      <c r="AG16" s="1">
        <v>3</v>
      </c>
      <c r="AH16" s="1">
        <v>4</v>
      </c>
      <c r="AI16" s="1">
        <f>data[[#This Row],[Nilai Kepentingan Dimensi Perilaku Pelaksana]]-data[[#This Row],[Nilai Kepuasan Dimensi Perilaku Pelaksana]]</f>
        <v>1</v>
      </c>
      <c r="AJ16" s="1">
        <v>3</v>
      </c>
      <c r="AK16" s="1">
        <v>3</v>
      </c>
      <c r="AL16" s="1">
        <f>data[[#This Row],[Nilai Kepentingan Dimensi Penanganan Pengaduan, Saran &amp; Masukan]]-data[[#This Row],[Nilai Kepuasan Dimensi Penanganan Pengaduan, Saran &amp; Masukan]]</f>
        <v>0</v>
      </c>
      <c r="AM16" s="1">
        <v>3</v>
      </c>
      <c r="AN16" s="1">
        <v>3</v>
      </c>
      <c r="AO16" s="1">
        <f>data[[#This Row],[Nilai Kepentingan Dimensi Kualitas Sarana dan Prasarana]]-data[[#This Row],[Nilai Kepuasan Dimensi Kualitas Sarana dan Prasarana]]</f>
        <v>0</v>
      </c>
      <c r="AP16" s="1">
        <v>2</v>
      </c>
      <c r="AQ16" s="1" t="s">
        <v>75</v>
      </c>
      <c r="AR16" s="1">
        <v>0</v>
      </c>
      <c r="AS16" s="1" t="s">
        <v>69</v>
      </c>
      <c r="AT16" s="1">
        <v>0</v>
      </c>
      <c r="AU16" s="1" t="s">
        <v>69</v>
      </c>
      <c r="AV16" s="1" t="s">
        <v>83</v>
      </c>
      <c r="AW16" s="1" t="s">
        <v>96</v>
      </c>
      <c r="AX16" s="1">
        <v>0</v>
      </c>
      <c r="AY16" s="1">
        <v>0</v>
      </c>
      <c r="AZ16" s="1" t="s">
        <v>98</v>
      </c>
      <c r="BA16" s="1" t="s">
        <v>99</v>
      </c>
      <c r="BB16" s="1" t="s">
        <v>218</v>
      </c>
      <c r="BC16" s="1" t="s">
        <v>112</v>
      </c>
      <c r="BD16" s="1" t="s">
        <v>98</v>
      </c>
      <c r="BE16" s="1" t="s">
        <v>99</v>
      </c>
      <c r="BF16" s="5" t="s">
        <v>219</v>
      </c>
    </row>
    <row r="17" spans="1:58" x14ac:dyDescent="0.35">
      <c r="A17" s="4">
        <v>16</v>
      </c>
      <c r="B17" s="1" t="s">
        <v>220</v>
      </c>
      <c r="C17" s="1" t="s">
        <v>63</v>
      </c>
      <c r="D17" s="1" t="s">
        <v>125</v>
      </c>
      <c r="E17" s="1" t="s">
        <v>69</v>
      </c>
      <c r="F17" s="1" t="s">
        <v>69</v>
      </c>
      <c r="G17" s="1" t="s">
        <v>69</v>
      </c>
      <c r="H17" s="1" t="s">
        <v>69</v>
      </c>
      <c r="I17" s="1" t="s">
        <v>106</v>
      </c>
      <c r="J17" s="1" t="s">
        <v>107</v>
      </c>
      <c r="K17" s="1">
        <v>46</v>
      </c>
      <c r="L17" s="1" t="s">
        <v>225</v>
      </c>
      <c r="M17" s="1" t="s">
        <v>93</v>
      </c>
      <c r="N17" s="1" t="s">
        <v>74</v>
      </c>
      <c r="O17" s="1">
        <v>4</v>
      </c>
      <c r="P17" s="1">
        <v>4</v>
      </c>
      <c r="Q17" s="1">
        <f>data[[#This Row],[Nilai Kepentingan Dimensi Persyaratan]]-data[[#This Row],[Nilai Kepuasan Dimensi Persyaratan]]</f>
        <v>0</v>
      </c>
      <c r="R17" s="1">
        <v>4</v>
      </c>
      <c r="S17" s="1">
        <v>4</v>
      </c>
      <c r="T17" s="1">
        <f>data[[#This Row],[Nilai Kepentingan Dimensi Prosedur]]-data[[#This Row],[Nilai Kepuasan Dimensi Prosedur]]</f>
        <v>0</v>
      </c>
      <c r="U17" s="1">
        <v>4</v>
      </c>
      <c r="V17" s="1">
        <v>4</v>
      </c>
      <c r="W17" s="1">
        <f>data[[#This Row],[Nilai Kepentingan Dimensi Waktu Pelayanan/Penyelesaian]]-data[[#This Row],[Nilai Kepuasan Dimensi Waktu Pelayanan/Penyelesaian]]</f>
        <v>0</v>
      </c>
      <c r="X17" s="1">
        <v>3</v>
      </c>
      <c r="Y17" s="1">
        <v>4</v>
      </c>
      <c r="Z17" s="1">
        <f>data[[#This Row],[Nilai Kepentingan Dimensi Tarif/ Biaya]]-data[[#This Row],[Nilai Kepuasan Dimensi Tarif / Biaya]]</f>
        <v>1</v>
      </c>
      <c r="AA17" s="1">
        <v>4</v>
      </c>
      <c r="AB17" s="1">
        <v>4</v>
      </c>
      <c r="AC17" s="1">
        <f>data[[#This Row],[Nilai Kepentingan Dimensi Produk Spesifikasi Jenis Layanan]]-data[[#This Row],[Nilai Kepuasan Dimensi Produk Spesifikasi Jenis Layanan]]</f>
        <v>0</v>
      </c>
      <c r="AD17" s="1">
        <v>3</v>
      </c>
      <c r="AE17" s="1">
        <v>4</v>
      </c>
      <c r="AF17" s="1">
        <f>data[[#This Row],[Nilai Kepentingan Dimensi Kompetensi Pelaksana]]-data[[#This Row],[Nilai Kepuasan Dimensi Kompetensi Pelaksana]]</f>
        <v>1</v>
      </c>
      <c r="AG17" s="1">
        <v>4</v>
      </c>
      <c r="AH17" s="1">
        <v>4</v>
      </c>
      <c r="AI17" s="1">
        <f>data[[#This Row],[Nilai Kepentingan Dimensi Perilaku Pelaksana]]-data[[#This Row],[Nilai Kepuasan Dimensi Perilaku Pelaksana]]</f>
        <v>0</v>
      </c>
      <c r="AJ17" s="1">
        <v>4</v>
      </c>
      <c r="AK17" s="1">
        <v>4</v>
      </c>
      <c r="AL17" s="1">
        <f>data[[#This Row],[Nilai Kepentingan Dimensi Penanganan Pengaduan, Saran &amp; Masukan]]-data[[#This Row],[Nilai Kepuasan Dimensi Penanganan Pengaduan, Saran &amp; Masukan]]</f>
        <v>0</v>
      </c>
      <c r="AM17" s="1">
        <v>4</v>
      </c>
      <c r="AN17" s="1">
        <v>4</v>
      </c>
      <c r="AO17" s="1">
        <f>data[[#This Row],[Nilai Kepentingan Dimensi Kualitas Sarana dan Prasarana]]-data[[#This Row],[Nilai Kepuasan Dimensi Kualitas Sarana dan Prasarana]]</f>
        <v>0</v>
      </c>
      <c r="AP17" s="1">
        <v>0</v>
      </c>
      <c r="AQ17" s="1" t="s">
        <v>69</v>
      </c>
      <c r="AR17" s="1">
        <v>0</v>
      </c>
      <c r="AS17" s="1" t="s">
        <v>69</v>
      </c>
      <c r="AT17" s="1">
        <v>0</v>
      </c>
      <c r="AU17" s="1" t="s">
        <v>69</v>
      </c>
      <c r="AV17" s="1" t="s">
        <v>144</v>
      </c>
      <c r="AW17" s="1" t="s">
        <v>144</v>
      </c>
      <c r="AX17" s="1">
        <v>2</v>
      </c>
      <c r="AY17" s="1">
        <v>3</v>
      </c>
      <c r="AZ17" s="1" t="s">
        <v>226</v>
      </c>
      <c r="BA17" s="1" t="s">
        <v>227</v>
      </c>
      <c r="BB17" s="1" t="s">
        <v>98</v>
      </c>
      <c r="BC17" s="1" t="s">
        <v>99</v>
      </c>
      <c r="BD17" s="1" t="s">
        <v>98</v>
      </c>
      <c r="BE17" s="1" t="s">
        <v>99</v>
      </c>
      <c r="BF17" s="5" t="s">
        <v>228</v>
      </c>
    </row>
    <row r="18" spans="1:58" x14ac:dyDescent="0.35">
      <c r="A18" s="4">
        <v>17</v>
      </c>
      <c r="B18" s="1" t="s">
        <v>229</v>
      </c>
      <c r="C18" s="1" t="s">
        <v>63</v>
      </c>
      <c r="D18" s="1" t="s">
        <v>136</v>
      </c>
      <c r="E18" s="1" t="s">
        <v>69</v>
      </c>
      <c r="F18" s="1" t="s">
        <v>69</v>
      </c>
      <c r="G18" s="1" t="s">
        <v>69</v>
      </c>
      <c r="H18" s="1" t="s">
        <v>69</v>
      </c>
      <c r="I18" s="1" t="s">
        <v>70</v>
      </c>
      <c r="J18" s="1" t="s">
        <v>107</v>
      </c>
      <c r="K18" s="1">
        <v>60</v>
      </c>
      <c r="L18" s="1" t="s">
        <v>182</v>
      </c>
      <c r="M18" s="1" t="s">
        <v>73</v>
      </c>
      <c r="N18" s="1" t="s">
        <v>232</v>
      </c>
      <c r="O18" s="1">
        <v>3</v>
      </c>
      <c r="P18" s="1">
        <v>3</v>
      </c>
      <c r="Q18" s="1">
        <f>data[[#This Row],[Nilai Kepentingan Dimensi Persyaratan]]-data[[#This Row],[Nilai Kepuasan Dimensi Persyaratan]]</f>
        <v>0</v>
      </c>
      <c r="R18" s="1">
        <v>4</v>
      </c>
      <c r="S18" s="1">
        <v>4</v>
      </c>
      <c r="T18" s="1">
        <f>data[[#This Row],[Nilai Kepentingan Dimensi Prosedur]]-data[[#This Row],[Nilai Kepuasan Dimensi Prosedur]]</f>
        <v>0</v>
      </c>
      <c r="U18" s="1">
        <v>3</v>
      </c>
      <c r="V18" s="1">
        <v>3</v>
      </c>
      <c r="W18" s="1">
        <f>data[[#This Row],[Nilai Kepentingan Dimensi Waktu Pelayanan/Penyelesaian]]-data[[#This Row],[Nilai Kepuasan Dimensi Waktu Pelayanan/Penyelesaian]]</f>
        <v>0</v>
      </c>
      <c r="X18" s="1">
        <v>4</v>
      </c>
      <c r="Y18" s="1">
        <v>4</v>
      </c>
      <c r="Z18" s="1">
        <f>data[[#This Row],[Nilai Kepentingan Dimensi Tarif/ Biaya]]-data[[#This Row],[Nilai Kepuasan Dimensi Tarif / Biaya]]</f>
        <v>0</v>
      </c>
      <c r="AA18" s="1">
        <v>3</v>
      </c>
      <c r="AB18" s="1">
        <v>3</v>
      </c>
      <c r="AC18" s="1">
        <f>data[[#This Row],[Nilai Kepentingan Dimensi Produk Spesifikasi Jenis Layanan]]-data[[#This Row],[Nilai Kepuasan Dimensi Produk Spesifikasi Jenis Layanan]]</f>
        <v>0</v>
      </c>
      <c r="AD18" s="1">
        <v>3</v>
      </c>
      <c r="AE18" s="1">
        <v>3</v>
      </c>
      <c r="AF18" s="1">
        <f>data[[#This Row],[Nilai Kepentingan Dimensi Kompetensi Pelaksana]]-data[[#This Row],[Nilai Kepuasan Dimensi Kompetensi Pelaksana]]</f>
        <v>0</v>
      </c>
      <c r="AG18" s="1">
        <v>3</v>
      </c>
      <c r="AH18" s="1">
        <v>3</v>
      </c>
      <c r="AI18" s="1">
        <f>data[[#This Row],[Nilai Kepentingan Dimensi Perilaku Pelaksana]]-data[[#This Row],[Nilai Kepuasan Dimensi Perilaku Pelaksana]]</f>
        <v>0</v>
      </c>
      <c r="AJ18" s="1">
        <v>3</v>
      </c>
      <c r="AK18" s="1">
        <v>3</v>
      </c>
      <c r="AL18" s="1">
        <f>data[[#This Row],[Nilai Kepentingan Dimensi Penanganan Pengaduan, Saran &amp; Masukan]]-data[[#This Row],[Nilai Kepuasan Dimensi Penanganan Pengaduan, Saran &amp; Masukan]]</f>
        <v>0</v>
      </c>
      <c r="AM18" s="1">
        <v>3</v>
      </c>
      <c r="AN18" s="1">
        <v>3</v>
      </c>
      <c r="AO18" s="1">
        <f>data[[#This Row],[Nilai Kepentingan Dimensi Kualitas Sarana dan Prasarana]]-data[[#This Row],[Nilai Kepuasan Dimensi Kualitas Sarana dan Prasarana]]</f>
        <v>0</v>
      </c>
      <c r="AP18" s="1">
        <v>0</v>
      </c>
      <c r="AQ18" s="1" t="s">
        <v>69</v>
      </c>
      <c r="AR18" s="1">
        <v>0</v>
      </c>
      <c r="AS18" s="1" t="s">
        <v>69</v>
      </c>
      <c r="AT18" s="1">
        <v>0</v>
      </c>
      <c r="AU18" s="1" t="s">
        <v>69</v>
      </c>
      <c r="AV18" s="1" t="s">
        <v>233</v>
      </c>
      <c r="AW18" s="1" t="s">
        <v>144</v>
      </c>
      <c r="AX18" s="1">
        <v>2</v>
      </c>
      <c r="AY18" s="1">
        <v>3</v>
      </c>
      <c r="AZ18" s="1" t="s">
        <v>234</v>
      </c>
      <c r="BA18" s="1" t="s">
        <v>235</v>
      </c>
      <c r="BB18" s="1" t="s">
        <v>98</v>
      </c>
      <c r="BC18" s="1" t="s">
        <v>99</v>
      </c>
      <c r="BD18" s="1" t="s">
        <v>236</v>
      </c>
      <c r="BE18" s="1" t="s">
        <v>237</v>
      </c>
      <c r="BF18" s="5" t="s">
        <v>98</v>
      </c>
    </row>
    <row r="19" spans="1:58" x14ac:dyDescent="0.35">
      <c r="A19" s="4">
        <v>18</v>
      </c>
      <c r="B19" s="1" t="s">
        <v>238</v>
      </c>
      <c r="C19" s="1" t="s">
        <v>63</v>
      </c>
      <c r="D19" s="1" t="s">
        <v>240</v>
      </c>
      <c r="E19" s="1" t="s">
        <v>69</v>
      </c>
      <c r="F19" s="1" t="s">
        <v>69</v>
      </c>
      <c r="G19" s="1" t="s">
        <v>69</v>
      </c>
      <c r="H19" s="1" t="s">
        <v>69</v>
      </c>
      <c r="I19" s="1" t="s">
        <v>106</v>
      </c>
      <c r="J19" s="1" t="s">
        <v>71</v>
      </c>
      <c r="K19" s="1">
        <v>21</v>
      </c>
      <c r="L19" s="1" t="s">
        <v>72</v>
      </c>
      <c r="M19" s="1" t="s">
        <v>73</v>
      </c>
      <c r="N19" s="1" t="s">
        <v>246</v>
      </c>
      <c r="O19" s="1">
        <v>4</v>
      </c>
      <c r="P19" s="1">
        <v>4</v>
      </c>
      <c r="Q19" s="1">
        <f>data[[#This Row],[Nilai Kepentingan Dimensi Persyaratan]]-data[[#This Row],[Nilai Kepuasan Dimensi Persyaratan]]</f>
        <v>0</v>
      </c>
      <c r="R19" s="1">
        <v>4</v>
      </c>
      <c r="S19" s="1">
        <v>4</v>
      </c>
      <c r="T19" s="1">
        <f>data[[#This Row],[Nilai Kepentingan Dimensi Prosedur]]-data[[#This Row],[Nilai Kepuasan Dimensi Prosedur]]</f>
        <v>0</v>
      </c>
      <c r="U19" s="1">
        <v>4</v>
      </c>
      <c r="V19" s="1">
        <v>4</v>
      </c>
      <c r="W19" s="1">
        <f>data[[#This Row],[Nilai Kepentingan Dimensi Waktu Pelayanan/Penyelesaian]]-data[[#This Row],[Nilai Kepuasan Dimensi Waktu Pelayanan/Penyelesaian]]</f>
        <v>0</v>
      </c>
      <c r="X19" s="1">
        <v>4</v>
      </c>
      <c r="Y19" s="1">
        <v>4</v>
      </c>
      <c r="Z19" s="1">
        <f>data[[#This Row],[Nilai Kepentingan Dimensi Tarif/ Biaya]]-data[[#This Row],[Nilai Kepuasan Dimensi Tarif / Biaya]]</f>
        <v>0</v>
      </c>
      <c r="AA19" s="1">
        <v>4</v>
      </c>
      <c r="AB19" s="1">
        <v>4</v>
      </c>
      <c r="AC19" s="1">
        <f>data[[#This Row],[Nilai Kepentingan Dimensi Produk Spesifikasi Jenis Layanan]]-data[[#This Row],[Nilai Kepuasan Dimensi Produk Spesifikasi Jenis Layanan]]</f>
        <v>0</v>
      </c>
      <c r="AD19" s="1">
        <v>4</v>
      </c>
      <c r="AE19" s="1">
        <v>4</v>
      </c>
      <c r="AF19" s="1">
        <f>data[[#This Row],[Nilai Kepentingan Dimensi Kompetensi Pelaksana]]-data[[#This Row],[Nilai Kepuasan Dimensi Kompetensi Pelaksana]]</f>
        <v>0</v>
      </c>
      <c r="AG19" s="1">
        <v>4</v>
      </c>
      <c r="AH19" s="1">
        <v>4</v>
      </c>
      <c r="AI19" s="1">
        <f>data[[#This Row],[Nilai Kepentingan Dimensi Perilaku Pelaksana]]-data[[#This Row],[Nilai Kepuasan Dimensi Perilaku Pelaksana]]</f>
        <v>0</v>
      </c>
      <c r="AJ19" s="1">
        <v>4</v>
      </c>
      <c r="AK19" s="1">
        <v>4</v>
      </c>
      <c r="AL19" s="1">
        <f>data[[#This Row],[Nilai Kepentingan Dimensi Penanganan Pengaduan, Saran &amp; Masukan]]-data[[#This Row],[Nilai Kepuasan Dimensi Penanganan Pengaduan, Saran &amp; Masukan]]</f>
        <v>0</v>
      </c>
      <c r="AM19" s="1">
        <v>4</v>
      </c>
      <c r="AN19" s="1">
        <v>4</v>
      </c>
      <c r="AO19" s="1">
        <f>data[[#This Row],[Nilai Kepentingan Dimensi Kualitas Sarana dan Prasarana]]-data[[#This Row],[Nilai Kepuasan Dimensi Kualitas Sarana dan Prasarana]]</f>
        <v>0</v>
      </c>
      <c r="AP19" s="1">
        <v>0</v>
      </c>
      <c r="AQ19" s="1" t="s">
        <v>69</v>
      </c>
      <c r="AR19" s="1">
        <v>0</v>
      </c>
      <c r="AS19" s="1" t="s">
        <v>69</v>
      </c>
      <c r="AT19" s="1">
        <v>0</v>
      </c>
      <c r="AU19" s="1" t="s">
        <v>69</v>
      </c>
      <c r="AV19" s="1" t="s">
        <v>247</v>
      </c>
      <c r="AW19" s="1" t="s">
        <v>144</v>
      </c>
      <c r="AX19" s="1">
        <v>1</v>
      </c>
      <c r="AY19" s="1">
        <v>4</v>
      </c>
      <c r="AZ19" s="1" t="s">
        <v>248</v>
      </c>
      <c r="BA19" s="1" t="s">
        <v>79</v>
      </c>
      <c r="BB19" s="1" t="s">
        <v>248</v>
      </c>
      <c r="BC19" s="1" t="s">
        <v>79</v>
      </c>
      <c r="BD19" s="1" t="s">
        <v>248</v>
      </c>
      <c r="BE19" s="1" t="s">
        <v>79</v>
      </c>
      <c r="BF19" s="5" t="s">
        <v>248</v>
      </c>
    </row>
    <row r="20" spans="1:58" x14ac:dyDescent="0.35">
      <c r="A20" s="4">
        <v>19</v>
      </c>
      <c r="B20" s="1" t="s">
        <v>249</v>
      </c>
      <c r="C20" s="1" t="s">
        <v>63</v>
      </c>
      <c r="D20" s="1" t="s">
        <v>63</v>
      </c>
      <c r="E20" s="1" t="s">
        <v>69</v>
      </c>
      <c r="F20" s="1" t="s">
        <v>69</v>
      </c>
      <c r="G20" s="1" t="s">
        <v>69</v>
      </c>
      <c r="H20" s="1" t="s">
        <v>69</v>
      </c>
      <c r="I20" s="1" t="s">
        <v>106</v>
      </c>
      <c r="J20" s="1" t="s">
        <v>107</v>
      </c>
      <c r="K20" s="1">
        <v>60</v>
      </c>
      <c r="L20" s="1" t="s">
        <v>182</v>
      </c>
      <c r="M20" s="1" t="s">
        <v>254</v>
      </c>
      <c r="N20" s="1" t="s">
        <v>184</v>
      </c>
      <c r="O20" s="1">
        <v>4</v>
      </c>
      <c r="P20" s="1">
        <v>4</v>
      </c>
      <c r="Q20" s="1">
        <f>data[[#This Row],[Nilai Kepentingan Dimensi Persyaratan]]-data[[#This Row],[Nilai Kepuasan Dimensi Persyaratan]]</f>
        <v>0</v>
      </c>
      <c r="R20" s="1">
        <v>4</v>
      </c>
      <c r="S20" s="1">
        <v>4</v>
      </c>
      <c r="T20" s="1">
        <f>data[[#This Row],[Nilai Kepentingan Dimensi Prosedur]]-data[[#This Row],[Nilai Kepuasan Dimensi Prosedur]]</f>
        <v>0</v>
      </c>
      <c r="U20" s="1">
        <v>4</v>
      </c>
      <c r="V20" s="1">
        <v>4</v>
      </c>
      <c r="W20" s="1">
        <f>data[[#This Row],[Nilai Kepentingan Dimensi Waktu Pelayanan/Penyelesaian]]-data[[#This Row],[Nilai Kepuasan Dimensi Waktu Pelayanan/Penyelesaian]]</f>
        <v>0</v>
      </c>
      <c r="X20" s="1">
        <v>4</v>
      </c>
      <c r="Y20" s="1">
        <v>4</v>
      </c>
      <c r="Z20" s="1">
        <f>data[[#This Row],[Nilai Kepentingan Dimensi Tarif/ Biaya]]-data[[#This Row],[Nilai Kepuasan Dimensi Tarif / Biaya]]</f>
        <v>0</v>
      </c>
      <c r="AA20" s="1">
        <v>4</v>
      </c>
      <c r="AB20" s="1">
        <v>4</v>
      </c>
      <c r="AC20" s="1">
        <f>data[[#This Row],[Nilai Kepentingan Dimensi Produk Spesifikasi Jenis Layanan]]-data[[#This Row],[Nilai Kepuasan Dimensi Produk Spesifikasi Jenis Layanan]]</f>
        <v>0</v>
      </c>
      <c r="AD20" s="1">
        <v>4</v>
      </c>
      <c r="AE20" s="1">
        <v>4</v>
      </c>
      <c r="AF20" s="1">
        <f>data[[#This Row],[Nilai Kepentingan Dimensi Kompetensi Pelaksana]]-data[[#This Row],[Nilai Kepuasan Dimensi Kompetensi Pelaksana]]</f>
        <v>0</v>
      </c>
      <c r="AG20" s="1">
        <v>4</v>
      </c>
      <c r="AH20" s="1">
        <v>4</v>
      </c>
      <c r="AI20" s="1">
        <f>data[[#This Row],[Nilai Kepentingan Dimensi Perilaku Pelaksana]]-data[[#This Row],[Nilai Kepuasan Dimensi Perilaku Pelaksana]]</f>
        <v>0</v>
      </c>
      <c r="AJ20" s="1">
        <v>4</v>
      </c>
      <c r="AK20" s="1">
        <v>4</v>
      </c>
      <c r="AL20" s="1">
        <f>data[[#This Row],[Nilai Kepentingan Dimensi Penanganan Pengaduan, Saran &amp; Masukan]]-data[[#This Row],[Nilai Kepuasan Dimensi Penanganan Pengaduan, Saran &amp; Masukan]]</f>
        <v>0</v>
      </c>
      <c r="AM20" s="1">
        <v>3</v>
      </c>
      <c r="AN20" s="1">
        <v>4</v>
      </c>
      <c r="AO20" s="1">
        <f>data[[#This Row],[Nilai Kepentingan Dimensi Kualitas Sarana dan Prasarana]]-data[[#This Row],[Nilai Kepuasan Dimensi Kualitas Sarana dan Prasarana]]</f>
        <v>1</v>
      </c>
      <c r="AP20" s="1">
        <v>0</v>
      </c>
      <c r="AQ20" s="1" t="s">
        <v>75</v>
      </c>
      <c r="AR20" s="1">
        <v>0</v>
      </c>
      <c r="AS20" s="1" t="s">
        <v>75</v>
      </c>
      <c r="AT20" s="1">
        <v>4</v>
      </c>
      <c r="AU20" s="1" t="s">
        <v>75</v>
      </c>
      <c r="AV20" s="1" t="s">
        <v>83</v>
      </c>
      <c r="AW20" s="1" t="s">
        <v>96</v>
      </c>
      <c r="AX20" s="1">
        <v>0</v>
      </c>
      <c r="AY20" s="1">
        <v>0</v>
      </c>
      <c r="AZ20" s="1" t="s">
        <v>256</v>
      </c>
      <c r="BA20" s="1" t="s">
        <v>112</v>
      </c>
      <c r="BB20" s="1" t="s">
        <v>257</v>
      </c>
      <c r="BC20" s="1" t="s">
        <v>112</v>
      </c>
      <c r="BD20" s="1" t="s">
        <v>258</v>
      </c>
      <c r="BE20" s="1" t="s">
        <v>190</v>
      </c>
      <c r="BF20" s="5" t="s">
        <v>248</v>
      </c>
    </row>
    <row r="21" spans="1:58" x14ac:dyDescent="0.35">
      <c r="A21" s="4">
        <v>20</v>
      </c>
      <c r="B21" s="1" t="s">
        <v>259</v>
      </c>
      <c r="C21" s="1" t="s">
        <v>63</v>
      </c>
      <c r="D21" s="1" t="s">
        <v>136</v>
      </c>
      <c r="E21" s="1" t="s">
        <v>69</v>
      </c>
      <c r="F21" s="1" t="s">
        <v>69</v>
      </c>
      <c r="G21" s="1" t="s">
        <v>69</v>
      </c>
      <c r="H21" s="1" t="s">
        <v>69</v>
      </c>
      <c r="I21" s="1" t="s">
        <v>106</v>
      </c>
      <c r="J21" s="1" t="s">
        <v>107</v>
      </c>
      <c r="K21" s="1">
        <v>18</v>
      </c>
      <c r="L21" s="1" t="s">
        <v>131</v>
      </c>
      <c r="M21" s="1" t="s">
        <v>73</v>
      </c>
      <c r="N21" s="1" t="s">
        <v>74</v>
      </c>
      <c r="O21" s="1">
        <v>3</v>
      </c>
      <c r="P21" s="1">
        <v>3</v>
      </c>
      <c r="Q21" s="1">
        <f>data[[#This Row],[Nilai Kepentingan Dimensi Persyaratan]]-data[[#This Row],[Nilai Kepuasan Dimensi Persyaratan]]</f>
        <v>0</v>
      </c>
      <c r="R21" s="1">
        <v>4</v>
      </c>
      <c r="S21" s="1">
        <v>4</v>
      </c>
      <c r="T21" s="1">
        <f>data[[#This Row],[Nilai Kepentingan Dimensi Prosedur]]-data[[#This Row],[Nilai Kepuasan Dimensi Prosedur]]</f>
        <v>0</v>
      </c>
      <c r="U21" s="1">
        <v>4</v>
      </c>
      <c r="V21" s="1">
        <v>4</v>
      </c>
      <c r="W21" s="1">
        <f>data[[#This Row],[Nilai Kepentingan Dimensi Waktu Pelayanan/Penyelesaian]]-data[[#This Row],[Nilai Kepuasan Dimensi Waktu Pelayanan/Penyelesaian]]</f>
        <v>0</v>
      </c>
      <c r="X21" s="1">
        <v>4</v>
      </c>
      <c r="Y21" s="1">
        <v>4</v>
      </c>
      <c r="Z21" s="1">
        <f>data[[#This Row],[Nilai Kepentingan Dimensi Tarif/ Biaya]]-data[[#This Row],[Nilai Kepuasan Dimensi Tarif / Biaya]]</f>
        <v>0</v>
      </c>
      <c r="AA21" s="1">
        <v>4</v>
      </c>
      <c r="AB21" s="1">
        <v>4</v>
      </c>
      <c r="AC21" s="1">
        <f>data[[#This Row],[Nilai Kepentingan Dimensi Produk Spesifikasi Jenis Layanan]]-data[[#This Row],[Nilai Kepuasan Dimensi Produk Spesifikasi Jenis Layanan]]</f>
        <v>0</v>
      </c>
      <c r="AD21" s="1">
        <v>4</v>
      </c>
      <c r="AE21" s="1">
        <v>4</v>
      </c>
      <c r="AF21" s="1">
        <f>data[[#This Row],[Nilai Kepentingan Dimensi Kompetensi Pelaksana]]-data[[#This Row],[Nilai Kepuasan Dimensi Kompetensi Pelaksana]]</f>
        <v>0</v>
      </c>
      <c r="AG21" s="1">
        <v>4</v>
      </c>
      <c r="AH21" s="1">
        <v>4</v>
      </c>
      <c r="AI21" s="1">
        <f>data[[#This Row],[Nilai Kepentingan Dimensi Perilaku Pelaksana]]-data[[#This Row],[Nilai Kepuasan Dimensi Perilaku Pelaksana]]</f>
        <v>0</v>
      </c>
      <c r="AJ21" s="1">
        <v>3</v>
      </c>
      <c r="AK21" s="1">
        <v>3</v>
      </c>
      <c r="AL21" s="1">
        <f>data[[#This Row],[Nilai Kepentingan Dimensi Penanganan Pengaduan, Saran &amp; Masukan]]-data[[#This Row],[Nilai Kepuasan Dimensi Penanganan Pengaduan, Saran &amp; Masukan]]</f>
        <v>0</v>
      </c>
      <c r="AM21" s="1">
        <v>3</v>
      </c>
      <c r="AN21" s="1">
        <v>3</v>
      </c>
      <c r="AO21" s="1">
        <f>data[[#This Row],[Nilai Kepentingan Dimensi Kualitas Sarana dan Prasarana]]-data[[#This Row],[Nilai Kepuasan Dimensi Kualitas Sarana dan Prasarana]]</f>
        <v>0</v>
      </c>
      <c r="AP21" s="1">
        <v>0</v>
      </c>
      <c r="AQ21" s="1" t="s">
        <v>69</v>
      </c>
      <c r="AR21" s="1">
        <v>0</v>
      </c>
      <c r="AS21" s="1" t="s">
        <v>69</v>
      </c>
      <c r="AT21" s="1">
        <v>0</v>
      </c>
      <c r="AU21" s="1" t="s">
        <v>69</v>
      </c>
      <c r="AV21" s="1" t="s">
        <v>144</v>
      </c>
      <c r="AW21" s="1" t="s">
        <v>144</v>
      </c>
      <c r="AX21" s="1">
        <v>1</v>
      </c>
      <c r="AY21" s="1">
        <v>4</v>
      </c>
      <c r="AZ21" s="1" t="s">
        <v>263</v>
      </c>
      <c r="BA21" s="1" t="s">
        <v>99</v>
      </c>
      <c r="BB21" s="1" t="s">
        <v>98</v>
      </c>
      <c r="BC21" s="1" t="s">
        <v>99</v>
      </c>
      <c r="BD21" s="1" t="s">
        <v>264</v>
      </c>
      <c r="BE21" s="1" t="s">
        <v>146</v>
      </c>
      <c r="BF21" s="5" t="s">
        <v>98</v>
      </c>
    </row>
    <row r="22" spans="1:58" x14ac:dyDescent="0.35">
      <c r="A22" s="4">
        <v>21</v>
      </c>
      <c r="B22" s="1" t="s">
        <v>265</v>
      </c>
      <c r="C22" s="1" t="s">
        <v>267</v>
      </c>
      <c r="D22" s="1" t="s">
        <v>268</v>
      </c>
      <c r="E22" s="1" t="s">
        <v>69</v>
      </c>
      <c r="F22" s="1" t="s">
        <v>69</v>
      </c>
      <c r="G22" s="1" t="s">
        <v>69</v>
      </c>
      <c r="H22" s="1" t="s">
        <v>69</v>
      </c>
      <c r="I22" s="1" t="s">
        <v>106</v>
      </c>
      <c r="J22" s="1" t="s">
        <v>271</v>
      </c>
      <c r="K22" s="1">
        <v>43</v>
      </c>
      <c r="L22" s="1" t="s">
        <v>197</v>
      </c>
      <c r="M22" s="1" t="s">
        <v>273</v>
      </c>
      <c r="N22" s="1" t="s">
        <v>274</v>
      </c>
      <c r="O22" s="1">
        <v>4</v>
      </c>
      <c r="P22" s="1">
        <v>4</v>
      </c>
      <c r="Q22" s="1">
        <f>data[[#This Row],[Nilai Kepentingan Dimensi Persyaratan]]-data[[#This Row],[Nilai Kepuasan Dimensi Persyaratan]]</f>
        <v>0</v>
      </c>
      <c r="R22" s="1">
        <v>4</v>
      </c>
      <c r="S22" s="1">
        <v>4</v>
      </c>
      <c r="T22" s="1">
        <f>data[[#This Row],[Nilai Kepentingan Dimensi Prosedur]]-data[[#This Row],[Nilai Kepuasan Dimensi Prosedur]]</f>
        <v>0</v>
      </c>
      <c r="U22" s="1">
        <v>4</v>
      </c>
      <c r="V22" s="1">
        <v>4</v>
      </c>
      <c r="W22" s="1">
        <f>data[[#This Row],[Nilai Kepentingan Dimensi Waktu Pelayanan/Penyelesaian]]-data[[#This Row],[Nilai Kepuasan Dimensi Waktu Pelayanan/Penyelesaian]]</f>
        <v>0</v>
      </c>
      <c r="X22" s="1">
        <v>4</v>
      </c>
      <c r="Y22" s="1">
        <v>4</v>
      </c>
      <c r="Z22" s="1">
        <f>data[[#This Row],[Nilai Kepentingan Dimensi Tarif/ Biaya]]-data[[#This Row],[Nilai Kepuasan Dimensi Tarif / Biaya]]</f>
        <v>0</v>
      </c>
      <c r="AA22" s="1">
        <v>4</v>
      </c>
      <c r="AB22" s="1">
        <v>4</v>
      </c>
      <c r="AC22" s="1">
        <f>data[[#This Row],[Nilai Kepentingan Dimensi Produk Spesifikasi Jenis Layanan]]-data[[#This Row],[Nilai Kepuasan Dimensi Produk Spesifikasi Jenis Layanan]]</f>
        <v>0</v>
      </c>
      <c r="AD22" s="1">
        <v>4</v>
      </c>
      <c r="AE22" s="1">
        <v>4</v>
      </c>
      <c r="AF22" s="1">
        <f>data[[#This Row],[Nilai Kepentingan Dimensi Kompetensi Pelaksana]]-data[[#This Row],[Nilai Kepuasan Dimensi Kompetensi Pelaksana]]</f>
        <v>0</v>
      </c>
      <c r="AG22" s="1">
        <v>4</v>
      </c>
      <c r="AH22" s="1">
        <v>4</v>
      </c>
      <c r="AI22" s="1">
        <f>data[[#This Row],[Nilai Kepentingan Dimensi Perilaku Pelaksana]]-data[[#This Row],[Nilai Kepuasan Dimensi Perilaku Pelaksana]]</f>
        <v>0</v>
      </c>
      <c r="AJ22" s="1">
        <v>4</v>
      </c>
      <c r="AK22" s="1">
        <v>4</v>
      </c>
      <c r="AL22" s="1">
        <f>data[[#This Row],[Nilai Kepentingan Dimensi Penanganan Pengaduan, Saran &amp; Masukan]]-data[[#This Row],[Nilai Kepuasan Dimensi Penanganan Pengaduan, Saran &amp; Masukan]]</f>
        <v>0</v>
      </c>
      <c r="AM22" s="1">
        <v>4</v>
      </c>
      <c r="AN22" s="1">
        <v>4</v>
      </c>
      <c r="AO22" s="1">
        <f>data[[#This Row],[Nilai Kepentingan Dimensi Kualitas Sarana dan Prasarana]]-data[[#This Row],[Nilai Kepuasan Dimensi Kualitas Sarana dan Prasarana]]</f>
        <v>0</v>
      </c>
      <c r="AP22" s="1">
        <v>0</v>
      </c>
      <c r="AQ22" s="1" t="s">
        <v>69</v>
      </c>
      <c r="AR22" s="1">
        <v>0</v>
      </c>
      <c r="AS22" s="1" t="s">
        <v>69</v>
      </c>
      <c r="AT22" s="1">
        <v>0</v>
      </c>
      <c r="AU22" s="1" t="s">
        <v>69</v>
      </c>
      <c r="AV22" s="1" t="s">
        <v>275</v>
      </c>
      <c r="AW22" s="1" t="s">
        <v>276</v>
      </c>
      <c r="AX22" s="1">
        <v>2</v>
      </c>
      <c r="AY22" s="1">
        <v>3</v>
      </c>
      <c r="AZ22" s="1" t="s">
        <v>277</v>
      </c>
      <c r="BA22" s="1" t="s">
        <v>79</v>
      </c>
      <c r="BB22" s="1" t="s">
        <v>248</v>
      </c>
      <c r="BC22" s="1" t="s">
        <v>79</v>
      </c>
      <c r="BD22" s="1" t="s">
        <v>248</v>
      </c>
      <c r="BE22" s="1" t="s">
        <v>79</v>
      </c>
      <c r="BF22" s="5" t="s">
        <v>278</v>
      </c>
    </row>
    <row r="23" spans="1:58" x14ac:dyDescent="0.35">
      <c r="A23" s="4">
        <v>22</v>
      </c>
      <c r="B23" s="1" t="s">
        <v>279</v>
      </c>
      <c r="C23" s="1" t="s">
        <v>63</v>
      </c>
      <c r="D23" s="1" t="s">
        <v>63</v>
      </c>
      <c r="E23" s="1" t="s">
        <v>69</v>
      </c>
      <c r="F23" s="1" t="s">
        <v>69</v>
      </c>
      <c r="G23" s="1" t="s">
        <v>69</v>
      </c>
      <c r="H23" s="1" t="s">
        <v>69</v>
      </c>
      <c r="I23" s="1" t="s">
        <v>70</v>
      </c>
      <c r="J23" s="1" t="s">
        <v>107</v>
      </c>
      <c r="K23" s="1">
        <v>56</v>
      </c>
      <c r="L23" s="1" t="s">
        <v>182</v>
      </c>
      <c r="M23" s="1" t="s">
        <v>73</v>
      </c>
      <c r="N23" s="1" t="s">
        <v>232</v>
      </c>
      <c r="O23" s="1">
        <v>4</v>
      </c>
      <c r="P23" s="1">
        <v>4</v>
      </c>
      <c r="Q23" s="1">
        <f>data[[#This Row],[Nilai Kepentingan Dimensi Persyaratan]]-data[[#This Row],[Nilai Kepuasan Dimensi Persyaratan]]</f>
        <v>0</v>
      </c>
      <c r="R23" s="1">
        <v>4</v>
      </c>
      <c r="S23" s="1">
        <v>4</v>
      </c>
      <c r="T23" s="1">
        <f>data[[#This Row],[Nilai Kepentingan Dimensi Prosedur]]-data[[#This Row],[Nilai Kepuasan Dimensi Prosedur]]</f>
        <v>0</v>
      </c>
      <c r="U23" s="1">
        <v>4</v>
      </c>
      <c r="V23" s="1">
        <v>4</v>
      </c>
      <c r="W23" s="1">
        <f>data[[#This Row],[Nilai Kepentingan Dimensi Waktu Pelayanan/Penyelesaian]]-data[[#This Row],[Nilai Kepuasan Dimensi Waktu Pelayanan/Penyelesaian]]</f>
        <v>0</v>
      </c>
      <c r="X23" s="1">
        <v>4</v>
      </c>
      <c r="Y23" s="1">
        <v>4</v>
      </c>
      <c r="Z23" s="1">
        <f>data[[#This Row],[Nilai Kepentingan Dimensi Tarif/ Biaya]]-data[[#This Row],[Nilai Kepuasan Dimensi Tarif / Biaya]]</f>
        <v>0</v>
      </c>
      <c r="AA23" s="1">
        <v>3</v>
      </c>
      <c r="AB23" s="1">
        <v>4</v>
      </c>
      <c r="AC23" s="1">
        <f>data[[#This Row],[Nilai Kepentingan Dimensi Produk Spesifikasi Jenis Layanan]]-data[[#This Row],[Nilai Kepuasan Dimensi Produk Spesifikasi Jenis Layanan]]</f>
        <v>1</v>
      </c>
      <c r="AD23" s="1">
        <v>4</v>
      </c>
      <c r="AE23" s="1">
        <v>4</v>
      </c>
      <c r="AF23" s="1">
        <f>data[[#This Row],[Nilai Kepentingan Dimensi Kompetensi Pelaksana]]-data[[#This Row],[Nilai Kepuasan Dimensi Kompetensi Pelaksana]]</f>
        <v>0</v>
      </c>
      <c r="AG23" s="1">
        <v>4</v>
      </c>
      <c r="AH23" s="1">
        <v>4</v>
      </c>
      <c r="AI23" s="1">
        <f>data[[#This Row],[Nilai Kepentingan Dimensi Perilaku Pelaksana]]-data[[#This Row],[Nilai Kepuasan Dimensi Perilaku Pelaksana]]</f>
        <v>0</v>
      </c>
      <c r="AJ23" s="1">
        <v>4</v>
      </c>
      <c r="AK23" s="1">
        <v>4</v>
      </c>
      <c r="AL23" s="1">
        <f>data[[#This Row],[Nilai Kepentingan Dimensi Penanganan Pengaduan, Saran &amp; Masukan]]-data[[#This Row],[Nilai Kepuasan Dimensi Penanganan Pengaduan, Saran &amp; Masukan]]</f>
        <v>0</v>
      </c>
      <c r="AM23" s="1">
        <v>4</v>
      </c>
      <c r="AN23" s="1">
        <v>4</v>
      </c>
      <c r="AO23" s="1">
        <f>data[[#This Row],[Nilai Kepentingan Dimensi Kualitas Sarana dan Prasarana]]-data[[#This Row],[Nilai Kepuasan Dimensi Kualitas Sarana dan Prasarana]]</f>
        <v>0</v>
      </c>
      <c r="AP23" s="1">
        <v>0</v>
      </c>
      <c r="AQ23" s="1" t="s">
        <v>69</v>
      </c>
      <c r="AR23" s="1">
        <v>0</v>
      </c>
      <c r="AS23" s="1" t="s">
        <v>69</v>
      </c>
      <c r="AT23" s="1">
        <v>0</v>
      </c>
      <c r="AU23" s="1" t="s">
        <v>69</v>
      </c>
      <c r="AV23" s="1" t="s">
        <v>283</v>
      </c>
      <c r="AW23" s="1" t="s">
        <v>144</v>
      </c>
      <c r="AX23" s="1">
        <v>2</v>
      </c>
      <c r="AY23" s="1">
        <v>3</v>
      </c>
      <c r="AZ23" s="1" t="s">
        <v>284</v>
      </c>
      <c r="BA23" s="1" t="s">
        <v>79</v>
      </c>
      <c r="BB23" s="1" t="s">
        <v>285</v>
      </c>
      <c r="BC23" s="1" t="s">
        <v>157</v>
      </c>
      <c r="BD23" s="1" t="s">
        <v>286</v>
      </c>
      <c r="BE23" s="1" t="s">
        <v>190</v>
      </c>
      <c r="BF23" s="5" t="s">
        <v>83</v>
      </c>
    </row>
    <row r="24" spans="1:58" x14ac:dyDescent="0.35">
      <c r="A24" s="4">
        <v>23</v>
      </c>
      <c r="B24" s="1" t="s">
        <v>287</v>
      </c>
      <c r="C24" s="1" t="s">
        <v>63</v>
      </c>
      <c r="D24" s="1" t="s">
        <v>289</v>
      </c>
      <c r="E24" s="1" t="s">
        <v>69</v>
      </c>
      <c r="F24" s="1" t="s">
        <v>69</v>
      </c>
      <c r="G24" s="1" t="s">
        <v>69</v>
      </c>
      <c r="H24" s="1" t="s">
        <v>69</v>
      </c>
      <c r="I24" s="1" t="s">
        <v>70</v>
      </c>
      <c r="J24" s="1" t="s">
        <v>292</v>
      </c>
      <c r="K24" s="1">
        <v>18</v>
      </c>
      <c r="L24" s="1" t="s">
        <v>131</v>
      </c>
      <c r="M24" s="1" t="s">
        <v>73</v>
      </c>
      <c r="N24" s="1" t="s">
        <v>95</v>
      </c>
      <c r="O24" s="1">
        <v>4</v>
      </c>
      <c r="P24" s="1">
        <v>4</v>
      </c>
      <c r="Q24" s="1">
        <f>data[[#This Row],[Nilai Kepentingan Dimensi Persyaratan]]-data[[#This Row],[Nilai Kepuasan Dimensi Persyaratan]]</f>
        <v>0</v>
      </c>
      <c r="R24" s="1">
        <v>4</v>
      </c>
      <c r="S24" s="1">
        <v>4</v>
      </c>
      <c r="T24" s="1">
        <f>data[[#This Row],[Nilai Kepentingan Dimensi Prosedur]]-data[[#This Row],[Nilai Kepuasan Dimensi Prosedur]]</f>
        <v>0</v>
      </c>
      <c r="U24" s="1">
        <v>4</v>
      </c>
      <c r="V24" s="1">
        <v>4</v>
      </c>
      <c r="W24" s="1">
        <f>data[[#This Row],[Nilai Kepentingan Dimensi Waktu Pelayanan/Penyelesaian]]-data[[#This Row],[Nilai Kepuasan Dimensi Waktu Pelayanan/Penyelesaian]]</f>
        <v>0</v>
      </c>
      <c r="X24" s="1">
        <v>4</v>
      </c>
      <c r="Y24" s="1">
        <v>4</v>
      </c>
      <c r="Z24" s="1">
        <f>data[[#This Row],[Nilai Kepentingan Dimensi Tarif/ Biaya]]-data[[#This Row],[Nilai Kepuasan Dimensi Tarif / Biaya]]</f>
        <v>0</v>
      </c>
      <c r="AA24" s="1">
        <v>4</v>
      </c>
      <c r="AB24" s="1">
        <v>4</v>
      </c>
      <c r="AC24" s="1">
        <f>data[[#This Row],[Nilai Kepentingan Dimensi Produk Spesifikasi Jenis Layanan]]-data[[#This Row],[Nilai Kepuasan Dimensi Produk Spesifikasi Jenis Layanan]]</f>
        <v>0</v>
      </c>
      <c r="AD24" s="1">
        <v>4</v>
      </c>
      <c r="AE24" s="1">
        <v>4</v>
      </c>
      <c r="AF24" s="1">
        <f>data[[#This Row],[Nilai Kepentingan Dimensi Kompetensi Pelaksana]]-data[[#This Row],[Nilai Kepuasan Dimensi Kompetensi Pelaksana]]</f>
        <v>0</v>
      </c>
      <c r="AG24" s="1">
        <v>4</v>
      </c>
      <c r="AH24" s="1">
        <v>4</v>
      </c>
      <c r="AI24" s="1">
        <f>data[[#This Row],[Nilai Kepentingan Dimensi Perilaku Pelaksana]]-data[[#This Row],[Nilai Kepuasan Dimensi Perilaku Pelaksana]]</f>
        <v>0</v>
      </c>
      <c r="AJ24" s="1">
        <v>4</v>
      </c>
      <c r="AK24" s="1">
        <v>4</v>
      </c>
      <c r="AL24" s="1">
        <f>data[[#This Row],[Nilai Kepentingan Dimensi Penanganan Pengaduan, Saran &amp; Masukan]]-data[[#This Row],[Nilai Kepuasan Dimensi Penanganan Pengaduan, Saran &amp; Masukan]]</f>
        <v>0</v>
      </c>
      <c r="AM24" s="1">
        <v>4</v>
      </c>
      <c r="AN24" s="1">
        <v>4</v>
      </c>
      <c r="AO24" s="1">
        <f>data[[#This Row],[Nilai Kepentingan Dimensi Kualitas Sarana dan Prasarana]]-data[[#This Row],[Nilai Kepuasan Dimensi Kualitas Sarana dan Prasarana]]</f>
        <v>0</v>
      </c>
      <c r="AP24" s="1">
        <v>0</v>
      </c>
      <c r="AQ24" s="1" t="s">
        <v>69</v>
      </c>
      <c r="AR24" s="1">
        <v>0</v>
      </c>
      <c r="AS24" s="1" t="s">
        <v>69</v>
      </c>
      <c r="AT24" s="1">
        <v>0</v>
      </c>
      <c r="AU24" s="1" t="s">
        <v>69</v>
      </c>
      <c r="AV24" s="1" t="s">
        <v>293</v>
      </c>
      <c r="AW24" s="1" t="s">
        <v>144</v>
      </c>
      <c r="AX24" s="1">
        <v>1</v>
      </c>
      <c r="AY24" s="1">
        <v>4</v>
      </c>
      <c r="AZ24" s="1" t="s">
        <v>248</v>
      </c>
      <c r="BA24" s="1" t="s">
        <v>79</v>
      </c>
      <c r="BB24" s="1" t="s">
        <v>248</v>
      </c>
      <c r="BC24" s="1" t="s">
        <v>79</v>
      </c>
      <c r="BD24" s="1" t="s">
        <v>248</v>
      </c>
      <c r="BE24" s="1" t="s">
        <v>79</v>
      </c>
      <c r="BF24" s="5" t="s">
        <v>248</v>
      </c>
    </row>
    <row r="25" spans="1:58" x14ac:dyDescent="0.35">
      <c r="A25" s="4">
        <v>24</v>
      </c>
      <c r="B25" s="1" t="s">
        <v>294</v>
      </c>
      <c r="C25" s="1" t="s">
        <v>63</v>
      </c>
      <c r="D25" s="1" t="s">
        <v>136</v>
      </c>
      <c r="E25" s="1" t="s">
        <v>69</v>
      </c>
      <c r="F25" s="1" t="s">
        <v>69</v>
      </c>
      <c r="G25" s="1" t="s">
        <v>69</v>
      </c>
      <c r="H25" s="1" t="s">
        <v>69</v>
      </c>
      <c r="I25" s="1" t="s">
        <v>70</v>
      </c>
      <c r="J25" s="1" t="s">
        <v>107</v>
      </c>
      <c r="K25" s="1">
        <v>18</v>
      </c>
      <c r="L25" s="1" t="s">
        <v>131</v>
      </c>
      <c r="M25" s="1" t="s">
        <v>73</v>
      </c>
      <c r="N25" s="1" t="s">
        <v>95</v>
      </c>
      <c r="O25" s="1">
        <v>4</v>
      </c>
      <c r="P25" s="1">
        <v>4</v>
      </c>
      <c r="Q25" s="1">
        <f>data[[#This Row],[Nilai Kepentingan Dimensi Persyaratan]]-data[[#This Row],[Nilai Kepuasan Dimensi Persyaratan]]</f>
        <v>0</v>
      </c>
      <c r="R25" s="1">
        <v>4</v>
      </c>
      <c r="S25" s="1">
        <v>4</v>
      </c>
      <c r="T25" s="1">
        <f>data[[#This Row],[Nilai Kepentingan Dimensi Prosedur]]-data[[#This Row],[Nilai Kepuasan Dimensi Prosedur]]</f>
        <v>0</v>
      </c>
      <c r="U25" s="1">
        <v>4</v>
      </c>
      <c r="V25" s="1">
        <v>4</v>
      </c>
      <c r="W25" s="1">
        <f>data[[#This Row],[Nilai Kepentingan Dimensi Waktu Pelayanan/Penyelesaian]]-data[[#This Row],[Nilai Kepuasan Dimensi Waktu Pelayanan/Penyelesaian]]</f>
        <v>0</v>
      </c>
      <c r="X25" s="1">
        <v>4</v>
      </c>
      <c r="Y25" s="1">
        <v>4</v>
      </c>
      <c r="Z25" s="1">
        <f>data[[#This Row],[Nilai Kepentingan Dimensi Tarif/ Biaya]]-data[[#This Row],[Nilai Kepuasan Dimensi Tarif / Biaya]]</f>
        <v>0</v>
      </c>
      <c r="AA25" s="1">
        <v>4</v>
      </c>
      <c r="AB25" s="1">
        <v>4</v>
      </c>
      <c r="AC25" s="1">
        <f>data[[#This Row],[Nilai Kepentingan Dimensi Produk Spesifikasi Jenis Layanan]]-data[[#This Row],[Nilai Kepuasan Dimensi Produk Spesifikasi Jenis Layanan]]</f>
        <v>0</v>
      </c>
      <c r="AD25" s="1">
        <v>4</v>
      </c>
      <c r="AE25" s="1">
        <v>4</v>
      </c>
      <c r="AF25" s="1">
        <f>data[[#This Row],[Nilai Kepentingan Dimensi Kompetensi Pelaksana]]-data[[#This Row],[Nilai Kepuasan Dimensi Kompetensi Pelaksana]]</f>
        <v>0</v>
      </c>
      <c r="AG25" s="1">
        <v>3</v>
      </c>
      <c r="AH25" s="1">
        <v>4</v>
      </c>
      <c r="AI25" s="1">
        <f>data[[#This Row],[Nilai Kepentingan Dimensi Perilaku Pelaksana]]-data[[#This Row],[Nilai Kepuasan Dimensi Perilaku Pelaksana]]</f>
        <v>1</v>
      </c>
      <c r="AJ25" s="1">
        <v>4</v>
      </c>
      <c r="AK25" s="1">
        <v>4</v>
      </c>
      <c r="AL25" s="1">
        <f>data[[#This Row],[Nilai Kepentingan Dimensi Penanganan Pengaduan, Saran &amp; Masukan]]-data[[#This Row],[Nilai Kepuasan Dimensi Penanganan Pengaduan, Saran &amp; Masukan]]</f>
        <v>0</v>
      </c>
      <c r="AM25" s="1">
        <v>4</v>
      </c>
      <c r="AN25" s="1">
        <v>4</v>
      </c>
      <c r="AO25" s="1">
        <f>data[[#This Row],[Nilai Kepentingan Dimensi Kualitas Sarana dan Prasarana]]-data[[#This Row],[Nilai Kepuasan Dimensi Kualitas Sarana dan Prasarana]]</f>
        <v>0</v>
      </c>
      <c r="AP25" s="1">
        <v>2</v>
      </c>
      <c r="AQ25" s="1" t="s">
        <v>75</v>
      </c>
      <c r="AR25" s="1">
        <v>0</v>
      </c>
      <c r="AS25" s="1" t="s">
        <v>69</v>
      </c>
      <c r="AT25" s="1">
        <v>0</v>
      </c>
      <c r="AU25" s="1" t="s">
        <v>69</v>
      </c>
      <c r="AV25" s="1" t="s">
        <v>83</v>
      </c>
      <c r="AW25" s="1" t="s">
        <v>96</v>
      </c>
      <c r="AX25" s="1">
        <v>0</v>
      </c>
      <c r="AY25" s="1">
        <v>0</v>
      </c>
      <c r="AZ25" s="1" t="s">
        <v>298</v>
      </c>
      <c r="BA25" s="1" t="s">
        <v>112</v>
      </c>
      <c r="BB25" s="1" t="s">
        <v>98</v>
      </c>
      <c r="BC25" s="1" t="s">
        <v>99</v>
      </c>
      <c r="BD25" s="1" t="s">
        <v>98</v>
      </c>
      <c r="BE25" s="1" t="s">
        <v>99</v>
      </c>
      <c r="BF25" s="5" t="s">
        <v>98</v>
      </c>
    </row>
    <row r="26" spans="1:58" x14ac:dyDescent="0.35">
      <c r="A26" s="4">
        <v>25</v>
      </c>
      <c r="B26" s="1" t="s">
        <v>299</v>
      </c>
      <c r="C26" s="1" t="s">
        <v>63</v>
      </c>
      <c r="D26" s="1" t="s">
        <v>179</v>
      </c>
      <c r="E26" s="1" t="s">
        <v>69</v>
      </c>
      <c r="F26" s="1" t="s">
        <v>69</v>
      </c>
      <c r="G26" s="1" t="s">
        <v>69</v>
      </c>
      <c r="H26" s="1" t="s">
        <v>69</v>
      </c>
      <c r="I26" s="1" t="s">
        <v>106</v>
      </c>
      <c r="J26" s="1" t="s">
        <v>271</v>
      </c>
      <c r="K26" s="1">
        <v>18</v>
      </c>
      <c r="L26" s="1" t="s">
        <v>131</v>
      </c>
      <c r="M26" s="1" t="s">
        <v>73</v>
      </c>
      <c r="N26" s="1" t="s">
        <v>95</v>
      </c>
      <c r="O26" s="1">
        <v>4</v>
      </c>
      <c r="P26" s="1">
        <v>3</v>
      </c>
      <c r="Q26" s="1">
        <f>data[[#This Row],[Nilai Kepentingan Dimensi Persyaratan]]-data[[#This Row],[Nilai Kepuasan Dimensi Persyaratan]]</f>
        <v>-1</v>
      </c>
      <c r="R26" s="1">
        <v>3</v>
      </c>
      <c r="S26" s="1">
        <v>4</v>
      </c>
      <c r="T26" s="1">
        <f>data[[#This Row],[Nilai Kepentingan Dimensi Prosedur]]-data[[#This Row],[Nilai Kepuasan Dimensi Prosedur]]</f>
        <v>1</v>
      </c>
      <c r="U26" s="1">
        <v>4</v>
      </c>
      <c r="V26" s="1">
        <v>4</v>
      </c>
      <c r="W26" s="1">
        <f>data[[#This Row],[Nilai Kepentingan Dimensi Waktu Pelayanan/Penyelesaian]]-data[[#This Row],[Nilai Kepuasan Dimensi Waktu Pelayanan/Penyelesaian]]</f>
        <v>0</v>
      </c>
      <c r="X26" s="1">
        <v>4</v>
      </c>
      <c r="Y26" s="1">
        <v>3</v>
      </c>
      <c r="Z26" s="1">
        <f>data[[#This Row],[Nilai Kepentingan Dimensi Tarif/ Biaya]]-data[[#This Row],[Nilai Kepuasan Dimensi Tarif / Biaya]]</f>
        <v>-1</v>
      </c>
      <c r="AA26" s="1">
        <v>4</v>
      </c>
      <c r="AB26" s="1">
        <v>4</v>
      </c>
      <c r="AC26" s="1">
        <f>data[[#This Row],[Nilai Kepentingan Dimensi Produk Spesifikasi Jenis Layanan]]-data[[#This Row],[Nilai Kepuasan Dimensi Produk Spesifikasi Jenis Layanan]]</f>
        <v>0</v>
      </c>
      <c r="AD26" s="1">
        <v>4</v>
      </c>
      <c r="AE26" s="1">
        <v>3</v>
      </c>
      <c r="AF26" s="1">
        <f>data[[#This Row],[Nilai Kepentingan Dimensi Kompetensi Pelaksana]]-data[[#This Row],[Nilai Kepuasan Dimensi Kompetensi Pelaksana]]</f>
        <v>-1</v>
      </c>
      <c r="AG26" s="1">
        <v>4</v>
      </c>
      <c r="AH26" s="1">
        <v>4</v>
      </c>
      <c r="AI26" s="1">
        <f>data[[#This Row],[Nilai Kepentingan Dimensi Perilaku Pelaksana]]-data[[#This Row],[Nilai Kepuasan Dimensi Perilaku Pelaksana]]</f>
        <v>0</v>
      </c>
      <c r="AJ26" s="1">
        <v>4</v>
      </c>
      <c r="AK26" s="1">
        <v>3</v>
      </c>
      <c r="AL26" s="1">
        <f>data[[#This Row],[Nilai Kepentingan Dimensi Penanganan Pengaduan, Saran &amp; Masukan]]-data[[#This Row],[Nilai Kepuasan Dimensi Penanganan Pengaduan, Saran &amp; Masukan]]</f>
        <v>-1</v>
      </c>
      <c r="AM26" s="1">
        <v>4</v>
      </c>
      <c r="AN26" s="1">
        <v>4</v>
      </c>
      <c r="AO26" s="1">
        <f>data[[#This Row],[Nilai Kepentingan Dimensi Kualitas Sarana dan Prasarana]]-data[[#This Row],[Nilai Kepuasan Dimensi Kualitas Sarana dan Prasarana]]</f>
        <v>0</v>
      </c>
      <c r="AP26" s="1">
        <v>0</v>
      </c>
      <c r="AQ26" s="1" t="s">
        <v>69</v>
      </c>
      <c r="AR26" s="1">
        <v>0</v>
      </c>
      <c r="AS26" s="1" t="s">
        <v>69</v>
      </c>
      <c r="AT26" s="1">
        <v>0</v>
      </c>
      <c r="AU26" s="1" t="s">
        <v>69</v>
      </c>
      <c r="AV26" s="1" t="s">
        <v>144</v>
      </c>
      <c r="AW26" s="1" t="s">
        <v>144</v>
      </c>
      <c r="AX26" s="1">
        <v>1</v>
      </c>
      <c r="AY26" s="1">
        <v>4</v>
      </c>
      <c r="AZ26" s="1" t="s">
        <v>248</v>
      </c>
      <c r="BA26" s="1" t="s">
        <v>79</v>
      </c>
      <c r="BB26" s="1" t="s">
        <v>248</v>
      </c>
      <c r="BC26" s="1" t="s">
        <v>79</v>
      </c>
      <c r="BD26" s="1" t="s">
        <v>248</v>
      </c>
      <c r="BE26" s="1" t="s">
        <v>79</v>
      </c>
      <c r="BF26" s="5" t="s">
        <v>277</v>
      </c>
    </row>
    <row r="27" spans="1:58" x14ac:dyDescent="0.35">
      <c r="A27" s="4">
        <v>26</v>
      </c>
      <c r="B27" s="1" t="s">
        <v>304</v>
      </c>
      <c r="C27" s="1" t="s">
        <v>63</v>
      </c>
      <c r="D27" s="1" t="s">
        <v>136</v>
      </c>
      <c r="E27" s="1" t="s">
        <v>69</v>
      </c>
      <c r="F27" s="1" t="s">
        <v>69</v>
      </c>
      <c r="G27" s="1" t="s">
        <v>69</v>
      </c>
      <c r="H27" s="1" t="s">
        <v>69</v>
      </c>
      <c r="I27" s="1" t="s">
        <v>106</v>
      </c>
      <c r="J27" s="1" t="s">
        <v>71</v>
      </c>
      <c r="K27" s="1">
        <v>25</v>
      </c>
      <c r="L27" s="1" t="s">
        <v>72</v>
      </c>
      <c r="M27" s="1" t="s">
        <v>73</v>
      </c>
      <c r="N27" s="1" t="s">
        <v>133</v>
      </c>
      <c r="O27" s="1">
        <v>4</v>
      </c>
      <c r="P27" s="1">
        <v>3</v>
      </c>
      <c r="Q27" s="1">
        <f>data[[#This Row],[Nilai Kepentingan Dimensi Persyaratan]]-data[[#This Row],[Nilai Kepuasan Dimensi Persyaratan]]</f>
        <v>-1</v>
      </c>
      <c r="R27" s="1">
        <v>3</v>
      </c>
      <c r="S27" s="1">
        <v>4</v>
      </c>
      <c r="T27" s="1">
        <f>data[[#This Row],[Nilai Kepentingan Dimensi Prosedur]]-data[[#This Row],[Nilai Kepuasan Dimensi Prosedur]]</f>
        <v>1</v>
      </c>
      <c r="U27" s="1">
        <v>4</v>
      </c>
      <c r="V27" s="1">
        <v>4</v>
      </c>
      <c r="W27" s="1">
        <f>data[[#This Row],[Nilai Kepentingan Dimensi Waktu Pelayanan/Penyelesaian]]-data[[#This Row],[Nilai Kepuasan Dimensi Waktu Pelayanan/Penyelesaian]]</f>
        <v>0</v>
      </c>
      <c r="X27" s="1">
        <v>4</v>
      </c>
      <c r="Y27" s="1">
        <v>4</v>
      </c>
      <c r="Z27" s="1">
        <f>data[[#This Row],[Nilai Kepentingan Dimensi Tarif/ Biaya]]-data[[#This Row],[Nilai Kepuasan Dimensi Tarif / Biaya]]</f>
        <v>0</v>
      </c>
      <c r="AA27" s="1">
        <v>3</v>
      </c>
      <c r="AB27" s="1">
        <v>4</v>
      </c>
      <c r="AC27" s="1">
        <f>data[[#This Row],[Nilai Kepentingan Dimensi Produk Spesifikasi Jenis Layanan]]-data[[#This Row],[Nilai Kepuasan Dimensi Produk Spesifikasi Jenis Layanan]]</f>
        <v>1</v>
      </c>
      <c r="AD27" s="1">
        <v>3</v>
      </c>
      <c r="AE27" s="1">
        <v>4</v>
      </c>
      <c r="AF27" s="1">
        <f>data[[#This Row],[Nilai Kepentingan Dimensi Kompetensi Pelaksana]]-data[[#This Row],[Nilai Kepuasan Dimensi Kompetensi Pelaksana]]</f>
        <v>1</v>
      </c>
      <c r="AG27" s="1">
        <v>4</v>
      </c>
      <c r="AH27" s="1">
        <v>4</v>
      </c>
      <c r="AI27" s="1">
        <f>data[[#This Row],[Nilai Kepentingan Dimensi Perilaku Pelaksana]]-data[[#This Row],[Nilai Kepuasan Dimensi Perilaku Pelaksana]]</f>
        <v>0</v>
      </c>
      <c r="AJ27" s="1">
        <v>4</v>
      </c>
      <c r="AK27" s="1">
        <v>4</v>
      </c>
      <c r="AL27" s="1">
        <f>data[[#This Row],[Nilai Kepentingan Dimensi Penanganan Pengaduan, Saran &amp; Masukan]]-data[[#This Row],[Nilai Kepuasan Dimensi Penanganan Pengaduan, Saran &amp; Masukan]]</f>
        <v>0</v>
      </c>
      <c r="AM27" s="1">
        <v>3</v>
      </c>
      <c r="AN27" s="1">
        <v>4</v>
      </c>
      <c r="AO27" s="1">
        <f>data[[#This Row],[Nilai Kepentingan Dimensi Kualitas Sarana dan Prasarana]]-data[[#This Row],[Nilai Kepuasan Dimensi Kualitas Sarana dan Prasarana]]</f>
        <v>1</v>
      </c>
      <c r="AP27" s="1">
        <v>0</v>
      </c>
      <c r="AQ27" s="1" t="s">
        <v>69</v>
      </c>
      <c r="AR27" s="1">
        <v>0</v>
      </c>
      <c r="AS27" s="1" t="s">
        <v>69</v>
      </c>
      <c r="AT27" s="1">
        <v>0</v>
      </c>
      <c r="AU27" s="1" t="s">
        <v>69</v>
      </c>
      <c r="AV27" s="1" t="s">
        <v>144</v>
      </c>
      <c r="AW27" s="1" t="s">
        <v>144</v>
      </c>
      <c r="AX27" s="1">
        <v>1</v>
      </c>
      <c r="AY27" s="1">
        <v>4</v>
      </c>
      <c r="AZ27" s="1" t="s">
        <v>98</v>
      </c>
      <c r="BA27" s="1" t="s">
        <v>99</v>
      </c>
      <c r="BB27" s="1" t="s">
        <v>98</v>
      </c>
      <c r="BC27" s="1" t="s">
        <v>99</v>
      </c>
      <c r="BD27" s="1" t="s">
        <v>98</v>
      </c>
      <c r="BE27" s="1" t="s">
        <v>99</v>
      </c>
      <c r="BF27" s="5" t="s">
        <v>98</v>
      </c>
    </row>
    <row r="28" spans="1:58" x14ac:dyDescent="0.35">
      <c r="A28" s="4">
        <v>27</v>
      </c>
      <c r="B28" s="1" t="s">
        <v>310</v>
      </c>
      <c r="C28" s="1" t="s">
        <v>63</v>
      </c>
      <c r="D28" s="1" t="s">
        <v>312</v>
      </c>
      <c r="E28" s="1" t="s">
        <v>69</v>
      </c>
      <c r="F28" s="1" t="s">
        <v>69</v>
      </c>
      <c r="G28" s="1" t="s">
        <v>69</v>
      </c>
      <c r="H28" s="1" t="s">
        <v>69</v>
      </c>
      <c r="I28" s="1" t="s">
        <v>106</v>
      </c>
      <c r="J28" s="1" t="s">
        <v>292</v>
      </c>
      <c r="K28" s="1">
        <v>18</v>
      </c>
      <c r="L28" s="1" t="s">
        <v>131</v>
      </c>
      <c r="M28" s="1" t="s">
        <v>73</v>
      </c>
      <c r="N28" s="1" t="s">
        <v>95</v>
      </c>
      <c r="O28" s="1">
        <v>3</v>
      </c>
      <c r="P28" s="1">
        <v>3</v>
      </c>
      <c r="Q28" s="1">
        <f>data[[#This Row],[Nilai Kepentingan Dimensi Persyaratan]]-data[[#This Row],[Nilai Kepuasan Dimensi Persyaratan]]</f>
        <v>0</v>
      </c>
      <c r="R28" s="1">
        <v>3</v>
      </c>
      <c r="S28" s="1">
        <v>4</v>
      </c>
      <c r="T28" s="1">
        <f>data[[#This Row],[Nilai Kepentingan Dimensi Prosedur]]-data[[#This Row],[Nilai Kepuasan Dimensi Prosedur]]</f>
        <v>1</v>
      </c>
      <c r="U28" s="1">
        <v>2</v>
      </c>
      <c r="V28" s="1">
        <v>3</v>
      </c>
      <c r="W28" s="1">
        <f>data[[#This Row],[Nilai Kepentingan Dimensi Waktu Pelayanan/Penyelesaian]]-data[[#This Row],[Nilai Kepuasan Dimensi Waktu Pelayanan/Penyelesaian]]</f>
        <v>1</v>
      </c>
      <c r="X28" s="1">
        <v>3</v>
      </c>
      <c r="Y28" s="1">
        <v>3</v>
      </c>
      <c r="Z28" s="1">
        <f>data[[#This Row],[Nilai Kepentingan Dimensi Tarif/ Biaya]]-data[[#This Row],[Nilai Kepuasan Dimensi Tarif / Biaya]]</f>
        <v>0</v>
      </c>
      <c r="AA28" s="1">
        <v>3</v>
      </c>
      <c r="AB28" s="1">
        <v>4</v>
      </c>
      <c r="AC28" s="1">
        <f>data[[#This Row],[Nilai Kepentingan Dimensi Produk Spesifikasi Jenis Layanan]]-data[[#This Row],[Nilai Kepuasan Dimensi Produk Spesifikasi Jenis Layanan]]</f>
        <v>1</v>
      </c>
      <c r="AD28" s="1">
        <v>3</v>
      </c>
      <c r="AE28" s="1">
        <v>4</v>
      </c>
      <c r="AF28" s="1">
        <f>data[[#This Row],[Nilai Kepentingan Dimensi Kompetensi Pelaksana]]-data[[#This Row],[Nilai Kepuasan Dimensi Kompetensi Pelaksana]]</f>
        <v>1</v>
      </c>
      <c r="AG28" s="1">
        <v>3</v>
      </c>
      <c r="AH28" s="1">
        <v>4</v>
      </c>
      <c r="AI28" s="1">
        <f>data[[#This Row],[Nilai Kepentingan Dimensi Perilaku Pelaksana]]-data[[#This Row],[Nilai Kepuasan Dimensi Perilaku Pelaksana]]</f>
        <v>1</v>
      </c>
      <c r="AJ28" s="1">
        <v>3</v>
      </c>
      <c r="AK28" s="1">
        <v>4</v>
      </c>
      <c r="AL28" s="1">
        <f>data[[#This Row],[Nilai Kepentingan Dimensi Penanganan Pengaduan, Saran &amp; Masukan]]-data[[#This Row],[Nilai Kepuasan Dimensi Penanganan Pengaduan, Saran &amp; Masukan]]</f>
        <v>1</v>
      </c>
      <c r="AM28" s="1">
        <v>3</v>
      </c>
      <c r="AN28" s="1">
        <v>3</v>
      </c>
      <c r="AO28" s="1">
        <f>data[[#This Row],[Nilai Kepentingan Dimensi Kualitas Sarana dan Prasarana]]-data[[#This Row],[Nilai Kepuasan Dimensi Kualitas Sarana dan Prasarana]]</f>
        <v>0</v>
      </c>
      <c r="AP28" s="1">
        <v>0</v>
      </c>
      <c r="AQ28" s="1" t="s">
        <v>69</v>
      </c>
      <c r="AR28" s="1">
        <v>0</v>
      </c>
      <c r="AS28" s="1" t="s">
        <v>69</v>
      </c>
      <c r="AT28" s="1">
        <v>0</v>
      </c>
      <c r="AU28" s="1" t="s">
        <v>69</v>
      </c>
      <c r="AV28" s="1" t="s">
        <v>144</v>
      </c>
      <c r="AW28" s="1" t="s">
        <v>144</v>
      </c>
      <c r="AX28" s="1">
        <v>2</v>
      </c>
      <c r="AY28" s="1">
        <v>3</v>
      </c>
      <c r="AZ28" s="1" t="s">
        <v>315</v>
      </c>
      <c r="BA28" s="1" t="s">
        <v>235</v>
      </c>
      <c r="BB28" s="1" t="s">
        <v>316</v>
      </c>
      <c r="BC28" s="1" t="s">
        <v>112</v>
      </c>
      <c r="BD28" s="1" t="s">
        <v>317</v>
      </c>
      <c r="BE28" s="1" t="s">
        <v>79</v>
      </c>
      <c r="BF28" s="5" t="s">
        <v>248</v>
      </c>
    </row>
    <row r="29" spans="1:58" x14ac:dyDescent="0.35">
      <c r="A29" s="4">
        <v>28</v>
      </c>
      <c r="B29" s="1" t="s">
        <v>318</v>
      </c>
      <c r="C29" s="1" t="s">
        <v>63</v>
      </c>
      <c r="D29" s="1" t="s">
        <v>136</v>
      </c>
      <c r="E29" s="1" t="s">
        <v>69</v>
      </c>
      <c r="F29" s="1" t="s">
        <v>69</v>
      </c>
      <c r="G29" s="1" t="s">
        <v>69</v>
      </c>
      <c r="H29" s="1" t="s">
        <v>69</v>
      </c>
      <c r="I29" s="1" t="s">
        <v>106</v>
      </c>
      <c r="J29" s="1" t="s">
        <v>71</v>
      </c>
      <c r="K29" s="1">
        <v>24</v>
      </c>
      <c r="L29" s="1" t="s">
        <v>72</v>
      </c>
      <c r="M29" s="1" t="s">
        <v>93</v>
      </c>
      <c r="N29" s="1" t="s">
        <v>74</v>
      </c>
      <c r="O29" s="1">
        <v>4</v>
      </c>
      <c r="P29" s="1">
        <v>4</v>
      </c>
      <c r="Q29" s="1">
        <f>data[[#This Row],[Nilai Kepentingan Dimensi Persyaratan]]-data[[#This Row],[Nilai Kepuasan Dimensi Persyaratan]]</f>
        <v>0</v>
      </c>
      <c r="R29" s="1">
        <v>4</v>
      </c>
      <c r="S29" s="1">
        <v>4</v>
      </c>
      <c r="T29" s="1">
        <f>data[[#This Row],[Nilai Kepentingan Dimensi Prosedur]]-data[[#This Row],[Nilai Kepuasan Dimensi Prosedur]]</f>
        <v>0</v>
      </c>
      <c r="U29" s="1">
        <v>4</v>
      </c>
      <c r="V29" s="1">
        <v>4</v>
      </c>
      <c r="W29" s="1">
        <f>data[[#This Row],[Nilai Kepentingan Dimensi Waktu Pelayanan/Penyelesaian]]-data[[#This Row],[Nilai Kepuasan Dimensi Waktu Pelayanan/Penyelesaian]]</f>
        <v>0</v>
      </c>
      <c r="X29" s="1">
        <v>4</v>
      </c>
      <c r="Y29" s="1">
        <v>4</v>
      </c>
      <c r="Z29" s="1">
        <f>data[[#This Row],[Nilai Kepentingan Dimensi Tarif/ Biaya]]-data[[#This Row],[Nilai Kepuasan Dimensi Tarif / Biaya]]</f>
        <v>0</v>
      </c>
      <c r="AA29" s="1">
        <v>4</v>
      </c>
      <c r="AB29" s="1">
        <v>4</v>
      </c>
      <c r="AC29" s="1">
        <f>data[[#This Row],[Nilai Kepentingan Dimensi Produk Spesifikasi Jenis Layanan]]-data[[#This Row],[Nilai Kepuasan Dimensi Produk Spesifikasi Jenis Layanan]]</f>
        <v>0</v>
      </c>
      <c r="AD29" s="1">
        <v>4</v>
      </c>
      <c r="AE29" s="1">
        <v>4</v>
      </c>
      <c r="AF29" s="1">
        <f>data[[#This Row],[Nilai Kepentingan Dimensi Kompetensi Pelaksana]]-data[[#This Row],[Nilai Kepuasan Dimensi Kompetensi Pelaksana]]</f>
        <v>0</v>
      </c>
      <c r="AG29" s="1">
        <v>4</v>
      </c>
      <c r="AH29" s="1">
        <v>4</v>
      </c>
      <c r="AI29" s="1">
        <f>data[[#This Row],[Nilai Kepentingan Dimensi Perilaku Pelaksana]]-data[[#This Row],[Nilai Kepuasan Dimensi Perilaku Pelaksana]]</f>
        <v>0</v>
      </c>
      <c r="AJ29" s="1">
        <v>4</v>
      </c>
      <c r="AK29" s="1">
        <v>4</v>
      </c>
      <c r="AL29" s="1">
        <f>data[[#This Row],[Nilai Kepentingan Dimensi Penanganan Pengaduan, Saran &amp; Masukan]]-data[[#This Row],[Nilai Kepuasan Dimensi Penanganan Pengaduan, Saran &amp; Masukan]]</f>
        <v>0</v>
      </c>
      <c r="AM29" s="1">
        <v>4</v>
      </c>
      <c r="AN29" s="1">
        <v>4</v>
      </c>
      <c r="AO29" s="1">
        <f>data[[#This Row],[Nilai Kepentingan Dimensi Kualitas Sarana dan Prasarana]]-data[[#This Row],[Nilai Kepuasan Dimensi Kualitas Sarana dan Prasarana]]</f>
        <v>0</v>
      </c>
      <c r="AP29" s="1">
        <v>0</v>
      </c>
      <c r="AQ29" s="1" t="s">
        <v>69</v>
      </c>
      <c r="AR29" s="1">
        <v>2</v>
      </c>
      <c r="AS29" s="1" t="s">
        <v>75</v>
      </c>
      <c r="AT29" s="1">
        <v>0</v>
      </c>
      <c r="AU29" s="1" t="s">
        <v>69</v>
      </c>
      <c r="AV29" s="1" t="s">
        <v>83</v>
      </c>
      <c r="AW29" s="1" t="s">
        <v>96</v>
      </c>
      <c r="AX29" s="1">
        <v>0</v>
      </c>
      <c r="AY29" s="1">
        <v>0</v>
      </c>
      <c r="AZ29" s="1" t="s">
        <v>98</v>
      </c>
      <c r="BA29" s="1" t="s">
        <v>99</v>
      </c>
      <c r="BB29" s="1" t="s">
        <v>98</v>
      </c>
      <c r="BC29" s="1" t="s">
        <v>99</v>
      </c>
      <c r="BD29" s="1" t="s">
        <v>98</v>
      </c>
      <c r="BE29" s="1" t="s">
        <v>99</v>
      </c>
      <c r="BF29" s="5" t="s">
        <v>321</v>
      </c>
    </row>
    <row r="30" spans="1:58" x14ac:dyDescent="0.35">
      <c r="A30" s="4">
        <v>29</v>
      </c>
      <c r="B30" s="1" t="s">
        <v>322</v>
      </c>
      <c r="C30" s="1" t="s">
        <v>63</v>
      </c>
      <c r="D30" s="1" t="s">
        <v>136</v>
      </c>
      <c r="E30" s="1" t="s">
        <v>69</v>
      </c>
      <c r="F30" s="1" t="s">
        <v>69</v>
      </c>
      <c r="G30" s="1" t="s">
        <v>69</v>
      </c>
      <c r="H30" s="1" t="s">
        <v>69</v>
      </c>
      <c r="I30" s="1" t="s">
        <v>70</v>
      </c>
      <c r="J30" s="1" t="s">
        <v>292</v>
      </c>
      <c r="K30" s="1">
        <v>18</v>
      </c>
      <c r="L30" s="1" t="s">
        <v>131</v>
      </c>
      <c r="M30" s="1" t="s">
        <v>73</v>
      </c>
      <c r="N30" s="1" t="s">
        <v>74</v>
      </c>
      <c r="O30" s="1">
        <v>4</v>
      </c>
      <c r="P30" s="1">
        <v>4</v>
      </c>
      <c r="Q30" s="1">
        <f>data[[#This Row],[Nilai Kepentingan Dimensi Persyaratan]]-data[[#This Row],[Nilai Kepuasan Dimensi Persyaratan]]</f>
        <v>0</v>
      </c>
      <c r="R30" s="1">
        <v>4</v>
      </c>
      <c r="S30" s="1">
        <v>4</v>
      </c>
      <c r="T30" s="1">
        <f>data[[#This Row],[Nilai Kepentingan Dimensi Prosedur]]-data[[#This Row],[Nilai Kepuasan Dimensi Prosedur]]</f>
        <v>0</v>
      </c>
      <c r="U30" s="1">
        <v>4</v>
      </c>
      <c r="V30" s="1">
        <v>4</v>
      </c>
      <c r="W30" s="1">
        <f>data[[#This Row],[Nilai Kepentingan Dimensi Waktu Pelayanan/Penyelesaian]]-data[[#This Row],[Nilai Kepuasan Dimensi Waktu Pelayanan/Penyelesaian]]</f>
        <v>0</v>
      </c>
      <c r="X30" s="1">
        <v>4</v>
      </c>
      <c r="Y30" s="1">
        <v>4</v>
      </c>
      <c r="Z30" s="1">
        <f>data[[#This Row],[Nilai Kepentingan Dimensi Tarif/ Biaya]]-data[[#This Row],[Nilai Kepuasan Dimensi Tarif / Biaya]]</f>
        <v>0</v>
      </c>
      <c r="AA30" s="1">
        <v>4</v>
      </c>
      <c r="AB30" s="1">
        <v>4</v>
      </c>
      <c r="AC30" s="1">
        <f>data[[#This Row],[Nilai Kepentingan Dimensi Produk Spesifikasi Jenis Layanan]]-data[[#This Row],[Nilai Kepuasan Dimensi Produk Spesifikasi Jenis Layanan]]</f>
        <v>0</v>
      </c>
      <c r="AD30" s="1">
        <v>4</v>
      </c>
      <c r="AE30" s="1">
        <v>4</v>
      </c>
      <c r="AF30" s="1">
        <f>data[[#This Row],[Nilai Kepentingan Dimensi Kompetensi Pelaksana]]-data[[#This Row],[Nilai Kepuasan Dimensi Kompetensi Pelaksana]]</f>
        <v>0</v>
      </c>
      <c r="AG30" s="1">
        <v>4</v>
      </c>
      <c r="AH30" s="1">
        <v>4</v>
      </c>
      <c r="AI30" s="1">
        <f>data[[#This Row],[Nilai Kepentingan Dimensi Perilaku Pelaksana]]-data[[#This Row],[Nilai Kepuasan Dimensi Perilaku Pelaksana]]</f>
        <v>0</v>
      </c>
      <c r="AJ30" s="1">
        <v>4</v>
      </c>
      <c r="AK30" s="1">
        <v>4</v>
      </c>
      <c r="AL30" s="1">
        <f>data[[#This Row],[Nilai Kepentingan Dimensi Penanganan Pengaduan, Saran &amp; Masukan]]-data[[#This Row],[Nilai Kepuasan Dimensi Penanganan Pengaduan, Saran &amp; Masukan]]</f>
        <v>0</v>
      </c>
      <c r="AM30" s="1">
        <v>4</v>
      </c>
      <c r="AN30" s="1">
        <v>4</v>
      </c>
      <c r="AO30" s="1">
        <f>data[[#This Row],[Nilai Kepentingan Dimensi Kualitas Sarana dan Prasarana]]-data[[#This Row],[Nilai Kepuasan Dimensi Kualitas Sarana dan Prasarana]]</f>
        <v>0</v>
      </c>
      <c r="AP30" s="1">
        <v>0</v>
      </c>
      <c r="AQ30" s="1" t="s">
        <v>75</v>
      </c>
      <c r="AR30" s="1">
        <v>0</v>
      </c>
      <c r="AS30" s="1" t="s">
        <v>69</v>
      </c>
      <c r="AT30" s="1">
        <v>0</v>
      </c>
      <c r="AU30" s="1" t="s">
        <v>69</v>
      </c>
      <c r="AV30" s="1" t="s">
        <v>327</v>
      </c>
      <c r="AW30" s="1" t="s">
        <v>77</v>
      </c>
      <c r="AX30" s="1">
        <v>1</v>
      </c>
      <c r="AY30" s="1">
        <v>4</v>
      </c>
      <c r="AZ30" s="1" t="s">
        <v>248</v>
      </c>
      <c r="BA30" s="1" t="s">
        <v>79</v>
      </c>
      <c r="BB30" s="1" t="s">
        <v>248</v>
      </c>
      <c r="BC30" s="1" t="s">
        <v>79</v>
      </c>
      <c r="BD30" s="1" t="s">
        <v>248</v>
      </c>
      <c r="BE30" s="1" t="s">
        <v>79</v>
      </c>
      <c r="BF30" s="5" t="s">
        <v>248</v>
      </c>
    </row>
    <row r="31" spans="1:58" x14ac:dyDescent="0.35">
      <c r="A31" s="4">
        <v>30</v>
      </c>
      <c r="B31" s="1" t="s">
        <v>328</v>
      </c>
      <c r="C31" s="1" t="s">
        <v>63</v>
      </c>
      <c r="D31" s="1" t="s">
        <v>63</v>
      </c>
      <c r="E31" s="1" t="s">
        <v>69</v>
      </c>
      <c r="F31" s="1" t="s">
        <v>69</v>
      </c>
      <c r="G31" s="1" t="s">
        <v>69</v>
      </c>
      <c r="H31" s="1" t="s">
        <v>69</v>
      </c>
      <c r="I31" s="1" t="s">
        <v>106</v>
      </c>
      <c r="J31" s="1" t="s">
        <v>107</v>
      </c>
      <c r="K31" s="1">
        <v>22</v>
      </c>
      <c r="L31" s="1" t="s">
        <v>72</v>
      </c>
      <c r="M31" s="1" t="s">
        <v>73</v>
      </c>
      <c r="N31" s="1" t="s">
        <v>95</v>
      </c>
      <c r="O31" s="1">
        <v>4</v>
      </c>
      <c r="P31" s="1">
        <v>3</v>
      </c>
      <c r="Q31" s="1">
        <f>data[[#This Row],[Nilai Kepentingan Dimensi Persyaratan]]-data[[#This Row],[Nilai Kepuasan Dimensi Persyaratan]]</f>
        <v>-1</v>
      </c>
      <c r="R31" s="1">
        <v>4</v>
      </c>
      <c r="S31" s="1">
        <v>3</v>
      </c>
      <c r="T31" s="1">
        <f>data[[#This Row],[Nilai Kepentingan Dimensi Prosedur]]-data[[#This Row],[Nilai Kepuasan Dimensi Prosedur]]</f>
        <v>-1</v>
      </c>
      <c r="U31" s="1">
        <v>4</v>
      </c>
      <c r="V31" s="1">
        <v>3</v>
      </c>
      <c r="W31" s="1">
        <f>data[[#This Row],[Nilai Kepentingan Dimensi Waktu Pelayanan/Penyelesaian]]-data[[#This Row],[Nilai Kepuasan Dimensi Waktu Pelayanan/Penyelesaian]]</f>
        <v>-1</v>
      </c>
      <c r="X31" s="1">
        <v>4</v>
      </c>
      <c r="Y31" s="1">
        <v>4</v>
      </c>
      <c r="Z31" s="1">
        <f>data[[#This Row],[Nilai Kepentingan Dimensi Tarif/ Biaya]]-data[[#This Row],[Nilai Kepuasan Dimensi Tarif / Biaya]]</f>
        <v>0</v>
      </c>
      <c r="AA31" s="1">
        <v>4</v>
      </c>
      <c r="AB31" s="1">
        <v>3</v>
      </c>
      <c r="AC31" s="1">
        <f>data[[#This Row],[Nilai Kepentingan Dimensi Produk Spesifikasi Jenis Layanan]]-data[[#This Row],[Nilai Kepuasan Dimensi Produk Spesifikasi Jenis Layanan]]</f>
        <v>-1</v>
      </c>
      <c r="AD31" s="1">
        <v>3</v>
      </c>
      <c r="AE31" s="1">
        <v>3</v>
      </c>
      <c r="AF31" s="1">
        <f>data[[#This Row],[Nilai Kepentingan Dimensi Kompetensi Pelaksana]]-data[[#This Row],[Nilai Kepuasan Dimensi Kompetensi Pelaksana]]</f>
        <v>0</v>
      </c>
      <c r="AG31" s="1">
        <v>4</v>
      </c>
      <c r="AH31" s="1">
        <v>3</v>
      </c>
      <c r="AI31" s="1">
        <f>data[[#This Row],[Nilai Kepentingan Dimensi Perilaku Pelaksana]]-data[[#This Row],[Nilai Kepuasan Dimensi Perilaku Pelaksana]]</f>
        <v>-1</v>
      </c>
      <c r="AJ31" s="1">
        <v>3</v>
      </c>
      <c r="AK31" s="1">
        <v>3</v>
      </c>
      <c r="AL31" s="1">
        <f>data[[#This Row],[Nilai Kepentingan Dimensi Penanganan Pengaduan, Saran &amp; Masukan]]-data[[#This Row],[Nilai Kepuasan Dimensi Penanganan Pengaduan, Saran &amp; Masukan]]</f>
        <v>0</v>
      </c>
      <c r="AM31" s="1">
        <v>3</v>
      </c>
      <c r="AN31" s="1">
        <v>3</v>
      </c>
      <c r="AO31" s="1">
        <f>data[[#This Row],[Nilai Kepentingan Dimensi Kualitas Sarana dan Prasarana]]-data[[#This Row],[Nilai Kepuasan Dimensi Kualitas Sarana dan Prasarana]]</f>
        <v>0</v>
      </c>
      <c r="AP31" s="1">
        <v>0</v>
      </c>
      <c r="AQ31" s="1" t="s">
        <v>69</v>
      </c>
      <c r="AR31" s="1">
        <v>0</v>
      </c>
      <c r="AS31" s="1" t="s">
        <v>69</v>
      </c>
      <c r="AT31" s="1">
        <v>0</v>
      </c>
      <c r="AU31" s="1" t="s">
        <v>69</v>
      </c>
      <c r="AV31" s="1" t="s">
        <v>293</v>
      </c>
      <c r="AW31" s="1" t="s">
        <v>144</v>
      </c>
      <c r="AX31" s="1">
        <v>1</v>
      </c>
      <c r="AY31" s="1">
        <v>4</v>
      </c>
      <c r="AZ31" s="1" t="s">
        <v>332</v>
      </c>
      <c r="BA31" s="1" t="s">
        <v>79</v>
      </c>
      <c r="BB31" s="1" t="s">
        <v>333</v>
      </c>
      <c r="BC31" s="1" t="s">
        <v>81</v>
      </c>
      <c r="BD31" s="1" t="s">
        <v>334</v>
      </c>
      <c r="BE31" s="1" t="s">
        <v>79</v>
      </c>
      <c r="BF31" s="5" t="s">
        <v>335</v>
      </c>
    </row>
    <row r="32" spans="1:58" x14ac:dyDescent="0.35">
      <c r="A32" s="4">
        <v>31</v>
      </c>
      <c r="B32" s="1" t="s">
        <v>336</v>
      </c>
      <c r="C32" s="1" t="s">
        <v>63</v>
      </c>
      <c r="D32" s="1" t="s">
        <v>338</v>
      </c>
      <c r="E32" s="1" t="s">
        <v>69</v>
      </c>
      <c r="F32" s="1" t="s">
        <v>69</v>
      </c>
      <c r="G32" s="1" t="s">
        <v>69</v>
      </c>
      <c r="H32" s="1" t="s">
        <v>69</v>
      </c>
      <c r="I32" s="1" t="s">
        <v>70</v>
      </c>
      <c r="J32" s="1" t="s">
        <v>107</v>
      </c>
      <c r="K32" s="1">
        <v>42</v>
      </c>
      <c r="L32" s="1" t="s">
        <v>197</v>
      </c>
      <c r="M32" s="1" t="s">
        <v>73</v>
      </c>
      <c r="N32" s="1" t="s">
        <v>232</v>
      </c>
      <c r="O32" s="1">
        <v>4</v>
      </c>
      <c r="P32" s="1">
        <v>4</v>
      </c>
      <c r="Q32" s="1">
        <f>data[[#This Row],[Nilai Kepentingan Dimensi Persyaratan]]-data[[#This Row],[Nilai Kepuasan Dimensi Persyaratan]]</f>
        <v>0</v>
      </c>
      <c r="R32" s="1">
        <v>4</v>
      </c>
      <c r="S32" s="1">
        <v>4</v>
      </c>
      <c r="T32" s="1">
        <f>data[[#This Row],[Nilai Kepentingan Dimensi Prosedur]]-data[[#This Row],[Nilai Kepuasan Dimensi Prosedur]]</f>
        <v>0</v>
      </c>
      <c r="U32" s="1">
        <v>4</v>
      </c>
      <c r="V32" s="1">
        <v>4</v>
      </c>
      <c r="W32" s="1">
        <f>data[[#This Row],[Nilai Kepentingan Dimensi Waktu Pelayanan/Penyelesaian]]-data[[#This Row],[Nilai Kepuasan Dimensi Waktu Pelayanan/Penyelesaian]]</f>
        <v>0</v>
      </c>
      <c r="X32" s="1">
        <v>4</v>
      </c>
      <c r="Y32" s="1">
        <v>4</v>
      </c>
      <c r="Z32" s="1">
        <f>data[[#This Row],[Nilai Kepentingan Dimensi Tarif/ Biaya]]-data[[#This Row],[Nilai Kepuasan Dimensi Tarif / Biaya]]</f>
        <v>0</v>
      </c>
      <c r="AA32" s="1">
        <v>4</v>
      </c>
      <c r="AB32" s="1">
        <v>4</v>
      </c>
      <c r="AC32" s="1">
        <f>data[[#This Row],[Nilai Kepentingan Dimensi Produk Spesifikasi Jenis Layanan]]-data[[#This Row],[Nilai Kepuasan Dimensi Produk Spesifikasi Jenis Layanan]]</f>
        <v>0</v>
      </c>
      <c r="AD32" s="1">
        <v>4</v>
      </c>
      <c r="AE32" s="1">
        <v>4</v>
      </c>
      <c r="AF32" s="1">
        <f>data[[#This Row],[Nilai Kepentingan Dimensi Kompetensi Pelaksana]]-data[[#This Row],[Nilai Kepuasan Dimensi Kompetensi Pelaksana]]</f>
        <v>0</v>
      </c>
      <c r="AG32" s="1">
        <v>4</v>
      </c>
      <c r="AH32" s="1">
        <v>4</v>
      </c>
      <c r="AI32" s="1">
        <f>data[[#This Row],[Nilai Kepentingan Dimensi Perilaku Pelaksana]]-data[[#This Row],[Nilai Kepuasan Dimensi Perilaku Pelaksana]]</f>
        <v>0</v>
      </c>
      <c r="AJ32" s="1">
        <v>4</v>
      </c>
      <c r="AK32" s="1">
        <v>4</v>
      </c>
      <c r="AL32" s="1">
        <f>data[[#This Row],[Nilai Kepentingan Dimensi Penanganan Pengaduan, Saran &amp; Masukan]]-data[[#This Row],[Nilai Kepuasan Dimensi Penanganan Pengaduan, Saran &amp; Masukan]]</f>
        <v>0</v>
      </c>
      <c r="AM32" s="1">
        <v>4</v>
      </c>
      <c r="AN32" s="1">
        <v>4</v>
      </c>
      <c r="AO32" s="1">
        <f>data[[#This Row],[Nilai Kepentingan Dimensi Kualitas Sarana dan Prasarana]]-data[[#This Row],[Nilai Kepuasan Dimensi Kualitas Sarana dan Prasarana]]</f>
        <v>0</v>
      </c>
      <c r="AP32" s="1">
        <v>0</v>
      </c>
      <c r="AQ32" s="1" t="s">
        <v>69</v>
      </c>
      <c r="AR32" s="1">
        <v>0</v>
      </c>
      <c r="AS32" s="1" t="s">
        <v>69</v>
      </c>
      <c r="AT32" s="1">
        <v>0</v>
      </c>
      <c r="AU32" s="1" t="s">
        <v>69</v>
      </c>
      <c r="AV32" s="1" t="s">
        <v>144</v>
      </c>
      <c r="AW32" s="1" t="s">
        <v>144</v>
      </c>
      <c r="AX32" s="1">
        <v>2</v>
      </c>
      <c r="AY32" s="1">
        <v>3</v>
      </c>
      <c r="AZ32" s="1" t="s">
        <v>98</v>
      </c>
      <c r="BA32" s="1" t="s">
        <v>99</v>
      </c>
      <c r="BB32" s="1" t="s">
        <v>341</v>
      </c>
      <c r="BC32" s="1" t="s">
        <v>81</v>
      </c>
      <c r="BD32" s="1" t="s">
        <v>342</v>
      </c>
      <c r="BE32" s="1" t="s">
        <v>79</v>
      </c>
      <c r="BF32" s="5" t="s">
        <v>98</v>
      </c>
    </row>
    <row r="33" spans="1:58" x14ac:dyDescent="0.35">
      <c r="A33" s="4">
        <v>32</v>
      </c>
      <c r="B33" s="1" t="s">
        <v>343</v>
      </c>
      <c r="C33" s="1" t="s">
        <v>63</v>
      </c>
      <c r="D33" s="1" t="s">
        <v>63</v>
      </c>
      <c r="E33" s="1" t="s">
        <v>69</v>
      </c>
      <c r="F33" s="1" t="s">
        <v>69</v>
      </c>
      <c r="G33" s="1" t="s">
        <v>69</v>
      </c>
      <c r="H33" s="1" t="s">
        <v>69</v>
      </c>
      <c r="I33" s="1" t="s">
        <v>106</v>
      </c>
      <c r="J33" s="1" t="s">
        <v>71</v>
      </c>
      <c r="K33" s="1">
        <v>44</v>
      </c>
      <c r="L33" s="1" t="s">
        <v>197</v>
      </c>
      <c r="M33" s="1" t="s">
        <v>93</v>
      </c>
      <c r="N33" s="1" t="s">
        <v>74</v>
      </c>
      <c r="O33" s="1">
        <v>4</v>
      </c>
      <c r="P33" s="1">
        <v>4</v>
      </c>
      <c r="Q33" s="1">
        <f>data[[#This Row],[Nilai Kepentingan Dimensi Persyaratan]]-data[[#This Row],[Nilai Kepuasan Dimensi Persyaratan]]</f>
        <v>0</v>
      </c>
      <c r="R33" s="1">
        <v>4</v>
      </c>
      <c r="S33" s="1">
        <v>3</v>
      </c>
      <c r="T33" s="1">
        <f>data[[#This Row],[Nilai Kepentingan Dimensi Prosedur]]-data[[#This Row],[Nilai Kepuasan Dimensi Prosedur]]</f>
        <v>-1</v>
      </c>
      <c r="U33" s="1">
        <v>4</v>
      </c>
      <c r="V33" s="1">
        <v>4</v>
      </c>
      <c r="W33" s="1">
        <f>data[[#This Row],[Nilai Kepentingan Dimensi Waktu Pelayanan/Penyelesaian]]-data[[#This Row],[Nilai Kepuasan Dimensi Waktu Pelayanan/Penyelesaian]]</f>
        <v>0</v>
      </c>
      <c r="X33" s="1">
        <v>4</v>
      </c>
      <c r="Y33" s="1">
        <v>4</v>
      </c>
      <c r="Z33" s="1">
        <f>data[[#This Row],[Nilai Kepentingan Dimensi Tarif/ Biaya]]-data[[#This Row],[Nilai Kepuasan Dimensi Tarif / Biaya]]</f>
        <v>0</v>
      </c>
      <c r="AA33" s="1">
        <v>4</v>
      </c>
      <c r="AB33" s="1">
        <v>4</v>
      </c>
      <c r="AC33" s="1">
        <f>data[[#This Row],[Nilai Kepentingan Dimensi Produk Spesifikasi Jenis Layanan]]-data[[#This Row],[Nilai Kepuasan Dimensi Produk Spesifikasi Jenis Layanan]]</f>
        <v>0</v>
      </c>
      <c r="AD33" s="1">
        <v>4</v>
      </c>
      <c r="AE33" s="1">
        <v>4</v>
      </c>
      <c r="AF33" s="1">
        <f>data[[#This Row],[Nilai Kepentingan Dimensi Kompetensi Pelaksana]]-data[[#This Row],[Nilai Kepuasan Dimensi Kompetensi Pelaksana]]</f>
        <v>0</v>
      </c>
      <c r="AG33" s="1">
        <v>4</v>
      </c>
      <c r="AH33" s="1">
        <v>4</v>
      </c>
      <c r="AI33" s="1">
        <f>data[[#This Row],[Nilai Kepentingan Dimensi Perilaku Pelaksana]]-data[[#This Row],[Nilai Kepuasan Dimensi Perilaku Pelaksana]]</f>
        <v>0</v>
      </c>
      <c r="AJ33" s="1">
        <v>3</v>
      </c>
      <c r="AK33" s="1">
        <v>3</v>
      </c>
      <c r="AL33" s="1">
        <f>data[[#This Row],[Nilai Kepentingan Dimensi Penanganan Pengaduan, Saran &amp; Masukan]]-data[[#This Row],[Nilai Kepuasan Dimensi Penanganan Pengaduan, Saran &amp; Masukan]]</f>
        <v>0</v>
      </c>
      <c r="AM33" s="1">
        <v>4</v>
      </c>
      <c r="AN33" s="1">
        <v>4</v>
      </c>
      <c r="AO33" s="1">
        <f>data[[#This Row],[Nilai Kepentingan Dimensi Kualitas Sarana dan Prasarana]]-data[[#This Row],[Nilai Kepuasan Dimensi Kualitas Sarana dan Prasarana]]</f>
        <v>0</v>
      </c>
      <c r="AP33" s="1">
        <v>0</v>
      </c>
      <c r="AQ33" s="1" t="s">
        <v>69</v>
      </c>
      <c r="AR33" s="1">
        <v>4</v>
      </c>
      <c r="AS33" s="1" t="s">
        <v>75</v>
      </c>
      <c r="AT33" s="1">
        <v>0</v>
      </c>
      <c r="AU33" s="1" t="s">
        <v>69</v>
      </c>
      <c r="AV33" s="1" t="s">
        <v>83</v>
      </c>
      <c r="AW33" s="1" t="s">
        <v>96</v>
      </c>
      <c r="AX33" s="1">
        <v>0</v>
      </c>
      <c r="AY33" s="1">
        <v>0</v>
      </c>
      <c r="AZ33" s="1" t="s">
        <v>347</v>
      </c>
      <c r="BA33" s="1" t="s">
        <v>99</v>
      </c>
      <c r="BB33" s="1" t="s">
        <v>348</v>
      </c>
      <c r="BC33" s="1" t="s">
        <v>81</v>
      </c>
      <c r="BD33" s="1" t="s">
        <v>349</v>
      </c>
      <c r="BE33" s="1" t="s">
        <v>79</v>
      </c>
      <c r="BF33" s="5" t="s">
        <v>83</v>
      </c>
    </row>
    <row r="34" spans="1:58" x14ac:dyDescent="0.35">
      <c r="A34" s="4">
        <v>33</v>
      </c>
      <c r="B34" s="1" t="s">
        <v>350</v>
      </c>
      <c r="C34" s="1" t="s">
        <v>352</v>
      </c>
      <c r="D34" s="1" t="s">
        <v>353</v>
      </c>
      <c r="E34" s="1" t="s">
        <v>69</v>
      </c>
      <c r="F34" s="1" t="s">
        <v>69</v>
      </c>
      <c r="G34" s="1" t="s">
        <v>69</v>
      </c>
      <c r="H34" s="1" t="s">
        <v>69</v>
      </c>
      <c r="I34" s="1" t="s">
        <v>70</v>
      </c>
      <c r="J34" s="1" t="s">
        <v>292</v>
      </c>
      <c r="K34" s="1">
        <v>20</v>
      </c>
      <c r="L34" s="1" t="s">
        <v>131</v>
      </c>
      <c r="M34" s="1" t="s">
        <v>73</v>
      </c>
      <c r="N34" s="1" t="s">
        <v>95</v>
      </c>
      <c r="O34" s="1">
        <v>3</v>
      </c>
      <c r="P34" s="1">
        <v>4</v>
      </c>
      <c r="Q34" s="1">
        <f>data[[#This Row],[Nilai Kepentingan Dimensi Persyaratan]]-data[[#This Row],[Nilai Kepuasan Dimensi Persyaratan]]</f>
        <v>1</v>
      </c>
      <c r="R34" s="1">
        <v>3</v>
      </c>
      <c r="S34" s="1">
        <v>4</v>
      </c>
      <c r="T34" s="1">
        <f>data[[#This Row],[Nilai Kepentingan Dimensi Prosedur]]-data[[#This Row],[Nilai Kepuasan Dimensi Prosedur]]</f>
        <v>1</v>
      </c>
      <c r="U34" s="1">
        <v>3</v>
      </c>
      <c r="V34" s="1">
        <v>3</v>
      </c>
      <c r="W34" s="1">
        <f>data[[#This Row],[Nilai Kepentingan Dimensi Waktu Pelayanan/Penyelesaian]]-data[[#This Row],[Nilai Kepuasan Dimensi Waktu Pelayanan/Penyelesaian]]</f>
        <v>0</v>
      </c>
      <c r="X34" s="1">
        <v>3</v>
      </c>
      <c r="Y34" s="1">
        <v>4</v>
      </c>
      <c r="Z34" s="1">
        <f>data[[#This Row],[Nilai Kepentingan Dimensi Tarif/ Biaya]]-data[[#This Row],[Nilai Kepuasan Dimensi Tarif / Biaya]]</f>
        <v>1</v>
      </c>
      <c r="AA34" s="1">
        <v>3</v>
      </c>
      <c r="AB34" s="1">
        <v>4</v>
      </c>
      <c r="AC34" s="1">
        <f>data[[#This Row],[Nilai Kepentingan Dimensi Produk Spesifikasi Jenis Layanan]]-data[[#This Row],[Nilai Kepuasan Dimensi Produk Spesifikasi Jenis Layanan]]</f>
        <v>1</v>
      </c>
      <c r="AD34" s="1">
        <v>3</v>
      </c>
      <c r="AE34" s="1">
        <v>4</v>
      </c>
      <c r="AF34" s="1">
        <f>data[[#This Row],[Nilai Kepentingan Dimensi Kompetensi Pelaksana]]-data[[#This Row],[Nilai Kepuasan Dimensi Kompetensi Pelaksana]]</f>
        <v>1</v>
      </c>
      <c r="AG34" s="1">
        <v>3</v>
      </c>
      <c r="AH34" s="1">
        <v>4</v>
      </c>
      <c r="AI34" s="1">
        <f>data[[#This Row],[Nilai Kepentingan Dimensi Perilaku Pelaksana]]-data[[#This Row],[Nilai Kepuasan Dimensi Perilaku Pelaksana]]</f>
        <v>1</v>
      </c>
      <c r="AJ34" s="1">
        <v>3</v>
      </c>
      <c r="AK34" s="1">
        <v>4</v>
      </c>
      <c r="AL34" s="1">
        <f>data[[#This Row],[Nilai Kepentingan Dimensi Penanganan Pengaduan, Saran &amp; Masukan]]-data[[#This Row],[Nilai Kepuasan Dimensi Penanganan Pengaduan, Saran &amp; Masukan]]</f>
        <v>1</v>
      </c>
      <c r="AM34" s="1">
        <v>3</v>
      </c>
      <c r="AN34" s="1">
        <v>4</v>
      </c>
      <c r="AO34" s="1">
        <f>data[[#This Row],[Nilai Kepentingan Dimensi Kualitas Sarana dan Prasarana]]-data[[#This Row],[Nilai Kepuasan Dimensi Kualitas Sarana dan Prasarana]]</f>
        <v>1</v>
      </c>
      <c r="AP34" s="1">
        <v>0</v>
      </c>
      <c r="AQ34" s="1" t="s">
        <v>69</v>
      </c>
      <c r="AR34" s="1">
        <v>0</v>
      </c>
      <c r="AS34" s="1" t="s">
        <v>69</v>
      </c>
      <c r="AT34" s="1">
        <v>0</v>
      </c>
      <c r="AU34" s="1" t="s">
        <v>69</v>
      </c>
      <c r="AV34" s="1" t="s">
        <v>356</v>
      </c>
      <c r="AW34" s="1" t="s">
        <v>144</v>
      </c>
      <c r="AX34" s="1">
        <v>2</v>
      </c>
      <c r="AY34" s="1">
        <v>3</v>
      </c>
      <c r="AZ34" s="1" t="s">
        <v>248</v>
      </c>
      <c r="BA34" s="1" t="s">
        <v>79</v>
      </c>
      <c r="BB34" s="1" t="s">
        <v>248</v>
      </c>
      <c r="BC34" s="1" t="s">
        <v>79</v>
      </c>
      <c r="BD34" s="1" t="s">
        <v>248</v>
      </c>
      <c r="BE34" s="1" t="s">
        <v>79</v>
      </c>
      <c r="BF34" s="5" t="s">
        <v>248</v>
      </c>
    </row>
    <row r="35" spans="1:58" x14ac:dyDescent="0.35">
      <c r="A35" s="4">
        <v>34</v>
      </c>
      <c r="B35" s="1" t="s">
        <v>357</v>
      </c>
      <c r="C35" s="1" t="s">
        <v>63</v>
      </c>
      <c r="D35" s="1" t="s">
        <v>136</v>
      </c>
      <c r="E35" s="1" t="s">
        <v>69</v>
      </c>
      <c r="F35" s="1" t="s">
        <v>69</v>
      </c>
      <c r="G35" s="1" t="s">
        <v>69</v>
      </c>
      <c r="H35" s="1" t="s">
        <v>69</v>
      </c>
      <c r="I35" s="1" t="s">
        <v>106</v>
      </c>
      <c r="J35" s="1" t="s">
        <v>107</v>
      </c>
      <c r="K35" s="1">
        <v>38</v>
      </c>
      <c r="L35" s="1" t="s">
        <v>153</v>
      </c>
      <c r="M35" s="1" t="s">
        <v>93</v>
      </c>
      <c r="N35" s="1" t="s">
        <v>74</v>
      </c>
      <c r="O35" s="1">
        <v>4</v>
      </c>
      <c r="P35" s="1">
        <v>3</v>
      </c>
      <c r="Q35" s="1">
        <f>data[[#This Row],[Nilai Kepentingan Dimensi Persyaratan]]-data[[#This Row],[Nilai Kepuasan Dimensi Persyaratan]]</f>
        <v>-1</v>
      </c>
      <c r="R35" s="1">
        <v>4</v>
      </c>
      <c r="S35" s="1">
        <v>4</v>
      </c>
      <c r="T35" s="1">
        <f>data[[#This Row],[Nilai Kepentingan Dimensi Prosedur]]-data[[#This Row],[Nilai Kepuasan Dimensi Prosedur]]</f>
        <v>0</v>
      </c>
      <c r="U35" s="1">
        <v>4</v>
      </c>
      <c r="V35" s="1">
        <v>4</v>
      </c>
      <c r="W35" s="1">
        <f>data[[#This Row],[Nilai Kepentingan Dimensi Waktu Pelayanan/Penyelesaian]]-data[[#This Row],[Nilai Kepuasan Dimensi Waktu Pelayanan/Penyelesaian]]</f>
        <v>0</v>
      </c>
      <c r="X35" s="1">
        <v>4</v>
      </c>
      <c r="Y35" s="1">
        <v>4</v>
      </c>
      <c r="Z35" s="1">
        <f>data[[#This Row],[Nilai Kepentingan Dimensi Tarif/ Biaya]]-data[[#This Row],[Nilai Kepuasan Dimensi Tarif / Biaya]]</f>
        <v>0</v>
      </c>
      <c r="AA35" s="1">
        <v>4</v>
      </c>
      <c r="AB35" s="1">
        <v>4</v>
      </c>
      <c r="AC35" s="1">
        <f>data[[#This Row],[Nilai Kepentingan Dimensi Produk Spesifikasi Jenis Layanan]]-data[[#This Row],[Nilai Kepuasan Dimensi Produk Spesifikasi Jenis Layanan]]</f>
        <v>0</v>
      </c>
      <c r="AD35" s="1">
        <v>4</v>
      </c>
      <c r="AE35" s="1">
        <v>4</v>
      </c>
      <c r="AF35" s="1">
        <f>data[[#This Row],[Nilai Kepentingan Dimensi Kompetensi Pelaksana]]-data[[#This Row],[Nilai Kepuasan Dimensi Kompetensi Pelaksana]]</f>
        <v>0</v>
      </c>
      <c r="AG35" s="1">
        <v>4</v>
      </c>
      <c r="AH35" s="1">
        <v>4</v>
      </c>
      <c r="AI35" s="1">
        <f>data[[#This Row],[Nilai Kepentingan Dimensi Perilaku Pelaksana]]-data[[#This Row],[Nilai Kepuasan Dimensi Perilaku Pelaksana]]</f>
        <v>0</v>
      </c>
      <c r="AJ35" s="1">
        <v>4</v>
      </c>
      <c r="AK35" s="1">
        <v>4</v>
      </c>
      <c r="AL35" s="1">
        <f>data[[#This Row],[Nilai Kepentingan Dimensi Penanganan Pengaduan, Saran &amp; Masukan]]-data[[#This Row],[Nilai Kepuasan Dimensi Penanganan Pengaduan, Saran &amp; Masukan]]</f>
        <v>0</v>
      </c>
      <c r="AM35" s="1">
        <v>4</v>
      </c>
      <c r="AN35" s="1">
        <v>4</v>
      </c>
      <c r="AO35" s="1">
        <f>data[[#This Row],[Nilai Kepentingan Dimensi Kualitas Sarana dan Prasarana]]-data[[#This Row],[Nilai Kepuasan Dimensi Kualitas Sarana dan Prasarana]]</f>
        <v>0</v>
      </c>
      <c r="AP35" s="1">
        <v>4</v>
      </c>
      <c r="AQ35" s="1" t="s">
        <v>75</v>
      </c>
      <c r="AR35" s="1">
        <v>0</v>
      </c>
      <c r="AS35" s="1" t="s">
        <v>69</v>
      </c>
      <c r="AT35" s="1">
        <v>0</v>
      </c>
      <c r="AU35" s="1" t="s">
        <v>69</v>
      </c>
      <c r="AV35" s="1" t="s">
        <v>83</v>
      </c>
      <c r="AW35" s="1" t="s">
        <v>96</v>
      </c>
      <c r="AX35" s="1">
        <v>0</v>
      </c>
      <c r="AY35" s="1">
        <v>0</v>
      </c>
      <c r="AZ35" s="1" t="s">
        <v>365</v>
      </c>
      <c r="BA35" s="1" t="s">
        <v>99</v>
      </c>
      <c r="BB35" s="1" t="s">
        <v>365</v>
      </c>
      <c r="BC35" s="1" t="s">
        <v>99</v>
      </c>
      <c r="BD35" s="1" t="s">
        <v>365</v>
      </c>
      <c r="BE35" s="1" t="s">
        <v>99</v>
      </c>
      <c r="BF35" s="5" t="s">
        <v>365</v>
      </c>
    </row>
    <row r="36" spans="1:58" x14ac:dyDescent="0.35">
      <c r="A36" s="4">
        <v>35</v>
      </c>
      <c r="B36" s="1" t="s">
        <v>366</v>
      </c>
      <c r="C36" s="1" t="s">
        <v>63</v>
      </c>
      <c r="D36" s="1" t="s">
        <v>149</v>
      </c>
      <c r="E36" s="1" t="s">
        <v>69</v>
      </c>
      <c r="F36" s="1" t="s">
        <v>69</v>
      </c>
      <c r="G36" s="1" t="s">
        <v>69</v>
      </c>
      <c r="H36" s="1" t="s">
        <v>69</v>
      </c>
      <c r="I36" s="1" t="s">
        <v>70</v>
      </c>
      <c r="J36" s="1" t="s">
        <v>271</v>
      </c>
      <c r="K36" s="1">
        <v>18</v>
      </c>
      <c r="L36" s="1" t="s">
        <v>131</v>
      </c>
      <c r="M36" s="1" t="s">
        <v>73</v>
      </c>
      <c r="N36" s="1" t="s">
        <v>95</v>
      </c>
      <c r="O36" s="1">
        <v>3</v>
      </c>
      <c r="P36" s="1">
        <v>4</v>
      </c>
      <c r="Q36" s="1">
        <f>data[[#This Row],[Nilai Kepentingan Dimensi Persyaratan]]-data[[#This Row],[Nilai Kepuasan Dimensi Persyaratan]]</f>
        <v>1</v>
      </c>
      <c r="R36" s="1">
        <v>4</v>
      </c>
      <c r="S36" s="1">
        <v>4</v>
      </c>
      <c r="T36" s="1">
        <f>data[[#This Row],[Nilai Kepentingan Dimensi Prosedur]]-data[[#This Row],[Nilai Kepuasan Dimensi Prosedur]]</f>
        <v>0</v>
      </c>
      <c r="U36" s="1">
        <v>4</v>
      </c>
      <c r="V36" s="1">
        <v>4</v>
      </c>
      <c r="W36" s="1">
        <f>data[[#This Row],[Nilai Kepentingan Dimensi Waktu Pelayanan/Penyelesaian]]-data[[#This Row],[Nilai Kepuasan Dimensi Waktu Pelayanan/Penyelesaian]]</f>
        <v>0</v>
      </c>
      <c r="X36" s="1">
        <v>4</v>
      </c>
      <c r="Y36" s="1">
        <v>4</v>
      </c>
      <c r="Z36" s="1">
        <f>data[[#This Row],[Nilai Kepentingan Dimensi Tarif/ Biaya]]-data[[#This Row],[Nilai Kepuasan Dimensi Tarif / Biaya]]</f>
        <v>0</v>
      </c>
      <c r="AA36" s="1">
        <v>4</v>
      </c>
      <c r="AB36" s="1">
        <v>4</v>
      </c>
      <c r="AC36" s="1">
        <f>data[[#This Row],[Nilai Kepentingan Dimensi Produk Spesifikasi Jenis Layanan]]-data[[#This Row],[Nilai Kepuasan Dimensi Produk Spesifikasi Jenis Layanan]]</f>
        <v>0</v>
      </c>
      <c r="AD36" s="1">
        <v>4</v>
      </c>
      <c r="AE36" s="1">
        <v>4</v>
      </c>
      <c r="AF36" s="1">
        <f>data[[#This Row],[Nilai Kepentingan Dimensi Kompetensi Pelaksana]]-data[[#This Row],[Nilai Kepuasan Dimensi Kompetensi Pelaksana]]</f>
        <v>0</v>
      </c>
      <c r="AG36" s="1">
        <v>4</v>
      </c>
      <c r="AH36" s="1">
        <v>3</v>
      </c>
      <c r="AI36" s="1">
        <f>data[[#This Row],[Nilai Kepentingan Dimensi Perilaku Pelaksana]]-data[[#This Row],[Nilai Kepuasan Dimensi Perilaku Pelaksana]]</f>
        <v>-1</v>
      </c>
      <c r="AJ36" s="1">
        <v>3</v>
      </c>
      <c r="AK36" s="1">
        <v>4</v>
      </c>
      <c r="AL36" s="1">
        <f>data[[#This Row],[Nilai Kepentingan Dimensi Penanganan Pengaduan, Saran &amp; Masukan]]-data[[#This Row],[Nilai Kepuasan Dimensi Penanganan Pengaduan, Saran &amp; Masukan]]</f>
        <v>1</v>
      </c>
      <c r="AM36" s="1">
        <v>3</v>
      </c>
      <c r="AN36" s="1">
        <v>4</v>
      </c>
      <c r="AO36" s="1">
        <f>data[[#This Row],[Nilai Kepentingan Dimensi Kualitas Sarana dan Prasarana]]-data[[#This Row],[Nilai Kepuasan Dimensi Kualitas Sarana dan Prasarana]]</f>
        <v>1</v>
      </c>
      <c r="AP36" s="1">
        <v>0</v>
      </c>
      <c r="AQ36" s="1" t="s">
        <v>69</v>
      </c>
      <c r="AR36" s="1">
        <v>0</v>
      </c>
      <c r="AS36" s="1" t="s">
        <v>69</v>
      </c>
      <c r="AT36" s="1">
        <v>0</v>
      </c>
      <c r="AU36" s="1" t="s">
        <v>69</v>
      </c>
      <c r="AV36" s="1" t="s">
        <v>370</v>
      </c>
      <c r="AW36" s="1" t="s">
        <v>77</v>
      </c>
      <c r="AX36" s="1">
        <v>1</v>
      </c>
      <c r="AY36" s="1">
        <v>4</v>
      </c>
      <c r="AZ36" s="1" t="s">
        <v>371</v>
      </c>
      <c r="BA36" s="1" t="s">
        <v>112</v>
      </c>
      <c r="BB36" s="1" t="s">
        <v>372</v>
      </c>
      <c r="BC36" s="1" t="s">
        <v>157</v>
      </c>
      <c r="BD36" s="1" t="s">
        <v>248</v>
      </c>
      <c r="BE36" s="1" t="s">
        <v>79</v>
      </c>
      <c r="BF36" s="5" t="s">
        <v>248</v>
      </c>
    </row>
    <row r="37" spans="1:58" x14ac:dyDescent="0.35">
      <c r="A37" s="4">
        <v>36</v>
      </c>
      <c r="B37" s="1" t="s">
        <v>373</v>
      </c>
      <c r="C37" s="1" t="s">
        <v>375</v>
      </c>
      <c r="D37" s="1" t="s">
        <v>376</v>
      </c>
      <c r="E37" s="1" t="s">
        <v>69</v>
      </c>
      <c r="F37" s="1" t="s">
        <v>69</v>
      </c>
      <c r="G37" s="1" t="s">
        <v>69</v>
      </c>
      <c r="H37" s="1" t="s">
        <v>69</v>
      </c>
      <c r="I37" s="1" t="s">
        <v>70</v>
      </c>
      <c r="J37" s="1" t="s">
        <v>107</v>
      </c>
      <c r="K37" s="1">
        <v>43</v>
      </c>
      <c r="L37" s="1" t="s">
        <v>197</v>
      </c>
      <c r="M37" s="1" t="s">
        <v>73</v>
      </c>
      <c r="N37" s="1" t="s">
        <v>74</v>
      </c>
      <c r="O37" s="1">
        <v>4</v>
      </c>
      <c r="P37" s="1">
        <v>4</v>
      </c>
      <c r="Q37" s="1">
        <f>data[[#This Row],[Nilai Kepentingan Dimensi Persyaratan]]-data[[#This Row],[Nilai Kepuasan Dimensi Persyaratan]]</f>
        <v>0</v>
      </c>
      <c r="R37" s="1">
        <v>4</v>
      </c>
      <c r="S37" s="1">
        <v>4</v>
      </c>
      <c r="T37" s="1">
        <f>data[[#This Row],[Nilai Kepentingan Dimensi Prosedur]]-data[[#This Row],[Nilai Kepuasan Dimensi Prosedur]]</f>
        <v>0</v>
      </c>
      <c r="U37" s="1">
        <v>4</v>
      </c>
      <c r="V37" s="1">
        <v>4</v>
      </c>
      <c r="W37" s="1">
        <f>data[[#This Row],[Nilai Kepentingan Dimensi Waktu Pelayanan/Penyelesaian]]-data[[#This Row],[Nilai Kepuasan Dimensi Waktu Pelayanan/Penyelesaian]]</f>
        <v>0</v>
      </c>
      <c r="X37" s="1">
        <v>4</v>
      </c>
      <c r="Y37" s="1">
        <v>4</v>
      </c>
      <c r="Z37" s="1">
        <f>data[[#This Row],[Nilai Kepentingan Dimensi Tarif/ Biaya]]-data[[#This Row],[Nilai Kepuasan Dimensi Tarif / Biaya]]</f>
        <v>0</v>
      </c>
      <c r="AA37" s="1">
        <v>4</v>
      </c>
      <c r="AB37" s="1">
        <v>4</v>
      </c>
      <c r="AC37" s="1">
        <f>data[[#This Row],[Nilai Kepentingan Dimensi Produk Spesifikasi Jenis Layanan]]-data[[#This Row],[Nilai Kepuasan Dimensi Produk Spesifikasi Jenis Layanan]]</f>
        <v>0</v>
      </c>
      <c r="AD37" s="1">
        <v>4</v>
      </c>
      <c r="AE37" s="1">
        <v>4</v>
      </c>
      <c r="AF37" s="1">
        <f>data[[#This Row],[Nilai Kepentingan Dimensi Kompetensi Pelaksana]]-data[[#This Row],[Nilai Kepuasan Dimensi Kompetensi Pelaksana]]</f>
        <v>0</v>
      </c>
      <c r="AG37" s="1">
        <v>4</v>
      </c>
      <c r="AH37" s="1">
        <v>4</v>
      </c>
      <c r="AI37" s="1">
        <f>data[[#This Row],[Nilai Kepentingan Dimensi Perilaku Pelaksana]]-data[[#This Row],[Nilai Kepuasan Dimensi Perilaku Pelaksana]]</f>
        <v>0</v>
      </c>
      <c r="AJ37" s="1">
        <v>4</v>
      </c>
      <c r="AK37" s="1">
        <v>4</v>
      </c>
      <c r="AL37" s="1">
        <f>data[[#This Row],[Nilai Kepentingan Dimensi Penanganan Pengaduan, Saran &amp; Masukan]]-data[[#This Row],[Nilai Kepuasan Dimensi Penanganan Pengaduan, Saran &amp; Masukan]]</f>
        <v>0</v>
      </c>
      <c r="AM37" s="1">
        <v>4</v>
      </c>
      <c r="AN37" s="1">
        <v>4</v>
      </c>
      <c r="AO37" s="1">
        <f>data[[#This Row],[Nilai Kepentingan Dimensi Kualitas Sarana dan Prasarana]]-data[[#This Row],[Nilai Kepuasan Dimensi Kualitas Sarana dan Prasarana]]</f>
        <v>0</v>
      </c>
      <c r="AP37" s="1">
        <v>0</v>
      </c>
      <c r="AQ37" s="1" t="s">
        <v>69</v>
      </c>
      <c r="AR37" s="1">
        <v>0</v>
      </c>
      <c r="AS37" s="1" t="s">
        <v>69</v>
      </c>
      <c r="AT37" s="1">
        <v>0</v>
      </c>
      <c r="AU37" s="1" t="s">
        <v>69</v>
      </c>
      <c r="AV37" s="1" t="s">
        <v>379</v>
      </c>
      <c r="AW37" s="1" t="s">
        <v>77</v>
      </c>
      <c r="AX37" s="1">
        <v>1</v>
      </c>
      <c r="AY37" s="1">
        <v>4</v>
      </c>
      <c r="AZ37" s="1" t="s">
        <v>98</v>
      </c>
      <c r="BA37" s="1" t="s">
        <v>99</v>
      </c>
      <c r="BB37" s="1" t="s">
        <v>98</v>
      </c>
      <c r="BC37" s="1" t="s">
        <v>99</v>
      </c>
      <c r="BD37" s="1" t="s">
        <v>98</v>
      </c>
      <c r="BE37" s="1" t="s">
        <v>99</v>
      </c>
      <c r="BF37" s="5" t="s">
        <v>98</v>
      </c>
    </row>
    <row r="38" spans="1:58" x14ac:dyDescent="0.35">
      <c r="A38" s="4">
        <v>37</v>
      </c>
      <c r="B38" s="1" t="s">
        <v>380</v>
      </c>
      <c r="C38" s="1" t="s">
        <v>63</v>
      </c>
      <c r="D38" s="1" t="s">
        <v>136</v>
      </c>
      <c r="E38" s="1" t="s">
        <v>69</v>
      </c>
      <c r="F38" s="1" t="s">
        <v>69</v>
      </c>
      <c r="G38" s="1" t="s">
        <v>69</v>
      </c>
      <c r="H38" s="1" t="s">
        <v>69</v>
      </c>
      <c r="I38" s="1" t="s">
        <v>106</v>
      </c>
      <c r="J38" s="1" t="s">
        <v>71</v>
      </c>
      <c r="K38" s="1">
        <v>52</v>
      </c>
      <c r="L38" s="1" t="s">
        <v>383</v>
      </c>
      <c r="M38" s="1" t="s">
        <v>93</v>
      </c>
      <c r="N38" s="1" t="s">
        <v>74</v>
      </c>
      <c r="O38" s="1">
        <v>4</v>
      </c>
      <c r="P38" s="1">
        <v>4</v>
      </c>
      <c r="Q38" s="1">
        <f>data[[#This Row],[Nilai Kepentingan Dimensi Persyaratan]]-data[[#This Row],[Nilai Kepuasan Dimensi Persyaratan]]</f>
        <v>0</v>
      </c>
      <c r="R38" s="1">
        <v>4</v>
      </c>
      <c r="S38" s="1">
        <v>4</v>
      </c>
      <c r="T38" s="1">
        <f>data[[#This Row],[Nilai Kepentingan Dimensi Prosedur]]-data[[#This Row],[Nilai Kepuasan Dimensi Prosedur]]</f>
        <v>0</v>
      </c>
      <c r="U38" s="1">
        <v>4</v>
      </c>
      <c r="V38" s="1">
        <v>4</v>
      </c>
      <c r="W38" s="1">
        <f>data[[#This Row],[Nilai Kepentingan Dimensi Waktu Pelayanan/Penyelesaian]]-data[[#This Row],[Nilai Kepuasan Dimensi Waktu Pelayanan/Penyelesaian]]</f>
        <v>0</v>
      </c>
      <c r="X38" s="1">
        <v>4</v>
      </c>
      <c r="Y38" s="1">
        <v>4</v>
      </c>
      <c r="Z38" s="1">
        <f>data[[#This Row],[Nilai Kepentingan Dimensi Tarif/ Biaya]]-data[[#This Row],[Nilai Kepuasan Dimensi Tarif / Biaya]]</f>
        <v>0</v>
      </c>
      <c r="AA38" s="1">
        <v>4</v>
      </c>
      <c r="AB38" s="1">
        <v>4</v>
      </c>
      <c r="AC38" s="1">
        <f>data[[#This Row],[Nilai Kepentingan Dimensi Produk Spesifikasi Jenis Layanan]]-data[[#This Row],[Nilai Kepuasan Dimensi Produk Spesifikasi Jenis Layanan]]</f>
        <v>0</v>
      </c>
      <c r="AD38" s="1">
        <v>4</v>
      </c>
      <c r="AE38" s="1">
        <v>4</v>
      </c>
      <c r="AF38" s="1">
        <f>data[[#This Row],[Nilai Kepentingan Dimensi Kompetensi Pelaksana]]-data[[#This Row],[Nilai Kepuasan Dimensi Kompetensi Pelaksana]]</f>
        <v>0</v>
      </c>
      <c r="AG38" s="1">
        <v>4</v>
      </c>
      <c r="AH38" s="1">
        <v>4</v>
      </c>
      <c r="AI38" s="1">
        <f>data[[#This Row],[Nilai Kepentingan Dimensi Perilaku Pelaksana]]-data[[#This Row],[Nilai Kepuasan Dimensi Perilaku Pelaksana]]</f>
        <v>0</v>
      </c>
      <c r="AJ38" s="1">
        <v>4</v>
      </c>
      <c r="AK38" s="1">
        <v>4</v>
      </c>
      <c r="AL38" s="1">
        <f>data[[#This Row],[Nilai Kepentingan Dimensi Penanganan Pengaduan, Saran &amp; Masukan]]-data[[#This Row],[Nilai Kepuasan Dimensi Penanganan Pengaduan, Saran &amp; Masukan]]</f>
        <v>0</v>
      </c>
      <c r="AM38" s="1">
        <v>4</v>
      </c>
      <c r="AN38" s="1">
        <v>4</v>
      </c>
      <c r="AO38" s="1">
        <f>data[[#This Row],[Nilai Kepentingan Dimensi Kualitas Sarana dan Prasarana]]-data[[#This Row],[Nilai Kepuasan Dimensi Kualitas Sarana dan Prasarana]]</f>
        <v>0</v>
      </c>
      <c r="AP38" s="1">
        <v>0</v>
      </c>
      <c r="AQ38" s="1" t="s">
        <v>69</v>
      </c>
      <c r="AR38" s="1">
        <v>0</v>
      </c>
      <c r="AS38" s="1" t="s">
        <v>69</v>
      </c>
      <c r="AT38" s="1">
        <v>0</v>
      </c>
      <c r="AU38" s="1" t="s">
        <v>69</v>
      </c>
      <c r="AV38" s="1" t="s">
        <v>384</v>
      </c>
      <c r="AW38" s="1" t="s">
        <v>186</v>
      </c>
      <c r="AX38" s="1">
        <v>1</v>
      </c>
      <c r="AY38" s="1">
        <v>4</v>
      </c>
      <c r="AZ38" s="1" t="s">
        <v>98</v>
      </c>
      <c r="BA38" s="1" t="s">
        <v>99</v>
      </c>
      <c r="BB38" s="1" t="s">
        <v>98</v>
      </c>
      <c r="BC38" s="1" t="s">
        <v>99</v>
      </c>
      <c r="BD38" s="1" t="s">
        <v>98</v>
      </c>
      <c r="BE38" s="1" t="s">
        <v>99</v>
      </c>
      <c r="BF38" s="5" t="s">
        <v>98</v>
      </c>
    </row>
    <row r="39" spans="1:58" x14ac:dyDescent="0.35">
      <c r="A39" s="4">
        <v>38</v>
      </c>
      <c r="B39" s="1" t="s">
        <v>385</v>
      </c>
      <c r="C39" s="1" t="s">
        <v>63</v>
      </c>
      <c r="D39" s="1" t="s">
        <v>63</v>
      </c>
      <c r="E39" s="1" t="s">
        <v>69</v>
      </c>
      <c r="F39" s="1" t="s">
        <v>69</v>
      </c>
      <c r="G39" s="1" t="s">
        <v>69</v>
      </c>
      <c r="H39" s="1" t="s">
        <v>69</v>
      </c>
      <c r="I39" s="1" t="s">
        <v>70</v>
      </c>
      <c r="J39" s="1" t="s">
        <v>107</v>
      </c>
      <c r="K39" s="1">
        <v>47</v>
      </c>
      <c r="L39" s="1" t="s">
        <v>225</v>
      </c>
      <c r="M39" s="1" t="s">
        <v>73</v>
      </c>
      <c r="N39" s="1" t="s">
        <v>74</v>
      </c>
      <c r="O39" s="1">
        <v>4</v>
      </c>
      <c r="P39" s="1">
        <v>4</v>
      </c>
      <c r="Q39" s="1">
        <f>data[[#This Row],[Nilai Kepentingan Dimensi Persyaratan]]-data[[#This Row],[Nilai Kepuasan Dimensi Persyaratan]]</f>
        <v>0</v>
      </c>
      <c r="R39" s="1">
        <v>3</v>
      </c>
      <c r="S39" s="1">
        <v>3</v>
      </c>
      <c r="T39" s="1">
        <f>data[[#This Row],[Nilai Kepentingan Dimensi Prosedur]]-data[[#This Row],[Nilai Kepuasan Dimensi Prosedur]]</f>
        <v>0</v>
      </c>
      <c r="U39" s="1">
        <v>3</v>
      </c>
      <c r="V39" s="1">
        <v>3</v>
      </c>
      <c r="W39" s="1">
        <f>data[[#This Row],[Nilai Kepentingan Dimensi Waktu Pelayanan/Penyelesaian]]-data[[#This Row],[Nilai Kepuasan Dimensi Waktu Pelayanan/Penyelesaian]]</f>
        <v>0</v>
      </c>
      <c r="X39" s="1">
        <v>2</v>
      </c>
      <c r="Y39" s="1">
        <v>2</v>
      </c>
      <c r="Z39" s="1">
        <f>data[[#This Row],[Nilai Kepentingan Dimensi Tarif/ Biaya]]-data[[#This Row],[Nilai Kepuasan Dimensi Tarif / Biaya]]</f>
        <v>0</v>
      </c>
      <c r="AA39" s="1">
        <v>3</v>
      </c>
      <c r="AB39" s="1">
        <v>3</v>
      </c>
      <c r="AC39" s="1">
        <f>data[[#This Row],[Nilai Kepentingan Dimensi Produk Spesifikasi Jenis Layanan]]-data[[#This Row],[Nilai Kepuasan Dimensi Produk Spesifikasi Jenis Layanan]]</f>
        <v>0</v>
      </c>
      <c r="AD39" s="1">
        <v>3</v>
      </c>
      <c r="AE39" s="1">
        <v>3</v>
      </c>
      <c r="AF39" s="1">
        <f>data[[#This Row],[Nilai Kepentingan Dimensi Kompetensi Pelaksana]]-data[[#This Row],[Nilai Kepuasan Dimensi Kompetensi Pelaksana]]</f>
        <v>0</v>
      </c>
      <c r="AG39" s="1">
        <v>3</v>
      </c>
      <c r="AH39" s="1">
        <v>3</v>
      </c>
      <c r="AI39" s="1">
        <f>data[[#This Row],[Nilai Kepentingan Dimensi Perilaku Pelaksana]]-data[[#This Row],[Nilai Kepuasan Dimensi Perilaku Pelaksana]]</f>
        <v>0</v>
      </c>
      <c r="AJ39" s="1">
        <v>4</v>
      </c>
      <c r="AK39" s="1">
        <v>3</v>
      </c>
      <c r="AL39" s="1">
        <f>data[[#This Row],[Nilai Kepentingan Dimensi Penanganan Pengaduan, Saran &amp; Masukan]]-data[[#This Row],[Nilai Kepuasan Dimensi Penanganan Pengaduan, Saran &amp; Masukan]]</f>
        <v>-1</v>
      </c>
      <c r="AM39" s="1">
        <v>4</v>
      </c>
      <c r="AN39" s="1">
        <v>3</v>
      </c>
      <c r="AO39" s="1">
        <f>data[[#This Row],[Nilai Kepentingan Dimensi Kualitas Sarana dan Prasarana]]-data[[#This Row],[Nilai Kepuasan Dimensi Kualitas Sarana dan Prasarana]]</f>
        <v>-1</v>
      </c>
      <c r="AP39" s="1">
        <v>0</v>
      </c>
      <c r="AQ39" s="1" t="s">
        <v>69</v>
      </c>
      <c r="AR39" s="1">
        <v>0</v>
      </c>
      <c r="AS39" s="1" t="s">
        <v>69</v>
      </c>
      <c r="AT39" s="1">
        <v>0</v>
      </c>
      <c r="AU39" s="1" t="s">
        <v>69</v>
      </c>
      <c r="AV39" s="1" t="s">
        <v>390</v>
      </c>
      <c r="AW39" s="1" t="s">
        <v>47</v>
      </c>
      <c r="AX39" s="1">
        <v>1</v>
      </c>
      <c r="AY39" s="1">
        <v>4</v>
      </c>
      <c r="AZ39" s="1" t="s">
        <v>391</v>
      </c>
      <c r="BA39" s="1" t="s">
        <v>112</v>
      </c>
      <c r="BB39" s="1" t="s">
        <v>98</v>
      </c>
      <c r="BC39" s="1" t="s">
        <v>99</v>
      </c>
      <c r="BD39" s="1" t="s">
        <v>98</v>
      </c>
      <c r="BE39" s="1" t="s">
        <v>99</v>
      </c>
      <c r="BF39" s="5" t="s">
        <v>98</v>
      </c>
    </row>
    <row r="40" spans="1:58" x14ac:dyDescent="0.35">
      <c r="A40" s="4">
        <v>39</v>
      </c>
      <c r="B40" s="1" t="s">
        <v>392</v>
      </c>
      <c r="C40" s="1" t="s">
        <v>63</v>
      </c>
      <c r="D40" s="1" t="s">
        <v>136</v>
      </c>
      <c r="E40" s="1" t="s">
        <v>69</v>
      </c>
      <c r="F40" s="1" t="s">
        <v>69</v>
      </c>
      <c r="G40" s="1" t="s">
        <v>69</v>
      </c>
      <c r="H40" s="1" t="s">
        <v>69</v>
      </c>
      <c r="I40" s="1" t="s">
        <v>70</v>
      </c>
      <c r="J40" s="1" t="s">
        <v>107</v>
      </c>
      <c r="K40" s="1">
        <v>60</v>
      </c>
      <c r="L40" s="1" t="s">
        <v>182</v>
      </c>
      <c r="M40" s="1" t="s">
        <v>73</v>
      </c>
      <c r="N40" s="1" t="s">
        <v>232</v>
      </c>
      <c r="O40" s="1">
        <v>4</v>
      </c>
      <c r="P40" s="1">
        <v>4</v>
      </c>
      <c r="Q40" s="1">
        <f>data[[#This Row],[Nilai Kepentingan Dimensi Persyaratan]]-data[[#This Row],[Nilai Kepuasan Dimensi Persyaratan]]</f>
        <v>0</v>
      </c>
      <c r="R40" s="1">
        <v>4</v>
      </c>
      <c r="S40" s="1">
        <v>4</v>
      </c>
      <c r="T40" s="1">
        <f>data[[#This Row],[Nilai Kepentingan Dimensi Prosedur]]-data[[#This Row],[Nilai Kepuasan Dimensi Prosedur]]</f>
        <v>0</v>
      </c>
      <c r="U40" s="1">
        <v>4</v>
      </c>
      <c r="V40" s="1">
        <v>4</v>
      </c>
      <c r="W40" s="1">
        <f>data[[#This Row],[Nilai Kepentingan Dimensi Waktu Pelayanan/Penyelesaian]]-data[[#This Row],[Nilai Kepuasan Dimensi Waktu Pelayanan/Penyelesaian]]</f>
        <v>0</v>
      </c>
      <c r="X40" s="1">
        <v>4</v>
      </c>
      <c r="Y40" s="1">
        <v>4</v>
      </c>
      <c r="Z40" s="1">
        <f>data[[#This Row],[Nilai Kepentingan Dimensi Tarif/ Biaya]]-data[[#This Row],[Nilai Kepuasan Dimensi Tarif / Biaya]]</f>
        <v>0</v>
      </c>
      <c r="AA40" s="1">
        <v>4</v>
      </c>
      <c r="AB40" s="1">
        <v>4</v>
      </c>
      <c r="AC40" s="1">
        <f>data[[#This Row],[Nilai Kepentingan Dimensi Produk Spesifikasi Jenis Layanan]]-data[[#This Row],[Nilai Kepuasan Dimensi Produk Spesifikasi Jenis Layanan]]</f>
        <v>0</v>
      </c>
      <c r="AD40" s="1">
        <v>4</v>
      </c>
      <c r="AE40" s="1">
        <v>4</v>
      </c>
      <c r="AF40" s="1">
        <f>data[[#This Row],[Nilai Kepentingan Dimensi Kompetensi Pelaksana]]-data[[#This Row],[Nilai Kepuasan Dimensi Kompetensi Pelaksana]]</f>
        <v>0</v>
      </c>
      <c r="AG40" s="1">
        <v>4</v>
      </c>
      <c r="AH40" s="1">
        <v>4</v>
      </c>
      <c r="AI40" s="1">
        <f>data[[#This Row],[Nilai Kepentingan Dimensi Perilaku Pelaksana]]-data[[#This Row],[Nilai Kepuasan Dimensi Perilaku Pelaksana]]</f>
        <v>0</v>
      </c>
      <c r="AJ40" s="1">
        <v>4</v>
      </c>
      <c r="AK40" s="1">
        <v>4</v>
      </c>
      <c r="AL40" s="1">
        <f>data[[#This Row],[Nilai Kepentingan Dimensi Penanganan Pengaduan, Saran &amp; Masukan]]-data[[#This Row],[Nilai Kepuasan Dimensi Penanganan Pengaduan, Saran &amp; Masukan]]</f>
        <v>0</v>
      </c>
      <c r="AM40" s="1">
        <v>4</v>
      </c>
      <c r="AN40" s="1">
        <v>4</v>
      </c>
      <c r="AO40" s="1">
        <f>data[[#This Row],[Nilai Kepentingan Dimensi Kualitas Sarana dan Prasarana]]-data[[#This Row],[Nilai Kepuasan Dimensi Kualitas Sarana dan Prasarana]]</f>
        <v>0</v>
      </c>
      <c r="AP40" s="1">
        <v>0</v>
      </c>
      <c r="AQ40" s="1" t="s">
        <v>75</v>
      </c>
      <c r="AR40" s="1">
        <v>0</v>
      </c>
      <c r="AS40" s="1" t="s">
        <v>69</v>
      </c>
      <c r="AT40" s="1">
        <v>0</v>
      </c>
      <c r="AU40" s="1" t="s">
        <v>69</v>
      </c>
      <c r="AV40" s="1" t="s">
        <v>293</v>
      </c>
      <c r="AW40" s="1" t="s">
        <v>144</v>
      </c>
      <c r="AX40" s="1">
        <v>2</v>
      </c>
      <c r="AY40" s="1">
        <v>3</v>
      </c>
      <c r="AZ40" s="1" t="s">
        <v>98</v>
      </c>
      <c r="BA40" s="1" t="s">
        <v>99</v>
      </c>
      <c r="BB40" s="1" t="s">
        <v>98</v>
      </c>
      <c r="BC40" s="1" t="s">
        <v>99</v>
      </c>
      <c r="BD40" s="1" t="s">
        <v>98</v>
      </c>
      <c r="BE40" s="1" t="s">
        <v>99</v>
      </c>
      <c r="BF40" s="5" t="s">
        <v>98</v>
      </c>
    </row>
    <row r="41" spans="1:58" x14ac:dyDescent="0.35">
      <c r="A41" s="4">
        <v>40</v>
      </c>
      <c r="B41" s="1" t="s">
        <v>395</v>
      </c>
      <c r="C41" s="1" t="s">
        <v>63</v>
      </c>
      <c r="D41" s="1" t="s">
        <v>397</v>
      </c>
      <c r="E41" s="1" t="s">
        <v>69</v>
      </c>
      <c r="F41" s="1" t="s">
        <v>69</v>
      </c>
      <c r="G41" s="1" t="s">
        <v>69</v>
      </c>
      <c r="H41" s="1" t="s">
        <v>69</v>
      </c>
      <c r="I41" s="1" t="s">
        <v>106</v>
      </c>
      <c r="J41" s="1" t="s">
        <v>271</v>
      </c>
      <c r="K41" s="1">
        <v>27</v>
      </c>
      <c r="L41" s="1" t="s">
        <v>92</v>
      </c>
      <c r="M41" s="1" t="s">
        <v>73</v>
      </c>
      <c r="N41" s="1" t="s">
        <v>74</v>
      </c>
      <c r="O41" s="1">
        <v>3</v>
      </c>
      <c r="P41" s="1">
        <v>3</v>
      </c>
      <c r="Q41" s="1">
        <f>data[[#This Row],[Nilai Kepentingan Dimensi Persyaratan]]-data[[#This Row],[Nilai Kepuasan Dimensi Persyaratan]]</f>
        <v>0</v>
      </c>
      <c r="R41" s="1">
        <v>3</v>
      </c>
      <c r="S41" s="1">
        <v>3</v>
      </c>
      <c r="T41" s="1">
        <f>data[[#This Row],[Nilai Kepentingan Dimensi Prosedur]]-data[[#This Row],[Nilai Kepuasan Dimensi Prosedur]]</f>
        <v>0</v>
      </c>
      <c r="U41" s="1">
        <v>3</v>
      </c>
      <c r="V41" s="1">
        <v>3</v>
      </c>
      <c r="W41" s="1">
        <f>data[[#This Row],[Nilai Kepentingan Dimensi Waktu Pelayanan/Penyelesaian]]-data[[#This Row],[Nilai Kepuasan Dimensi Waktu Pelayanan/Penyelesaian]]</f>
        <v>0</v>
      </c>
      <c r="X41" s="1">
        <v>4</v>
      </c>
      <c r="Y41" s="1">
        <v>3</v>
      </c>
      <c r="Z41" s="1">
        <f>data[[#This Row],[Nilai Kepentingan Dimensi Tarif/ Biaya]]-data[[#This Row],[Nilai Kepuasan Dimensi Tarif / Biaya]]</f>
        <v>-1</v>
      </c>
      <c r="AA41" s="1">
        <v>4</v>
      </c>
      <c r="AB41" s="1">
        <v>4</v>
      </c>
      <c r="AC41" s="1">
        <f>data[[#This Row],[Nilai Kepentingan Dimensi Produk Spesifikasi Jenis Layanan]]-data[[#This Row],[Nilai Kepuasan Dimensi Produk Spesifikasi Jenis Layanan]]</f>
        <v>0</v>
      </c>
      <c r="AD41" s="1">
        <v>4</v>
      </c>
      <c r="AE41" s="1">
        <v>3</v>
      </c>
      <c r="AF41" s="1">
        <f>data[[#This Row],[Nilai Kepentingan Dimensi Kompetensi Pelaksana]]-data[[#This Row],[Nilai Kepuasan Dimensi Kompetensi Pelaksana]]</f>
        <v>-1</v>
      </c>
      <c r="AG41" s="1">
        <v>3</v>
      </c>
      <c r="AH41" s="1">
        <v>3</v>
      </c>
      <c r="AI41" s="1">
        <f>data[[#This Row],[Nilai Kepentingan Dimensi Perilaku Pelaksana]]-data[[#This Row],[Nilai Kepuasan Dimensi Perilaku Pelaksana]]</f>
        <v>0</v>
      </c>
      <c r="AJ41" s="1">
        <v>3</v>
      </c>
      <c r="AK41" s="1">
        <v>3</v>
      </c>
      <c r="AL41" s="1">
        <f>data[[#This Row],[Nilai Kepentingan Dimensi Penanganan Pengaduan, Saran &amp; Masukan]]-data[[#This Row],[Nilai Kepuasan Dimensi Penanganan Pengaduan, Saran &amp; Masukan]]</f>
        <v>0</v>
      </c>
      <c r="AM41" s="1">
        <v>4</v>
      </c>
      <c r="AN41" s="1">
        <v>4</v>
      </c>
      <c r="AO41" s="1">
        <f>data[[#This Row],[Nilai Kepentingan Dimensi Kualitas Sarana dan Prasarana]]-data[[#This Row],[Nilai Kepuasan Dimensi Kualitas Sarana dan Prasarana]]</f>
        <v>0</v>
      </c>
      <c r="AP41" s="1">
        <v>0</v>
      </c>
      <c r="AQ41" s="1" t="s">
        <v>69</v>
      </c>
      <c r="AR41" s="1">
        <v>0</v>
      </c>
      <c r="AS41" s="1" t="s">
        <v>69</v>
      </c>
      <c r="AT41" s="1">
        <v>0</v>
      </c>
      <c r="AU41" s="1" t="s">
        <v>69</v>
      </c>
      <c r="AV41" s="1" t="s">
        <v>144</v>
      </c>
      <c r="AW41" s="1" t="s">
        <v>144</v>
      </c>
      <c r="AX41" s="1">
        <v>2</v>
      </c>
      <c r="AY41" s="1">
        <v>3</v>
      </c>
      <c r="AZ41" s="1" t="s">
        <v>248</v>
      </c>
      <c r="BA41" s="1" t="s">
        <v>79</v>
      </c>
      <c r="BB41" s="1" t="s">
        <v>248</v>
      </c>
      <c r="BC41" s="1" t="s">
        <v>79</v>
      </c>
      <c r="BD41" s="1" t="s">
        <v>248</v>
      </c>
      <c r="BE41" s="1" t="s">
        <v>79</v>
      </c>
      <c r="BF41" s="5" t="s">
        <v>248</v>
      </c>
    </row>
    <row r="42" spans="1:58" x14ac:dyDescent="0.35">
      <c r="A42" s="4">
        <v>41</v>
      </c>
      <c r="B42" s="1" t="s">
        <v>400</v>
      </c>
      <c r="C42" s="1" t="s">
        <v>63</v>
      </c>
      <c r="D42" s="1" t="s">
        <v>63</v>
      </c>
      <c r="E42" s="1" t="s">
        <v>69</v>
      </c>
      <c r="F42" s="1" t="s">
        <v>69</v>
      </c>
      <c r="G42" s="1" t="s">
        <v>69</v>
      </c>
      <c r="H42" s="1" t="s">
        <v>69</v>
      </c>
      <c r="I42" s="1" t="s">
        <v>70</v>
      </c>
      <c r="J42" s="1" t="s">
        <v>107</v>
      </c>
      <c r="K42" s="1">
        <v>42</v>
      </c>
      <c r="L42" s="1" t="s">
        <v>197</v>
      </c>
      <c r="M42" s="1" t="s">
        <v>73</v>
      </c>
      <c r="N42" s="1" t="s">
        <v>74</v>
      </c>
      <c r="O42" s="1">
        <v>4</v>
      </c>
      <c r="P42" s="1">
        <v>4</v>
      </c>
      <c r="Q42" s="1">
        <f>data[[#This Row],[Nilai Kepentingan Dimensi Persyaratan]]-data[[#This Row],[Nilai Kepuasan Dimensi Persyaratan]]</f>
        <v>0</v>
      </c>
      <c r="R42" s="1">
        <v>4</v>
      </c>
      <c r="S42" s="1">
        <v>4</v>
      </c>
      <c r="T42" s="1">
        <f>data[[#This Row],[Nilai Kepentingan Dimensi Prosedur]]-data[[#This Row],[Nilai Kepuasan Dimensi Prosedur]]</f>
        <v>0</v>
      </c>
      <c r="U42" s="1">
        <v>4</v>
      </c>
      <c r="V42" s="1">
        <v>4</v>
      </c>
      <c r="W42" s="1">
        <f>data[[#This Row],[Nilai Kepentingan Dimensi Waktu Pelayanan/Penyelesaian]]-data[[#This Row],[Nilai Kepuasan Dimensi Waktu Pelayanan/Penyelesaian]]</f>
        <v>0</v>
      </c>
      <c r="X42" s="1">
        <v>2</v>
      </c>
      <c r="Y42" s="1">
        <v>2</v>
      </c>
      <c r="Z42" s="1">
        <f>data[[#This Row],[Nilai Kepentingan Dimensi Tarif/ Biaya]]-data[[#This Row],[Nilai Kepuasan Dimensi Tarif / Biaya]]</f>
        <v>0</v>
      </c>
      <c r="AA42" s="1">
        <v>3</v>
      </c>
      <c r="AB42" s="1">
        <v>3</v>
      </c>
      <c r="AC42" s="1">
        <f>data[[#This Row],[Nilai Kepentingan Dimensi Produk Spesifikasi Jenis Layanan]]-data[[#This Row],[Nilai Kepuasan Dimensi Produk Spesifikasi Jenis Layanan]]</f>
        <v>0</v>
      </c>
      <c r="AD42" s="1">
        <v>4</v>
      </c>
      <c r="AE42" s="1">
        <v>4</v>
      </c>
      <c r="AF42" s="1">
        <f>data[[#This Row],[Nilai Kepentingan Dimensi Kompetensi Pelaksana]]-data[[#This Row],[Nilai Kepuasan Dimensi Kompetensi Pelaksana]]</f>
        <v>0</v>
      </c>
      <c r="AG42" s="1">
        <v>4</v>
      </c>
      <c r="AH42" s="1">
        <v>4</v>
      </c>
      <c r="AI42" s="1">
        <f>data[[#This Row],[Nilai Kepentingan Dimensi Perilaku Pelaksana]]-data[[#This Row],[Nilai Kepuasan Dimensi Perilaku Pelaksana]]</f>
        <v>0</v>
      </c>
      <c r="AJ42" s="1">
        <v>4</v>
      </c>
      <c r="AK42" s="1">
        <v>3</v>
      </c>
      <c r="AL42" s="1">
        <f>data[[#This Row],[Nilai Kepentingan Dimensi Penanganan Pengaduan, Saran &amp; Masukan]]-data[[#This Row],[Nilai Kepuasan Dimensi Penanganan Pengaduan, Saran &amp; Masukan]]</f>
        <v>-1</v>
      </c>
      <c r="AM42" s="1">
        <v>4</v>
      </c>
      <c r="AN42" s="1">
        <v>4</v>
      </c>
      <c r="AO42" s="1">
        <f>data[[#This Row],[Nilai Kepentingan Dimensi Kualitas Sarana dan Prasarana]]-data[[#This Row],[Nilai Kepuasan Dimensi Kualitas Sarana dan Prasarana]]</f>
        <v>0</v>
      </c>
      <c r="AP42" s="1">
        <v>0</v>
      </c>
      <c r="AQ42" s="1" t="s">
        <v>69</v>
      </c>
      <c r="AR42" s="1">
        <v>0</v>
      </c>
      <c r="AS42" s="1" t="s">
        <v>69</v>
      </c>
      <c r="AT42" s="1">
        <v>0</v>
      </c>
      <c r="AU42" s="1" t="s">
        <v>69</v>
      </c>
      <c r="AV42" s="1" t="s">
        <v>405</v>
      </c>
      <c r="AW42" s="1" t="s">
        <v>47</v>
      </c>
      <c r="AX42" s="1">
        <v>2</v>
      </c>
      <c r="AY42" s="1">
        <v>3</v>
      </c>
      <c r="AZ42" s="1" t="s">
        <v>98</v>
      </c>
      <c r="BA42" s="1" t="s">
        <v>99</v>
      </c>
      <c r="BB42" s="1" t="s">
        <v>98</v>
      </c>
      <c r="BC42" s="1" t="s">
        <v>99</v>
      </c>
      <c r="BD42" s="1" t="s">
        <v>406</v>
      </c>
      <c r="BE42" s="1" t="s">
        <v>146</v>
      </c>
      <c r="BF42" s="5" t="s">
        <v>98</v>
      </c>
    </row>
    <row r="43" spans="1:58" x14ac:dyDescent="0.35">
      <c r="A43" s="4">
        <v>42</v>
      </c>
      <c r="B43" s="1" t="s">
        <v>407</v>
      </c>
      <c r="C43" s="1" t="s">
        <v>409</v>
      </c>
      <c r="D43" s="1" t="s">
        <v>410</v>
      </c>
      <c r="E43" s="1" t="s">
        <v>69</v>
      </c>
      <c r="F43" s="1" t="s">
        <v>69</v>
      </c>
      <c r="G43" s="1" t="s">
        <v>69</v>
      </c>
      <c r="H43" s="1" t="s">
        <v>69</v>
      </c>
      <c r="I43" s="1" t="s">
        <v>106</v>
      </c>
      <c r="J43" s="1" t="s">
        <v>107</v>
      </c>
      <c r="K43" s="1">
        <v>24</v>
      </c>
      <c r="L43" s="1" t="s">
        <v>72</v>
      </c>
      <c r="M43" s="1" t="s">
        <v>254</v>
      </c>
      <c r="N43" s="1" t="s">
        <v>413</v>
      </c>
      <c r="O43" s="1">
        <v>4</v>
      </c>
      <c r="P43" s="1">
        <v>4</v>
      </c>
      <c r="Q43" s="1">
        <f>data[[#This Row],[Nilai Kepentingan Dimensi Persyaratan]]-data[[#This Row],[Nilai Kepuasan Dimensi Persyaratan]]</f>
        <v>0</v>
      </c>
      <c r="R43" s="1">
        <v>4</v>
      </c>
      <c r="S43" s="1">
        <v>4</v>
      </c>
      <c r="T43" s="1">
        <f>data[[#This Row],[Nilai Kepentingan Dimensi Prosedur]]-data[[#This Row],[Nilai Kepuasan Dimensi Prosedur]]</f>
        <v>0</v>
      </c>
      <c r="U43" s="1">
        <v>4</v>
      </c>
      <c r="V43" s="1">
        <v>4</v>
      </c>
      <c r="W43" s="1">
        <f>data[[#This Row],[Nilai Kepentingan Dimensi Waktu Pelayanan/Penyelesaian]]-data[[#This Row],[Nilai Kepuasan Dimensi Waktu Pelayanan/Penyelesaian]]</f>
        <v>0</v>
      </c>
      <c r="X43" s="1">
        <v>4</v>
      </c>
      <c r="Y43" s="1">
        <v>4</v>
      </c>
      <c r="Z43" s="1">
        <f>data[[#This Row],[Nilai Kepentingan Dimensi Tarif/ Biaya]]-data[[#This Row],[Nilai Kepuasan Dimensi Tarif / Biaya]]</f>
        <v>0</v>
      </c>
      <c r="AA43" s="1">
        <v>4</v>
      </c>
      <c r="AB43" s="1">
        <v>4</v>
      </c>
      <c r="AC43" s="1">
        <f>data[[#This Row],[Nilai Kepentingan Dimensi Produk Spesifikasi Jenis Layanan]]-data[[#This Row],[Nilai Kepuasan Dimensi Produk Spesifikasi Jenis Layanan]]</f>
        <v>0</v>
      </c>
      <c r="AD43" s="1">
        <v>4</v>
      </c>
      <c r="AE43" s="1">
        <v>4</v>
      </c>
      <c r="AF43" s="1">
        <f>data[[#This Row],[Nilai Kepentingan Dimensi Kompetensi Pelaksana]]-data[[#This Row],[Nilai Kepuasan Dimensi Kompetensi Pelaksana]]</f>
        <v>0</v>
      </c>
      <c r="AG43" s="1">
        <v>4</v>
      </c>
      <c r="AH43" s="1">
        <v>4</v>
      </c>
      <c r="AI43" s="1">
        <f>data[[#This Row],[Nilai Kepentingan Dimensi Perilaku Pelaksana]]-data[[#This Row],[Nilai Kepuasan Dimensi Perilaku Pelaksana]]</f>
        <v>0</v>
      </c>
      <c r="AJ43" s="1">
        <v>4</v>
      </c>
      <c r="AK43" s="1">
        <v>4</v>
      </c>
      <c r="AL43" s="1">
        <f>data[[#This Row],[Nilai Kepentingan Dimensi Penanganan Pengaduan, Saran &amp; Masukan]]-data[[#This Row],[Nilai Kepuasan Dimensi Penanganan Pengaduan, Saran &amp; Masukan]]</f>
        <v>0</v>
      </c>
      <c r="AM43" s="1">
        <v>4</v>
      </c>
      <c r="AN43" s="1">
        <v>4</v>
      </c>
      <c r="AO43" s="1">
        <f>data[[#This Row],[Nilai Kepentingan Dimensi Kualitas Sarana dan Prasarana]]-data[[#This Row],[Nilai Kepuasan Dimensi Kualitas Sarana dan Prasarana]]</f>
        <v>0</v>
      </c>
      <c r="AP43" s="1">
        <v>0</v>
      </c>
      <c r="AQ43" s="1" t="s">
        <v>69</v>
      </c>
      <c r="AR43" s="1">
        <v>0</v>
      </c>
      <c r="AS43" s="1" t="s">
        <v>69</v>
      </c>
      <c r="AT43" s="1">
        <v>0</v>
      </c>
      <c r="AU43" s="1" t="s">
        <v>69</v>
      </c>
      <c r="AV43" s="1" t="s">
        <v>144</v>
      </c>
      <c r="AW43" s="1" t="s">
        <v>144</v>
      </c>
      <c r="AX43" s="1">
        <v>1</v>
      </c>
      <c r="AY43" s="1">
        <v>4</v>
      </c>
      <c r="AZ43" s="1" t="s">
        <v>98</v>
      </c>
      <c r="BA43" s="1" t="s">
        <v>99</v>
      </c>
      <c r="BB43" s="1" t="s">
        <v>98</v>
      </c>
      <c r="BC43" s="1" t="s">
        <v>99</v>
      </c>
      <c r="BD43" s="1" t="s">
        <v>98</v>
      </c>
      <c r="BE43" s="1" t="s">
        <v>99</v>
      </c>
      <c r="BF43" s="5" t="s">
        <v>98</v>
      </c>
    </row>
    <row r="44" spans="1:58" x14ac:dyDescent="0.35">
      <c r="A44" s="4">
        <v>43</v>
      </c>
      <c r="B44" s="1" t="s">
        <v>414</v>
      </c>
      <c r="C44" s="1" t="s">
        <v>63</v>
      </c>
      <c r="D44" s="1" t="s">
        <v>416</v>
      </c>
      <c r="E44" s="1" t="s">
        <v>69</v>
      </c>
      <c r="F44" s="1" t="s">
        <v>69</v>
      </c>
      <c r="G44" s="1" t="s">
        <v>69</v>
      </c>
      <c r="H44" s="1" t="s">
        <v>69</v>
      </c>
      <c r="I44" s="1" t="s">
        <v>106</v>
      </c>
      <c r="J44" s="1" t="s">
        <v>271</v>
      </c>
      <c r="K44" s="1">
        <v>18</v>
      </c>
      <c r="L44" s="1" t="s">
        <v>131</v>
      </c>
      <c r="M44" s="1" t="s">
        <v>73</v>
      </c>
      <c r="N44" s="1" t="s">
        <v>95</v>
      </c>
      <c r="O44" s="1">
        <v>3</v>
      </c>
      <c r="P44" s="1">
        <v>4</v>
      </c>
      <c r="Q44" s="1">
        <f>data[[#This Row],[Nilai Kepentingan Dimensi Persyaratan]]-data[[#This Row],[Nilai Kepuasan Dimensi Persyaratan]]</f>
        <v>1</v>
      </c>
      <c r="R44" s="1">
        <v>3</v>
      </c>
      <c r="S44" s="1">
        <v>3</v>
      </c>
      <c r="T44" s="1">
        <f>data[[#This Row],[Nilai Kepentingan Dimensi Prosedur]]-data[[#This Row],[Nilai Kepuasan Dimensi Prosedur]]</f>
        <v>0</v>
      </c>
      <c r="U44" s="1">
        <v>2</v>
      </c>
      <c r="V44" s="1">
        <v>4</v>
      </c>
      <c r="W44" s="1">
        <f>data[[#This Row],[Nilai Kepentingan Dimensi Waktu Pelayanan/Penyelesaian]]-data[[#This Row],[Nilai Kepuasan Dimensi Waktu Pelayanan/Penyelesaian]]</f>
        <v>2</v>
      </c>
      <c r="X44" s="1">
        <v>4</v>
      </c>
      <c r="Y44" s="1">
        <v>4</v>
      </c>
      <c r="Z44" s="1">
        <f>data[[#This Row],[Nilai Kepentingan Dimensi Tarif/ Biaya]]-data[[#This Row],[Nilai Kepuasan Dimensi Tarif / Biaya]]</f>
        <v>0</v>
      </c>
      <c r="AA44" s="1">
        <v>3</v>
      </c>
      <c r="AB44" s="1">
        <v>3</v>
      </c>
      <c r="AC44" s="1">
        <f>data[[#This Row],[Nilai Kepentingan Dimensi Produk Spesifikasi Jenis Layanan]]-data[[#This Row],[Nilai Kepuasan Dimensi Produk Spesifikasi Jenis Layanan]]</f>
        <v>0</v>
      </c>
      <c r="AD44" s="1">
        <v>3</v>
      </c>
      <c r="AE44" s="1">
        <v>4</v>
      </c>
      <c r="AF44" s="1">
        <f>data[[#This Row],[Nilai Kepentingan Dimensi Kompetensi Pelaksana]]-data[[#This Row],[Nilai Kepuasan Dimensi Kompetensi Pelaksana]]</f>
        <v>1</v>
      </c>
      <c r="AG44" s="1">
        <v>3</v>
      </c>
      <c r="AH44" s="1">
        <v>4</v>
      </c>
      <c r="AI44" s="1">
        <f>data[[#This Row],[Nilai Kepentingan Dimensi Perilaku Pelaksana]]-data[[#This Row],[Nilai Kepuasan Dimensi Perilaku Pelaksana]]</f>
        <v>1</v>
      </c>
      <c r="AJ44" s="1">
        <v>3</v>
      </c>
      <c r="AK44" s="1">
        <v>3</v>
      </c>
      <c r="AL44" s="1">
        <f>data[[#This Row],[Nilai Kepentingan Dimensi Penanganan Pengaduan, Saran &amp; Masukan]]-data[[#This Row],[Nilai Kepuasan Dimensi Penanganan Pengaduan, Saran &amp; Masukan]]</f>
        <v>0</v>
      </c>
      <c r="AM44" s="1">
        <v>3</v>
      </c>
      <c r="AN44" s="1">
        <v>4</v>
      </c>
      <c r="AO44" s="1">
        <f>data[[#This Row],[Nilai Kepentingan Dimensi Kualitas Sarana dan Prasarana]]-data[[#This Row],[Nilai Kepuasan Dimensi Kualitas Sarana dan Prasarana]]</f>
        <v>1</v>
      </c>
      <c r="AP44" s="1">
        <v>0</v>
      </c>
      <c r="AQ44" s="1" t="s">
        <v>69</v>
      </c>
      <c r="AR44" s="1">
        <v>3</v>
      </c>
      <c r="AS44" s="1" t="s">
        <v>75</v>
      </c>
      <c r="AT44" s="1">
        <v>0</v>
      </c>
      <c r="AU44" s="1" t="s">
        <v>69</v>
      </c>
      <c r="AV44" s="1" t="s">
        <v>83</v>
      </c>
      <c r="AW44" s="1" t="s">
        <v>96</v>
      </c>
      <c r="AX44" s="1">
        <v>0</v>
      </c>
      <c r="AY44" s="1">
        <v>0</v>
      </c>
      <c r="AZ44" s="1" t="s">
        <v>419</v>
      </c>
      <c r="BA44" s="1" t="s">
        <v>112</v>
      </c>
      <c r="BB44" s="1" t="s">
        <v>420</v>
      </c>
      <c r="BC44" s="1" t="s">
        <v>421</v>
      </c>
      <c r="BD44" s="1" t="s">
        <v>248</v>
      </c>
      <c r="BE44" s="1" t="s">
        <v>79</v>
      </c>
      <c r="BF44" s="5" t="s">
        <v>248</v>
      </c>
    </row>
    <row r="45" spans="1:58" x14ac:dyDescent="0.35">
      <c r="A45" s="4">
        <v>44</v>
      </c>
      <c r="B45" s="1" t="s">
        <v>422</v>
      </c>
      <c r="C45" s="1" t="s">
        <v>63</v>
      </c>
      <c r="D45" s="1" t="s">
        <v>136</v>
      </c>
      <c r="E45" s="1" t="s">
        <v>69</v>
      </c>
      <c r="F45" s="1" t="s">
        <v>69</v>
      </c>
      <c r="G45" s="1" t="s">
        <v>69</v>
      </c>
      <c r="H45" s="1" t="s">
        <v>69</v>
      </c>
      <c r="I45" s="1" t="s">
        <v>70</v>
      </c>
      <c r="J45" s="1" t="s">
        <v>107</v>
      </c>
      <c r="K45" s="1">
        <v>39</v>
      </c>
      <c r="L45" s="1" t="s">
        <v>153</v>
      </c>
      <c r="M45" s="1" t="s">
        <v>93</v>
      </c>
      <c r="N45" s="1" t="s">
        <v>143</v>
      </c>
      <c r="O45" s="1">
        <v>3</v>
      </c>
      <c r="P45" s="1">
        <v>3</v>
      </c>
      <c r="Q45" s="1">
        <f>data[[#This Row],[Nilai Kepentingan Dimensi Persyaratan]]-data[[#This Row],[Nilai Kepuasan Dimensi Persyaratan]]</f>
        <v>0</v>
      </c>
      <c r="R45" s="1">
        <v>4</v>
      </c>
      <c r="S45" s="1">
        <v>4</v>
      </c>
      <c r="T45" s="1">
        <f>data[[#This Row],[Nilai Kepentingan Dimensi Prosedur]]-data[[#This Row],[Nilai Kepuasan Dimensi Prosedur]]</f>
        <v>0</v>
      </c>
      <c r="U45" s="1">
        <v>4</v>
      </c>
      <c r="V45" s="1">
        <v>4</v>
      </c>
      <c r="W45" s="1">
        <f>data[[#This Row],[Nilai Kepentingan Dimensi Waktu Pelayanan/Penyelesaian]]-data[[#This Row],[Nilai Kepuasan Dimensi Waktu Pelayanan/Penyelesaian]]</f>
        <v>0</v>
      </c>
      <c r="X45" s="1">
        <v>4</v>
      </c>
      <c r="Y45" s="1">
        <v>4</v>
      </c>
      <c r="Z45" s="1">
        <f>data[[#This Row],[Nilai Kepentingan Dimensi Tarif/ Biaya]]-data[[#This Row],[Nilai Kepuasan Dimensi Tarif / Biaya]]</f>
        <v>0</v>
      </c>
      <c r="AA45" s="1">
        <v>4</v>
      </c>
      <c r="AB45" s="1">
        <v>4</v>
      </c>
      <c r="AC45" s="1">
        <f>data[[#This Row],[Nilai Kepentingan Dimensi Produk Spesifikasi Jenis Layanan]]-data[[#This Row],[Nilai Kepuasan Dimensi Produk Spesifikasi Jenis Layanan]]</f>
        <v>0</v>
      </c>
      <c r="AD45" s="1">
        <v>4</v>
      </c>
      <c r="AE45" s="1">
        <v>4</v>
      </c>
      <c r="AF45" s="1">
        <f>data[[#This Row],[Nilai Kepentingan Dimensi Kompetensi Pelaksana]]-data[[#This Row],[Nilai Kepuasan Dimensi Kompetensi Pelaksana]]</f>
        <v>0</v>
      </c>
      <c r="AG45" s="1">
        <v>4</v>
      </c>
      <c r="AH45" s="1">
        <v>4</v>
      </c>
      <c r="AI45" s="1">
        <f>data[[#This Row],[Nilai Kepentingan Dimensi Perilaku Pelaksana]]-data[[#This Row],[Nilai Kepuasan Dimensi Perilaku Pelaksana]]</f>
        <v>0</v>
      </c>
      <c r="AJ45" s="1">
        <v>4</v>
      </c>
      <c r="AK45" s="1">
        <v>4</v>
      </c>
      <c r="AL45" s="1">
        <f>data[[#This Row],[Nilai Kepentingan Dimensi Penanganan Pengaduan, Saran &amp; Masukan]]-data[[#This Row],[Nilai Kepuasan Dimensi Penanganan Pengaduan, Saran &amp; Masukan]]</f>
        <v>0</v>
      </c>
      <c r="AM45" s="1">
        <v>3</v>
      </c>
      <c r="AN45" s="1">
        <v>3</v>
      </c>
      <c r="AO45" s="1">
        <f>data[[#This Row],[Nilai Kepentingan Dimensi Kualitas Sarana dan Prasarana]]-data[[#This Row],[Nilai Kepuasan Dimensi Kualitas Sarana dan Prasarana]]</f>
        <v>0</v>
      </c>
      <c r="AP45" s="1">
        <v>0</v>
      </c>
      <c r="AQ45" s="1" t="s">
        <v>69</v>
      </c>
      <c r="AR45" s="1">
        <v>0</v>
      </c>
      <c r="AS45" s="1" t="s">
        <v>69</v>
      </c>
      <c r="AT45" s="1">
        <v>0</v>
      </c>
      <c r="AU45" s="1" t="s">
        <v>69</v>
      </c>
      <c r="AV45" s="1" t="s">
        <v>379</v>
      </c>
      <c r="AW45" s="1" t="s">
        <v>77</v>
      </c>
      <c r="AX45" s="1">
        <v>2</v>
      </c>
      <c r="AY45" s="1">
        <v>3</v>
      </c>
      <c r="AZ45" s="1" t="s">
        <v>98</v>
      </c>
      <c r="BA45" s="1" t="s">
        <v>99</v>
      </c>
      <c r="BB45" s="1" t="s">
        <v>98</v>
      </c>
      <c r="BC45" s="1" t="s">
        <v>99</v>
      </c>
      <c r="BD45" s="1" t="s">
        <v>426</v>
      </c>
      <c r="BE45" s="1" t="s">
        <v>190</v>
      </c>
      <c r="BF45" s="5" t="s">
        <v>98</v>
      </c>
    </row>
    <row r="46" spans="1:58" x14ac:dyDescent="0.35">
      <c r="A46" s="4">
        <v>45</v>
      </c>
      <c r="B46" s="1" t="s">
        <v>427</v>
      </c>
      <c r="C46" s="1" t="s">
        <v>63</v>
      </c>
      <c r="D46" s="1" t="s">
        <v>149</v>
      </c>
      <c r="E46" s="1" t="s">
        <v>69</v>
      </c>
      <c r="F46" s="1" t="s">
        <v>69</v>
      </c>
      <c r="G46" s="1" t="s">
        <v>69</v>
      </c>
      <c r="H46" s="1" t="s">
        <v>69</v>
      </c>
      <c r="I46" s="1" t="s">
        <v>106</v>
      </c>
      <c r="J46" s="1" t="s">
        <v>292</v>
      </c>
      <c r="K46" s="1">
        <v>19</v>
      </c>
      <c r="L46" s="1" t="s">
        <v>131</v>
      </c>
      <c r="M46" s="1" t="s">
        <v>73</v>
      </c>
      <c r="N46" s="1" t="s">
        <v>95</v>
      </c>
      <c r="O46" s="1">
        <v>3</v>
      </c>
      <c r="P46" s="1">
        <v>4</v>
      </c>
      <c r="Q46" s="1">
        <f>data[[#This Row],[Nilai Kepentingan Dimensi Persyaratan]]-data[[#This Row],[Nilai Kepuasan Dimensi Persyaratan]]</f>
        <v>1</v>
      </c>
      <c r="R46" s="1">
        <v>4</v>
      </c>
      <c r="S46" s="1">
        <v>4</v>
      </c>
      <c r="T46" s="1">
        <f>data[[#This Row],[Nilai Kepentingan Dimensi Prosedur]]-data[[#This Row],[Nilai Kepuasan Dimensi Prosedur]]</f>
        <v>0</v>
      </c>
      <c r="U46" s="1">
        <v>3</v>
      </c>
      <c r="V46" s="1">
        <v>3</v>
      </c>
      <c r="W46" s="1">
        <f>data[[#This Row],[Nilai Kepentingan Dimensi Waktu Pelayanan/Penyelesaian]]-data[[#This Row],[Nilai Kepuasan Dimensi Waktu Pelayanan/Penyelesaian]]</f>
        <v>0</v>
      </c>
      <c r="X46" s="1">
        <v>3</v>
      </c>
      <c r="Y46" s="1">
        <v>4</v>
      </c>
      <c r="Z46" s="1">
        <f>data[[#This Row],[Nilai Kepentingan Dimensi Tarif/ Biaya]]-data[[#This Row],[Nilai Kepuasan Dimensi Tarif / Biaya]]</f>
        <v>1</v>
      </c>
      <c r="AA46" s="1">
        <v>3</v>
      </c>
      <c r="AB46" s="1">
        <v>3</v>
      </c>
      <c r="AC46" s="1">
        <f>data[[#This Row],[Nilai Kepentingan Dimensi Produk Spesifikasi Jenis Layanan]]-data[[#This Row],[Nilai Kepuasan Dimensi Produk Spesifikasi Jenis Layanan]]</f>
        <v>0</v>
      </c>
      <c r="AD46" s="1">
        <v>3</v>
      </c>
      <c r="AE46" s="1">
        <v>3</v>
      </c>
      <c r="AF46" s="1">
        <f>data[[#This Row],[Nilai Kepentingan Dimensi Kompetensi Pelaksana]]-data[[#This Row],[Nilai Kepuasan Dimensi Kompetensi Pelaksana]]</f>
        <v>0</v>
      </c>
      <c r="AG46" s="1">
        <v>4</v>
      </c>
      <c r="AH46" s="1">
        <v>3</v>
      </c>
      <c r="AI46" s="1">
        <f>data[[#This Row],[Nilai Kepentingan Dimensi Perilaku Pelaksana]]-data[[#This Row],[Nilai Kepuasan Dimensi Perilaku Pelaksana]]</f>
        <v>-1</v>
      </c>
      <c r="AJ46" s="1">
        <v>3</v>
      </c>
      <c r="AK46" s="1">
        <v>4</v>
      </c>
      <c r="AL46" s="1">
        <f>data[[#This Row],[Nilai Kepentingan Dimensi Penanganan Pengaduan, Saran &amp; Masukan]]-data[[#This Row],[Nilai Kepuasan Dimensi Penanganan Pengaduan, Saran &amp; Masukan]]</f>
        <v>1</v>
      </c>
      <c r="AM46" s="1">
        <v>4</v>
      </c>
      <c r="AN46" s="1">
        <v>4</v>
      </c>
      <c r="AO46" s="1">
        <f>data[[#This Row],[Nilai Kepentingan Dimensi Kualitas Sarana dan Prasarana]]-data[[#This Row],[Nilai Kepuasan Dimensi Kualitas Sarana dan Prasarana]]</f>
        <v>0</v>
      </c>
      <c r="AP46" s="1">
        <v>0</v>
      </c>
      <c r="AQ46" s="1" t="s">
        <v>69</v>
      </c>
      <c r="AR46" s="1">
        <v>3</v>
      </c>
      <c r="AS46" s="1" t="s">
        <v>75</v>
      </c>
      <c r="AT46" s="1">
        <v>0</v>
      </c>
      <c r="AU46" s="1" t="s">
        <v>69</v>
      </c>
      <c r="AV46" s="1" t="s">
        <v>83</v>
      </c>
      <c r="AW46" s="1" t="s">
        <v>96</v>
      </c>
      <c r="AX46" s="1">
        <v>0</v>
      </c>
      <c r="AY46" s="1">
        <v>0</v>
      </c>
      <c r="AZ46" s="1" t="s">
        <v>432</v>
      </c>
      <c r="BA46" s="1" t="s">
        <v>433</v>
      </c>
      <c r="BB46" s="1" t="s">
        <v>434</v>
      </c>
      <c r="BC46" s="1" t="s">
        <v>157</v>
      </c>
      <c r="BD46" s="1" t="s">
        <v>248</v>
      </c>
      <c r="BE46" s="1" t="s">
        <v>79</v>
      </c>
      <c r="BF46" s="5" t="s">
        <v>248</v>
      </c>
    </row>
    <row r="47" spans="1:58" x14ac:dyDescent="0.35">
      <c r="A47" s="4">
        <v>46</v>
      </c>
      <c r="B47" s="1" t="s">
        <v>435</v>
      </c>
      <c r="C47" s="1" t="s">
        <v>63</v>
      </c>
      <c r="D47" s="1" t="s">
        <v>63</v>
      </c>
      <c r="E47" s="1" t="s">
        <v>69</v>
      </c>
      <c r="F47" s="1" t="s">
        <v>69</v>
      </c>
      <c r="G47" s="1" t="s">
        <v>69</v>
      </c>
      <c r="H47" s="1" t="s">
        <v>69</v>
      </c>
      <c r="I47" s="1" t="s">
        <v>70</v>
      </c>
      <c r="J47" s="1" t="s">
        <v>107</v>
      </c>
      <c r="K47" s="1">
        <v>23</v>
      </c>
      <c r="L47" s="1" t="s">
        <v>72</v>
      </c>
      <c r="M47" s="1" t="s">
        <v>73</v>
      </c>
      <c r="N47" s="1" t="s">
        <v>232</v>
      </c>
      <c r="O47" s="1">
        <v>4</v>
      </c>
      <c r="P47" s="1">
        <v>4</v>
      </c>
      <c r="Q47" s="1">
        <f>data[[#This Row],[Nilai Kepentingan Dimensi Persyaratan]]-data[[#This Row],[Nilai Kepuasan Dimensi Persyaratan]]</f>
        <v>0</v>
      </c>
      <c r="R47" s="1">
        <v>4</v>
      </c>
      <c r="S47" s="1">
        <v>4</v>
      </c>
      <c r="T47" s="1">
        <f>data[[#This Row],[Nilai Kepentingan Dimensi Prosedur]]-data[[#This Row],[Nilai Kepuasan Dimensi Prosedur]]</f>
        <v>0</v>
      </c>
      <c r="U47" s="1">
        <v>4</v>
      </c>
      <c r="V47" s="1">
        <v>4</v>
      </c>
      <c r="W47" s="1">
        <f>data[[#This Row],[Nilai Kepentingan Dimensi Waktu Pelayanan/Penyelesaian]]-data[[#This Row],[Nilai Kepuasan Dimensi Waktu Pelayanan/Penyelesaian]]</f>
        <v>0</v>
      </c>
      <c r="X47" s="1">
        <v>4</v>
      </c>
      <c r="Y47" s="1">
        <v>0</v>
      </c>
      <c r="Z47" s="1">
        <f>data[[#This Row],[Nilai Kepentingan Dimensi Tarif/ Biaya]]-data[[#This Row],[Nilai Kepuasan Dimensi Tarif / Biaya]]</f>
        <v>-4</v>
      </c>
      <c r="AA47" s="1">
        <v>4</v>
      </c>
      <c r="AB47" s="1">
        <v>4</v>
      </c>
      <c r="AC47" s="1">
        <f>data[[#This Row],[Nilai Kepentingan Dimensi Produk Spesifikasi Jenis Layanan]]-data[[#This Row],[Nilai Kepuasan Dimensi Produk Spesifikasi Jenis Layanan]]</f>
        <v>0</v>
      </c>
      <c r="AD47" s="1">
        <v>4</v>
      </c>
      <c r="AE47" s="1">
        <v>4</v>
      </c>
      <c r="AF47" s="1">
        <f>data[[#This Row],[Nilai Kepentingan Dimensi Kompetensi Pelaksana]]-data[[#This Row],[Nilai Kepuasan Dimensi Kompetensi Pelaksana]]</f>
        <v>0</v>
      </c>
      <c r="AG47" s="1">
        <v>4</v>
      </c>
      <c r="AH47" s="1">
        <v>4</v>
      </c>
      <c r="AI47" s="1">
        <f>data[[#This Row],[Nilai Kepentingan Dimensi Perilaku Pelaksana]]-data[[#This Row],[Nilai Kepuasan Dimensi Perilaku Pelaksana]]</f>
        <v>0</v>
      </c>
      <c r="AJ47" s="1">
        <v>4</v>
      </c>
      <c r="AK47" s="1">
        <v>4</v>
      </c>
      <c r="AL47" s="1">
        <f>data[[#This Row],[Nilai Kepentingan Dimensi Penanganan Pengaduan, Saran &amp; Masukan]]-data[[#This Row],[Nilai Kepuasan Dimensi Penanganan Pengaduan, Saran &amp; Masukan]]</f>
        <v>0</v>
      </c>
      <c r="AM47" s="1">
        <v>4</v>
      </c>
      <c r="AN47" s="1">
        <v>4</v>
      </c>
      <c r="AO47" s="1">
        <f>data[[#This Row],[Nilai Kepentingan Dimensi Kualitas Sarana dan Prasarana]]-data[[#This Row],[Nilai Kepuasan Dimensi Kualitas Sarana dan Prasarana]]</f>
        <v>0</v>
      </c>
      <c r="AP47" s="1">
        <v>0</v>
      </c>
      <c r="AQ47" s="1" t="s">
        <v>69</v>
      </c>
      <c r="AR47" s="1">
        <v>0</v>
      </c>
      <c r="AS47" s="1" t="s">
        <v>69</v>
      </c>
      <c r="AT47" s="1">
        <v>0</v>
      </c>
      <c r="AU47" s="1" t="s">
        <v>69</v>
      </c>
      <c r="AV47" s="1" t="s">
        <v>293</v>
      </c>
      <c r="AW47" s="1" t="s">
        <v>144</v>
      </c>
      <c r="AX47" s="1">
        <v>1</v>
      </c>
      <c r="AY47" s="1">
        <v>4</v>
      </c>
      <c r="AZ47" s="1" t="s">
        <v>442</v>
      </c>
      <c r="BA47" s="1" t="s">
        <v>79</v>
      </c>
      <c r="BB47" s="1" t="s">
        <v>442</v>
      </c>
      <c r="BC47" s="1" t="s">
        <v>79</v>
      </c>
      <c r="BD47" s="1" t="s">
        <v>443</v>
      </c>
      <c r="BE47" s="1" t="s">
        <v>190</v>
      </c>
      <c r="BF47" s="5" t="s">
        <v>83</v>
      </c>
    </row>
    <row r="48" spans="1:58" x14ac:dyDescent="0.35">
      <c r="A48" s="4">
        <v>47</v>
      </c>
      <c r="B48" s="1" t="s">
        <v>444</v>
      </c>
      <c r="C48" s="1" t="s">
        <v>63</v>
      </c>
      <c r="D48" s="1" t="s">
        <v>63</v>
      </c>
      <c r="E48" s="1" t="s">
        <v>69</v>
      </c>
      <c r="F48" s="1" t="s">
        <v>69</v>
      </c>
      <c r="G48" s="1" t="s">
        <v>69</v>
      </c>
      <c r="H48" s="1" t="s">
        <v>69</v>
      </c>
      <c r="I48" s="1" t="s">
        <v>70</v>
      </c>
      <c r="J48" s="1" t="s">
        <v>107</v>
      </c>
      <c r="K48" s="1">
        <v>27</v>
      </c>
      <c r="L48" s="1" t="s">
        <v>92</v>
      </c>
      <c r="M48" s="1" t="s">
        <v>93</v>
      </c>
      <c r="N48" s="1" t="s">
        <v>74</v>
      </c>
      <c r="O48" s="1">
        <v>4</v>
      </c>
      <c r="P48" s="1">
        <v>4</v>
      </c>
      <c r="Q48" s="1">
        <f>data[[#This Row],[Nilai Kepentingan Dimensi Persyaratan]]-data[[#This Row],[Nilai Kepuasan Dimensi Persyaratan]]</f>
        <v>0</v>
      </c>
      <c r="R48" s="1">
        <v>3</v>
      </c>
      <c r="S48" s="1">
        <v>4</v>
      </c>
      <c r="T48" s="1">
        <f>data[[#This Row],[Nilai Kepentingan Dimensi Prosedur]]-data[[#This Row],[Nilai Kepuasan Dimensi Prosedur]]</f>
        <v>1</v>
      </c>
      <c r="U48" s="1">
        <v>4</v>
      </c>
      <c r="V48" s="1">
        <v>4</v>
      </c>
      <c r="W48" s="1">
        <f>data[[#This Row],[Nilai Kepentingan Dimensi Waktu Pelayanan/Penyelesaian]]-data[[#This Row],[Nilai Kepuasan Dimensi Waktu Pelayanan/Penyelesaian]]</f>
        <v>0</v>
      </c>
      <c r="X48" s="1">
        <v>0</v>
      </c>
      <c r="Y48" s="1">
        <v>0</v>
      </c>
      <c r="Z48" s="1">
        <f>data[[#This Row],[Nilai Kepentingan Dimensi Tarif/ Biaya]]-data[[#This Row],[Nilai Kepuasan Dimensi Tarif / Biaya]]</f>
        <v>0</v>
      </c>
      <c r="AA48" s="1">
        <v>4</v>
      </c>
      <c r="AB48" s="1">
        <v>4</v>
      </c>
      <c r="AC48" s="1">
        <f>data[[#This Row],[Nilai Kepentingan Dimensi Produk Spesifikasi Jenis Layanan]]-data[[#This Row],[Nilai Kepuasan Dimensi Produk Spesifikasi Jenis Layanan]]</f>
        <v>0</v>
      </c>
      <c r="AD48" s="1">
        <v>4</v>
      </c>
      <c r="AE48" s="1">
        <v>4</v>
      </c>
      <c r="AF48" s="1">
        <f>data[[#This Row],[Nilai Kepentingan Dimensi Kompetensi Pelaksana]]-data[[#This Row],[Nilai Kepuasan Dimensi Kompetensi Pelaksana]]</f>
        <v>0</v>
      </c>
      <c r="AG48" s="1">
        <v>4</v>
      </c>
      <c r="AH48" s="1">
        <v>4</v>
      </c>
      <c r="AI48" s="1">
        <f>data[[#This Row],[Nilai Kepentingan Dimensi Perilaku Pelaksana]]-data[[#This Row],[Nilai Kepuasan Dimensi Perilaku Pelaksana]]</f>
        <v>0</v>
      </c>
      <c r="AJ48" s="1">
        <v>3</v>
      </c>
      <c r="AK48" s="1">
        <v>4</v>
      </c>
      <c r="AL48" s="1">
        <f>data[[#This Row],[Nilai Kepentingan Dimensi Penanganan Pengaduan, Saran &amp; Masukan]]-data[[#This Row],[Nilai Kepuasan Dimensi Penanganan Pengaduan, Saran &amp; Masukan]]</f>
        <v>1</v>
      </c>
      <c r="AM48" s="1">
        <v>4</v>
      </c>
      <c r="AN48" s="1">
        <v>4</v>
      </c>
      <c r="AO48" s="1">
        <f>data[[#This Row],[Nilai Kepentingan Dimensi Kualitas Sarana dan Prasarana]]-data[[#This Row],[Nilai Kepuasan Dimensi Kualitas Sarana dan Prasarana]]</f>
        <v>0</v>
      </c>
      <c r="AP48" s="1">
        <v>0</v>
      </c>
      <c r="AQ48" s="1" t="s">
        <v>69</v>
      </c>
      <c r="AR48" s="1">
        <v>0</v>
      </c>
      <c r="AS48" s="1" t="s">
        <v>69</v>
      </c>
      <c r="AT48" s="1">
        <v>0</v>
      </c>
      <c r="AU48" s="1" t="s">
        <v>69</v>
      </c>
      <c r="AV48" s="1" t="s">
        <v>449</v>
      </c>
      <c r="AW48" s="1" t="s">
        <v>450</v>
      </c>
      <c r="AX48" s="1">
        <v>2</v>
      </c>
      <c r="AY48" s="1">
        <v>3</v>
      </c>
      <c r="AZ48" s="1" t="s">
        <v>451</v>
      </c>
      <c r="BA48" s="1" t="s">
        <v>452</v>
      </c>
      <c r="BB48" s="1" t="s">
        <v>453</v>
      </c>
      <c r="BC48" s="1" t="s">
        <v>79</v>
      </c>
      <c r="BD48" s="1" t="s">
        <v>454</v>
      </c>
      <c r="BE48" s="1" t="s">
        <v>146</v>
      </c>
      <c r="BF48" s="5" t="s">
        <v>455</v>
      </c>
    </row>
    <row r="49" spans="1:58" x14ac:dyDescent="0.35">
      <c r="A49" s="4">
        <v>48</v>
      </c>
      <c r="B49" s="1" t="s">
        <v>456</v>
      </c>
      <c r="C49" s="1" t="s">
        <v>63</v>
      </c>
      <c r="D49" s="1" t="s">
        <v>63</v>
      </c>
      <c r="E49" s="1" t="s">
        <v>69</v>
      </c>
      <c r="F49" s="1" t="s">
        <v>69</v>
      </c>
      <c r="G49" s="1" t="s">
        <v>69</v>
      </c>
      <c r="H49" s="1" t="s">
        <v>69</v>
      </c>
      <c r="I49" s="1" t="s">
        <v>106</v>
      </c>
      <c r="J49" s="1" t="s">
        <v>107</v>
      </c>
      <c r="K49" s="1">
        <v>23</v>
      </c>
      <c r="L49" s="1" t="s">
        <v>72</v>
      </c>
      <c r="M49" s="1" t="s">
        <v>93</v>
      </c>
      <c r="N49" s="1" t="s">
        <v>74</v>
      </c>
      <c r="O49" s="1">
        <v>3</v>
      </c>
      <c r="P49" s="1">
        <v>3</v>
      </c>
      <c r="Q49" s="1">
        <f>data[[#This Row],[Nilai Kepentingan Dimensi Persyaratan]]-data[[#This Row],[Nilai Kepuasan Dimensi Persyaratan]]</f>
        <v>0</v>
      </c>
      <c r="R49" s="1">
        <v>3</v>
      </c>
      <c r="S49" s="1">
        <v>3</v>
      </c>
      <c r="T49" s="1">
        <f>data[[#This Row],[Nilai Kepentingan Dimensi Prosedur]]-data[[#This Row],[Nilai Kepuasan Dimensi Prosedur]]</f>
        <v>0</v>
      </c>
      <c r="U49" s="1">
        <v>3</v>
      </c>
      <c r="V49" s="1">
        <v>4</v>
      </c>
      <c r="W49" s="1">
        <f>data[[#This Row],[Nilai Kepentingan Dimensi Waktu Pelayanan/Penyelesaian]]-data[[#This Row],[Nilai Kepuasan Dimensi Waktu Pelayanan/Penyelesaian]]</f>
        <v>1</v>
      </c>
      <c r="X49" s="1">
        <v>0</v>
      </c>
      <c r="Y49" s="1">
        <v>0</v>
      </c>
      <c r="Z49" s="1">
        <f>data[[#This Row],[Nilai Kepentingan Dimensi Tarif/ Biaya]]-data[[#This Row],[Nilai Kepuasan Dimensi Tarif / Biaya]]</f>
        <v>0</v>
      </c>
      <c r="AA49" s="1">
        <v>4</v>
      </c>
      <c r="AB49" s="1">
        <v>4</v>
      </c>
      <c r="AC49" s="1">
        <f>data[[#This Row],[Nilai Kepentingan Dimensi Produk Spesifikasi Jenis Layanan]]-data[[#This Row],[Nilai Kepuasan Dimensi Produk Spesifikasi Jenis Layanan]]</f>
        <v>0</v>
      </c>
      <c r="AD49" s="1">
        <v>3</v>
      </c>
      <c r="AE49" s="1">
        <v>3</v>
      </c>
      <c r="AF49" s="1">
        <f>data[[#This Row],[Nilai Kepentingan Dimensi Kompetensi Pelaksana]]-data[[#This Row],[Nilai Kepuasan Dimensi Kompetensi Pelaksana]]</f>
        <v>0</v>
      </c>
      <c r="AG49" s="1">
        <v>3</v>
      </c>
      <c r="AH49" s="1">
        <v>3</v>
      </c>
      <c r="AI49" s="1">
        <f>data[[#This Row],[Nilai Kepentingan Dimensi Perilaku Pelaksana]]-data[[#This Row],[Nilai Kepuasan Dimensi Perilaku Pelaksana]]</f>
        <v>0</v>
      </c>
      <c r="AJ49" s="1">
        <v>3</v>
      </c>
      <c r="AK49" s="1">
        <v>3</v>
      </c>
      <c r="AL49" s="1">
        <f>data[[#This Row],[Nilai Kepentingan Dimensi Penanganan Pengaduan, Saran &amp; Masukan]]-data[[#This Row],[Nilai Kepuasan Dimensi Penanganan Pengaduan, Saran &amp; Masukan]]</f>
        <v>0</v>
      </c>
      <c r="AM49" s="1">
        <v>3</v>
      </c>
      <c r="AN49" s="1">
        <v>3</v>
      </c>
      <c r="AO49" s="1">
        <f>data[[#This Row],[Nilai Kepentingan Dimensi Kualitas Sarana dan Prasarana]]-data[[#This Row],[Nilai Kepuasan Dimensi Kualitas Sarana dan Prasarana]]</f>
        <v>0</v>
      </c>
      <c r="AP49" s="1">
        <v>0</v>
      </c>
      <c r="AQ49" s="1" t="s">
        <v>69</v>
      </c>
      <c r="AR49" s="1">
        <v>0</v>
      </c>
      <c r="AS49" s="1" t="s">
        <v>69</v>
      </c>
      <c r="AT49" s="1">
        <v>0</v>
      </c>
      <c r="AU49" s="1" t="s">
        <v>69</v>
      </c>
      <c r="AV49" s="1" t="s">
        <v>461</v>
      </c>
      <c r="AW49" s="1" t="s">
        <v>186</v>
      </c>
      <c r="AX49" s="1">
        <v>3</v>
      </c>
      <c r="AY49" s="1">
        <v>2</v>
      </c>
      <c r="AZ49" s="1" t="s">
        <v>462</v>
      </c>
      <c r="BA49" s="1" t="s">
        <v>79</v>
      </c>
      <c r="BB49" s="1" t="s">
        <v>463</v>
      </c>
      <c r="BC49" s="1" t="s">
        <v>421</v>
      </c>
      <c r="BD49" s="1" t="s">
        <v>462</v>
      </c>
      <c r="BE49" s="1" t="s">
        <v>79</v>
      </c>
      <c r="BF49" s="5" t="s">
        <v>83</v>
      </c>
    </row>
    <row r="50" spans="1:58" x14ac:dyDescent="0.35">
      <c r="A50" s="4">
        <v>49</v>
      </c>
      <c r="B50" s="1" t="s">
        <v>464</v>
      </c>
      <c r="C50" s="1" t="s">
        <v>63</v>
      </c>
      <c r="D50" s="1" t="s">
        <v>466</v>
      </c>
      <c r="E50" s="1" t="s">
        <v>69</v>
      </c>
      <c r="F50" s="1" t="s">
        <v>69</v>
      </c>
      <c r="G50" s="1" t="s">
        <v>69</v>
      </c>
      <c r="H50" s="1" t="s">
        <v>69</v>
      </c>
      <c r="I50" s="1" t="s">
        <v>106</v>
      </c>
      <c r="J50" s="1" t="s">
        <v>107</v>
      </c>
      <c r="K50" s="1">
        <v>58</v>
      </c>
      <c r="L50" s="1" t="s">
        <v>182</v>
      </c>
      <c r="M50" s="1" t="s">
        <v>73</v>
      </c>
      <c r="N50" s="1" t="s">
        <v>184</v>
      </c>
      <c r="O50" s="1">
        <v>3</v>
      </c>
      <c r="P50" s="1">
        <v>3</v>
      </c>
      <c r="Q50" s="1">
        <f>data[[#This Row],[Nilai Kepentingan Dimensi Persyaratan]]-data[[#This Row],[Nilai Kepuasan Dimensi Persyaratan]]</f>
        <v>0</v>
      </c>
      <c r="R50" s="1">
        <v>3</v>
      </c>
      <c r="S50" s="1">
        <v>3</v>
      </c>
      <c r="T50" s="1">
        <f>data[[#This Row],[Nilai Kepentingan Dimensi Prosedur]]-data[[#This Row],[Nilai Kepuasan Dimensi Prosedur]]</f>
        <v>0</v>
      </c>
      <c r="U50" s="1">
        <v>3</v>
      </c>
      <c r="V50" s="1">
        <v>3</v>
      </c>
      <c r="W50" s="1">
        <f>data[[#This Row],[Nilai Kepentingan Dimensi Waktu Pelayanan/Penyelesaian]]-data[[#This Row],[Nilai Kepuasan Dimensi Waktu Pelayanan/Penyelesaian]]</f>
        <v>0</v>
      </c>
      <c r="X50" s="1">
        <v>0</v>
      </c>
      <c r="Y50" s="1">
        <v>0</v>
      </c>
      <c r="Z50" s="1">
        <f>data[[#This Row],[Nilai Kepentingan Dimensi Tarif/ Biaya]]-data[[#This Row],[Nilai Kepuasan Dimensi Tarif / Biaya]]</f>
        <v>0</v>
      </c>
      <c r="AA50" s="1">
        <v>3</v>
      </c>
      <c r="AB50" s="1">
        <v>3</v>
      </c>
      <c r="AC50" s="1">
        <f>data[[#This Row],[Nilai Kepentingan Dimensi Produk Spesifikasi Jenis Layanan]]-data[[#This Row],[Nilai Kepuasan Dimensi Produk Spesifikasi Jenis Layanan]]</f>
        <v>0</v>
      </c>
      <c r="AD50" s="1">
        <v>4</v>
      </c>
      <c r="AE50" s="1">
        <v>4</v>
      </c>
      <c r="AF50" s="1">
        <f>data[[#This Row],[Nilai Kepentingan Dimensi Kompetensi Pelaksana]]-data[[#This Row],[Nilai Kepuasan Dimensi Kompetensi Pelaksana]]</f>
        <v>0</v>
      </c>
      <c r="AG50" s="1">
        <v>4</v>
      </c>
      <c r="AH50" s="1">
        <v>4</v>
      </c>
      <c r="AI50" s="1">
        <f>data[[#This Row],[Nilai Kepentingan Dimensi Perilaku Pelaksana]]-data[[#This Row],[Nilai Kepuasan Dimensi Perilaku Pelaksana]]</f>
        <v>0</v>
      </c>
      <c r="AJ50" s="1">
        <v>3</v>
      </c>
      <c r="AK50" s="1">
        <v>3</v>
      </c>
      <c r="AL50" s="1">
        <f>data[[#This Row],[Nilai Kepentingan Dimensi Penanganan Pengaduan, Saran &amp; Masukan]]-data[[#This Row],[Nilai Kepuasan Dimensi Penanganan Pengaduan, Saran &amp; Masukan]]</f>
        <v>0</v>
      </c>
      <c r="AM50" s="1">
        <v>4</v>
      </c>
      <c r="AN50" s="1">
        <v>4</v>
      </c>
      <c r="AO50" s="1">
        <f>data[[#This Row],[Nilai Kepentingan Dimensi Kualitas Sarana dan Prasarana]]-data[[#This Row],[Nilai Kepuasan Dimensi Kualitas Sarana dan Prasarana]]</f>
        <v>0</v>
      </c>
      <c r="AP50" s="1">
        <v>0</v>
      </c>
      <c r="AQ50" s="1" t="s">
        <v>75</v>
      </c>
      <c r="AR50" s="1">
        <v>0</v>
      </c>
      <c r="AS50" s="1" t="s">
        <v>69</v>
      </c>
      <c r="AT50" s="1">
        <v>0</v>
      </c>
      <c r="AU50" s="1" t="s">
        <v>69</v>
      </c>
      <c r="AV50" s="1" t="s">
        <v>470</v>
      </c>
      <c r="AW50" s="1" t="s">
        <v>186</v>
      </c>
      <c r="AX50" s="1">
        <v>2</v>
      </c>
      <c r="AY50" s="1">
        <v>3</v>
      </c>
      <c r="AZ50" s="1" t="s">
        <v>462</v>
      </c>
      <c r="BA50" s="1" t="s">
        <v>79</v>
      </c>
      <c r="BB50" s="1" t="s">
        <v>462</v>
      </c>
      <c r="BC50" s="1" t="s">
        <v>79</v>
      </c>
      <c r="BD50" s="1" t="s">
        <v>462</v>
      </c>
      <c r="BE50" s="1" t="s">
        <v>79</v>
      </c>
      <c r="BF50" s="5" t="s">
        <v>83</v>
      </c>
    </row>
    <row r="51" spans="1:58" x14ac:dyDescent="0.35">
      <c r="A51" s="4">
        <v>50</v>
      </c>
      <c r="B51" s="1" t="s">
        <v>471</v>
      </c>
      <c r="C51" s="1" t="s">
        <v>63</v>
      </c>
      <c r="D51" s="1" t="s">
        <v>63</v>
      </c>
      <c r="E51" s="1" t="s">
        <v>69</v>
      </c>
      <c r="F51" s="1" t="s">
        <v>69</v>
      </c>
      <c r="G51" s="1" t="s">
        <v>69</v>
      </c>
      <c r="H51" s="1" t="s">
        <v>69</v>
      </c>
      <c r="I51" s="1" t="s">
        <v>70</v>
      </c>
      <c r="J51" s="1" t="s">
        <v>107</v>
      </c>
      <c r="K51" s="1">
        <v>54</v>
      </c>
      <c r="L51" s="1" t="s">
        <v>383</v>
      </c>
      <c r="M51" s="1" t="s">
        <v>93</v>
      </c>
      <c r="N51" s="1" t="s">
        <v>184</v>
      </c>
      <c r="O51" s="1">
        <v>3</v>
      </c>
      <c r="P51" s="1">
        <v>4</v>
      </c>
      <c r="Q51" s="1">
        <f>data[[#This Row],[Nilai Kepentingan Dimensi Persyaratan]]-data[[#This Row],[Nilai Kepuasan Dimensi Persyaratan]]</f>
        <v>1</v>
      </c>
      <c r="R51" s="1">
        <v>4</v>
      </c>
      <c r="S51" s="1">
        <v>4</v>
      </c>
      <c r="T51" s="1">
        <f>data[[#This Row],[Nilai Kepentingan Dimensi Prosedur]]-data[[#This Row],[Nilai Kepuasan Dimensi Prosedur]]</f>
        <v>0</v>
      </c>
      <c r="U51" s="1">
        <v>4</v>
      </c>
      <c r="V51" s="1">
        <v>4</v>
      </c>
      <c r="W51" s="1">
        <f>data[[#This Row],[Nilai Kepentingan Dimensi Waktu Pelayanan/Penyelesaian]]-data[[#This Row],[Nilai Kepuasan Dimensi Waktu Pelayanan/Penyelesaian]]</f>
        <v>0</v>
      </c>
      <c r="X51" s="1">
        <v>0</v>
      </c>
      <c r="Y51" s="1">
        <v>0</v>
      </c>
      <c r="Z51" s="1">
        <f>data[[#This Row],[Nilai Kepentingan Dimensi Tarif/ Biaya]]-data[[#This Row],[Nilai Kepuasan Dimensi Tarif / Biaya]]</f>
        <v>0</v>
      </c>
      <c r="AA51" s="1">
        <v>4</v>
      </c>
      <c r="AB51" s="1">
        <v>4</v>
      </c>
      <c r="AC51" s="1">
        <f>data[[#This Row],[Nilai Kepentingan Dimensi Produk Spesifikasi Jenis Layanan]]-data[[#This Row],[Nilai Kepuasan Dimensi Produk Spesifikasi Jenis Layanan]]</f>
        <v>0</v>
      </c>
      <c r="AD51" s="1">
        <v>4</v>
      </c>
      <c r="AE51" s="1">
        <v>4</v>
      </c>
      <c r="AF51" s="1">
        <f>data[[#This Row],[Nilai Kepentingan Dimensi Kompetensi Pelaksana]]-data[[#This Row],[Nilai Kepuasan Dimensi Kompetensi Pelaksana]]</f>
        <v>0</v>
      </c>
      <c r="AG51" s="1">
        <v>4</v>
      </c>
      <c r="AH51" s="1">
        <v>4</v>
      </c>
      <c r="AI51" s="1">
        <f>data[[#This Row],[Nilai Kepentingan Dimensi Perilaku Pelaksana]]-data[[#This Row],[Nilai Kepuasan Dimensi Perilaku Pelaksana]]</f>
        <v>0</v>
      </c>
      <c r="AJ51" s="1">
        <v>4</v>
      </c>
      <c r="AK51" s="1">
        <v>4</v>
      </c>
      <c r="AL51" s="1">
        <f>data[[#This Row],[Nilai Kepentingan Dimensi Penanganan Pengaduan, Saran &amp; Masukan]]-data[[#This Row],[Nilai Kepuasan Dimensi Penanganan Pengaduan, Saran &amp; Masukan]]</f>
        <v>0</v>
      </c>
      <c r="AM51" s="1">
        <v>4</v>
      </c>
      <c r="AN51" s="1">
        <v>4</v>
      </c>
      <c r="AO51" s="1">
        <f>data[[#This Row],[Nilai Kepentingan Dimensi Kualitas Sarana dan Prasarana]]-data[[#This Row],[Nilai Kepuasan Dimensi Kualitas Sarana dan Prasarana]]</f>
        <v>0</v>
      </c>
      <c r="AP51" s="1">
        <v>3</v>
      </c>
      <c r="AQ51" s="1" t="s">
        <v>75</v>
      </c>
      <c r="AR51" s="1">
        <v>0</v>
      </c>
      <c r="AS51" s="1" t="s">
        <v>69</v>
      </c>
      <c r="AT51" s="1">
        <v>0</v>
      </c>
      <c r="AU51" s="1" t="s">
        <v>69</v>
      </c>
      <c r="AV51" s="1" t="s">
        <v>83</v>
      </c>
      <c r="AW51" s="1" t="s">
        <v>96</v>
      </c>
      <c r="AX51" s="1">
        <v>0</v>
      </c>
      <c r="AY51" s="1">
        <v>0</v>
      </c>
      <c r="AZ51" s="1" t="s">
        <v>462</v>
      </c>
      <c r="BA51" s="1" t="s">
        <v>79</v>
      </c>
      <c r="BB51" s="1" t="s">
        <v>477</v>
      </c>
      <c r="BC51" s="1" t="s">
        <v>112</v>
      </c>
      <c r="BD51" s="1" t="s">
        <v>462</v>
      </c>
      <c r="BE51" s="1" t="s">
        <v>79</v>
      </c>
      <c r="BF51" s="5" t="s">
        <v>83</v>
      </c>
    </row>
    <row r="52" spans="1:58" x14ac:dyDescent="0.35">
      <c r="A52" s="4">
        <v>51</v>
      </c>
      <c r="B52" s="1" t="s">
        <v>478</v>
      </c>
      <c r="C52" s="1" t="s">
        <v>63</v>
      </c>
      <c r="D52" s="1" t="s">
        <v>480</v>
      </c>
      <c r="E52" s="1" t="s">
        <v>69</v>
      </c>
      <c r="F52" s="1" t="s">
        <v>69</v>
      </c>
      <c r="G52" s="1" t="s">
        <v>69</v>
      </c>
      <c r="H52" s="1" t="s">
        <v>69</v>
      </c>
      <c r="I52" s="1" t="s">
        <v>70</v>
      </c>
      <c r="J52" s="1" t="s">
        <v>107</v>
      </c>
      <c r="K52" s="1">
        <v>28</v>
      </c>
      <c r="L52" s="1" t="s">
        <v>92</v>
      </c>
      <c r="M52" s="1" t="s">
        <v>93</v>
      </c>
      <c r="N52" s="1" t="s">
        <v>246</v>
      </c>
      <c r="O52" s="1">
        <v>2</v>
      </c>
      <c r="P52" s="1">
        <v>3</v>
      </c>
      <c r="Q52" s="1">
        <f>data[[#This Row],[Nilai Kepentingan Dimensi Persyaratan]]-data[[#This Row],[Nilai Kepuasan Dimensi Persyaratan]]</f>
        <v>1</v>
      </c>
      <c r="R52" s="1">
        <v>2</v>
      </c>
      <c r="S52" s="1">
        <v>3</v>
      </c>
      <c r="T52" s="1">
        <f>data[[#This Row],[Nilai Kepentingan Dimensi Prosedur]]-data[[#This Row],[Nilai Kepuasan Dimensi Prosedur]]</f>
        <v>1</v>
      </c>
      <c r="U52" s="1">
        <v>3</v>
      </c>
      <c r="V52" s="1">
        <v>3</v>
      </c>
      <c r="W52" s="1">
        <f>data[[#This Row],[Nilai Kepentingan Dimensi Waktu Pelayanan/Penyelesaian]]-data[[#This Row],[Nilai Kepuasan Dimensi Waktu Pelayanan/Penyelesaian]]</f>
        <v>0</v>
      </c>
      <c r="X52" s="1">
        <v>0</v>
      </c>
      <c r="Y52" s="1">
        <v>0</v>
      </c>
      <c r="Z52" s="1">
        <f>data[[#This Row],[Nilai Kepentingan Dimensi Tarif/ Biaya]]-data[[#This Row],[Nilai Kepuasan Dimensi Tarif / Biaya]]</f>
        <v>0</v>
      </c>
      <c r="AA52" s="1">
        <v>3</v>
      </c>
      <c r="AB52" s="1">
        <v>3</v>
      </c>
      <c r="AC52" s="1">
        <f>data[[#This Row],[Nilai Kepentingan Dimensi Produk Spesifikasi Jenis Layanan]]-data[[#This Row],[Nilai Kepuasan Dimensi Produk Spesifikasi Jenis Layanan]]</f>
        <v>0</v>
      </c>
      <c r="AD52" s="1">
        <v>3</v>
      </c>
      <c r="AE52" s="1">
        <v>3</v>
      </c>
      <c r="AF52" s="1">
        <f>data[[#This Row],[Nilai Kepentingan Dimensi Kompetensi Pelaksana]]-data[[#This Row],[Nilai Kepuasan Dimensi Kompetensi Pelaksana]]</f>
        <v>0</v>
      </c>
      <c r="AG52" s="1">
        <v>3</v>
      </c>
      <c r="AH52" s="1">
        <v>3</v>
      </c>
      <c r="AI52" s="1">
        <f>data[[#This Row],[Nilai Kepentingan Dimensi Perilaku Pelaksana]]-data[[#This Row],[Nilai Kepuasan Dimensi Perilaku Pelaksana]]</f>
        <v>0</v>
      </c>
      <c r="AJ52" s="1">
        <v>3</v>
      </c>
      <c r="AK52" s="1">
        <v>3</v>
      </c>
      <c r="AL52" s="1">
        <f>data[[#This Row],[Nilai Kepentingan Dimensi Penanganan Pengaduan, Saran &amp; Masukan]]-data[[#This Row],[Nilai Kepuasan Dimensi Penanganan Pengaduan, Saran &amp; Masukan]]</f>
        <v>0</v>
      </c>
      <c r="AM52" s="1">
        <v>4</v>
      </c>
      <c r="AN52" s="1">
        <v>4</v>
      </c>
      <c r="AO52" s="1">
        <f>data[[#This Row],[Nilai Kepentingan Dimensi Kualitas Sarana dan Prasarana]]-data[[#This Row],[Nilai Kepuasan Dimensi Kualitas Sarana dan Prasarana]]</f>
        <v>0</v>
      </c>
      <c r="AP52" s="1">
        <v>0</v>
      </c>
      <c r="AQ52" s="1" t="s">
        <v>69</v>
      </c>
      <c r="AR52" s="1">
        <v>0</v>
      </c>
      <c r="AS52" s="1" t="s">
        <v>69</v>
      </c>
      <c r="AT52" s="1">
        <v>0</v>
      </c>
      <c r="AU52" s="1" t="s">
        <v>69</v>
      </c>
      <c r="AV52" s="1" t="s">
        <v>484</v>
      </c>
      <c r="AW52" s="1" t="s">
        <v>450</v>
      </c>
      <c r="AX52" s="1">
        <v>3</v>
      </c>
      <c r="AY52" s="1">
        <v>2</v>
      </c>
      <c r="AZ52" s="1" t="s">
        <v>485</v>
      </c>
      <c r="BA52" s="1" t="s">
        <v>486</v>
      </c>
      <c r="BB52" s="1" t="s">
        <v>487</v>
      </c>
      <c r="BC52" s="1" t="s">
        <v>79</v>
      </c>
      <c r="BD52" s="1" t="s">
        <v>442</v>
      </c>
      <c r="BE52" s="1" t="s">
        <v>79</v>
      </c>
      <c r="BF52" s="5" t="s">
        <v>83</v>
      </c>
    </row>
    <row r="53" spans="1:58" x14ac:dyDescent="0.35">
      <c r="A53" s="4">
        <v>52</v>
      </c>
      <c r="B53" s="1" t="s">
        <v>488</v>
      </c>
      <c r="C53" s="1" t="s">
        <v>63</v>
      </c>
      <c r="D53" s="1" t="s">
        <v>63</v>
      </c>
      <c r="E53" s="1" t="s">
        <v>69</v>
      </c>
      <c r="F53" s="1" t="s">
        <v>69</v>
      </c>
      <c r="G53" s="1" t="s">
        <v>69</v>
      </c>
      <c r="H53" s="1" t="s">
        <v>69</v>
      </c>
      <c r="I53" s="1" t="s">
        <v>106</v>
      </c>
      <c r="J53" s="1" t="s">
        <v>71</v>
      </c>
      <c r="K53" s="1">
        <v>24</v>
      </c>
      <c r="L53" s="1" t="s">
        <v>72</v>
      </c>
      <c r="M53" s="1" t="s">
        <v>93</v>
      </c>
      <c r="N53" s="1" t="s">
        <v>74</v>
      </c>
      <c r="O53" s="1">
        <v>4</v>
      </c>
      <c r="P53" s="1">
        <v>4</v>
      </c>
      <c r="Q53" s="1">
        <f>data[[#This Row],[Nilai Kepentingan Dimensi Persyaratan]]-data[[#This Row],[Nilai Kepuasan Dimensi Persyaratan]]</f>
        <v>0</v>
      </c>
      <c r="R53" s="1">
        <v>3</v>
      </c>
      <c r="S53" s="1">
        <v>4</v>
      </c>
      <c r="T53" s="1">
        <f>data[[#This Row],[Nilai Kepentingan Dimensi Prosedur]]-data[[#This Row],[Nilai Kepuasan Dimensi Prosedur]]</f>
        <v>1</v>
      </c>
      <c r="U53" s="1">
        <v>3</v>
      </c>
      <c r="V53" s="1">
        <v>4</v>
      </c>
      <c r="W53" s="1">
        <f>data[[#This Row],[Nilai Kepentingan Dimensi Waktu Pelayanan/Penyelesaian]]-data[[#This Row],[Nilai Kepuasan Dimensi Waktu Pelayanan/Penyelesaian]]</f>
        <v>1</v>
      </c>
      <c r="X53" s="1">
        <v>4</v>
      </c>
      <c r="Y53" s="1">
        <v>4</v>
      </c>
      <c r="Z53" s="1">
        <f>data[[#This Row],[Nilai Kepentingan Dimensi Tarif/ Biaya]]-data[[#This Row],[Nilai Kepuasan Dimensi Tarif / Biaya]]</f>
        <v>0</v>
      </c>
      <c r="AA53" s="1">
        <v>4</v>
      </c>
      <c r="AB53" s="1">
        <v>4</v>
      </c>
      <c r="AC53" s="1">
        <f>data[[#This Row],[Nilai Kepentingan Dimensi Produk Spesifikasi Jenis Layanan]]-data[[#This Row],[Nilai Kepuasan Dimensi Produk Spesifikasi Jenis Layanan]]</f>
        <v>0</v>
      </c>
      <c r="AD53" s="1">
        <v>3</v>
      </c>
      <c r="AE53" s="1">
        <v>3</v>
      </c>
      <c r="AF53" s="1">
        <f>data[[#This Row],[Nilai Kepentingan Dimensi Kompetensi Pelaksana]]-data[[#This Row],[Nilai Kepuasan Dimensi Kompetensi Pelaksana]]</f>
        <v>0</v>
      </c>
      <c r="AG53" s="1">
        <v>3</v>
      </c>
      <c r="AH53" s="1">
        <v>3</v>
      </c>
      <c r="AI53" s="1">
        <f>data[[#This Row],[Nilai Kepentingan Dimensi Perilaku Pelaksana]]-data[[#This Row],[Nilai Kepuasan Dimensi Perilaku Pelaksana]]</f>
        <v>0</v>
      </c>
      <c r="AJ53" s="1">
        <v>3</v>
      </c>
      <c r="AK53" s="1">
        <v>3</v>
      </c>
      <c r="AL53" s="1">
        <f>data[[#This Row],[Nilai Kepentingan Dimensi Penanganan Pengaduan, Saran &amp; Masukan]]-data[[#This Row],[Nilai Kepuasan Dimensi Penanganan Pengaduan, Saran &amp; Masukan]]</f>
        <v>0</v>
      </c>
      <c r="AM53" s="1">
        <v>4</v>
      </c>
      <c r="AN53" s="1">
        <v>4</v>
      </c>
      <c r="AO53" s="1">
        <f>data[[#This Row],[Nilai Kepentingan Dimensi Kualitas Sarana dan Prasarana]]-data[[#This Row],[Nilai Kepuasan Dimensi Kualitas Sarana dan Prasarana]]</f>
        <v>0</v>
      </c>
      <c r="AP53" s="1">
        <v>0</v>
      </c>
      <c r="AQ53" s="1" t="s">
        <v>69</v>
      </c>
      <c r="AR53" s="1">
        <v>4</v>
      </c>
      <c r="AS53" s="1" t="s">
        <v>75</v>
      </c>
      <c r="AT53" s="1">
        <v>0</v>
      </c>
      <c r="AU53" s="1" t="s">
        <v>69</v>
      </c>
      <c r="AV53" s="1" t="s">
        <v>83</v>
      </c>
      <c r="AW53" s="1" t="s">
        <v>96</v>
      </c>
      <c r="AX53" s="1">
        <v>0</v>
      </c>
      <c r="AY53" s="1">
        <v>0</v>
      </c>
      <c r="AZ53" s="1" t="s">
        <v>494</v>
      </c>
      <c r="BA53" s="1" t="s">
        <v>452</v>
      </c>
      <c r="BB53" s="1" t="s">
        <v>442</v>
      </c>
      <c r="BC53" s="1" t="s">
        <v>79</v>
      </c>
      <c r="BD53" s="1" t="s">
        <v>442</v>
      </c>
      <c r="BE53" s="1" t="s">
        <v>79</v>
      </c>
      <c r="BF53" s="5" t="s">
        <v>83</v>
      </c>
    </row>
    <row r="54" spans="1:58" x14ac:dyDescent="0.35">
      <c r="A54" s="4">
        <v>53</v>
      </c>
      <c r="B54" s="1" t="s">
        <v>495</v>
      </c>
      <c r="C54" s="1" t="s">
        <v>63</v>
      </c>
      <c r="D54" s="1" t="s">
        <v>125</v>
      </c>
      <c r="E54" s="1" t="s">
        <v>69</v>
      </c>
      <c r="F54" s="1" t="s">
        <v>69</v>
      </c>
      <c r="G54" s="1" t="s">
        <v>69</v>
      </c>
      <c r="H54" s="1" t="s">
        <v>69</v>
      </c>
      <c r="I54" s="1" t="s">
        <v>70</v>
      </c>
      <c r="J54" s="1" t="s">
        <v>71</v>
      </c>
      <c r="K54" s="1">
        <v>22</v>
      </c>
      <c r="L54" s="1" t="s">
        <v>72</v>
      </c>
      <c r="M54" s="1" t="s">
        <v>93</v>
      </c>
      <c r="N54" s="1" t="s">
        <v>95</v>
      </c>
      <c r="O54" s="1">
        <v>3</v>
      </c>
      <c r="P54" s="1">
        <v>3</v>
      </c>
      <c r="Q54" s="1">
        <f>data[[#This Row],[Nilai Kepentingan Dimensi Persyaratan]]-data[[#This Row],[Nilai Kepuasan Dimensi Persyaratan]]</f>
        <v>0</v>
      </c>
      <c r="R54" s="1">
        <v>3</v>
      </c>
      <c r="S54" s="1">
        <v>3</v>
      </c>
      <c r="T54" s="1">
        <f>data[[#This Row],[Nilai Kepentingan Dimensi Prosedur]]-data[[#This Row],[Nilai Kepuasan Dimensi Prosedur]]</f>
        <v>0</v>
      </c>
      <c r="U54" s="1">
        <v>3</v>
      </c>
      <c r="V54" s="1">
        <v>3</v>
      </c>
      <c r="W54" s="1">
        <f>data[[#This Row],[Nilai Kepentingan Dimensi Waktu Pelayanan/Penyelesaian]]-data[[#This Row],[Nilai Kepuasan Dimensi Waktu Pelayanan/Penyelesaian]]</f>
        <v>0</v>
      </c>
      <c r="X54" s="1">
        <v>4</v>
      </c>
      <c r="Y54" s="1">
        <v>4</v>
      </c>
      <c r="Z54" s="1">
        <f>data[[#This Row],[Nilai Kepentingan Dimensi Tarif/ Biaya]]-data[[#This Row],[Nilai Kepuasan Dimensi Tarif / Biaya]]</f>
        <v>0</v>
      </c>
      <c r="AA54" s="1">
        <v>4</v>
      </c>
      <c r="AB54" s="1">
        <v>4</v>
      </c>
      <c r="AC54" s="1">
        <f>data[[#This Row],[Nilai Kepentingan Dimensi Produk Spesifikasi Jenis Layanan]]-data[[#This Row],[Nilai Kepuasan Dimensi Produk Spesifikasi Jenis Layanan]]</f>
        <v>0</v>
      </c>
      <c r="AD54" s="1">
        <v>3</v>
      </c>
      <c r="AE54" s="1">
        <v>3</v>
      </c>
      <c r="AF54" s="1">
        <f>data[[#This Row],[Nilai Kepentingan Dimensi Kompetensi Pelaksana]]-data[[#This Row],[Nilai Kepuasan Dimensi Kompetensi Pelaksana]]</f>
        <v>0</v>
      </c>
      <c r="AG54" s="1">
        <v>3</v>
      </c>
      <c r="AH54" s="1">
        <v>3</v>
      </c>
      <c r="AI54" s="1">
        <f>data[[#This Row],[Nilai Kepentingan Dimensi Perilaku Pelaksana]]-data[[#This Row],[Nilai Kepuasan Dimensi Perilaku Pelaksana]]</f>
        <v>0</v>
      </c>
      <c r="AJ54" s="1">
        <v>3</v>
      </c>
      <c r="AK54" s="1">
        <v>3</v>
      </c>
      <c r="AL54" s="1">
        <f>data[[#This Row],[Nilai Kepentingan Dimensi Penanganan Pengaduan, Saran &amp; Masukan]]-data[[#This Row],[Nilai Kepuasan Dimensi Penanganan Pengaduan, Saran &amp; Masukan]]</f>
        <v>0</v>
      </c>
      <c r="AM54" s="1">
        <v>4</v>
      </c>
      <c r="AN54" s="1">
        <v>4</v>
      </c>
      <c r="AO54" s="1">
        <f>data[[#This Row],[Nilai Kepentingan Dimensi Kualitas Sarana dan Prasarana]]-data[[#This Row],[Nilai Kepuasan Dimensi Kualitas Sarana dan Prasarana]]</f>
        <v>0</v>
      </c>
      <c r="AP54" s="1">
        <v>0</v>
      </c>
      <c r="AQ54" s="1" t="s">
        <v>69</v>
      </c>
      <c r="AR54" s="1">
        <v>3</v>
      </c>
      <c r="AS54" s="1" t="s">
        <v>75</v>
      </c>
      <c r="AT54" s="1">
        <v>0</v>
      </c>
      <c r="AU54" s="1" t="s">
        <v>69</v>
      </c>
      <c r="AV54" s="1" t="s">
        <v>83</v>
      </c>
      <c r="AW54" s="1" t="s">
        <v>96</v>
      </c>
      <c r="AX54" s="1">
        <v>0</v>
      </c>
      <c r="AY54" s="1">
        <v>0</v>
      </c>
      <c r="AZ54" s="1" t="s">
        <v>500</v>
      </c>
      <c r="BA54" s="1" t="s">
        <v>112</v>
      </c>
      <c r="BB54" s="1" t="s">
        <v>501</v>
      </c>
      <c r="BC54" s="1" t="s">
        <v>502</v>
      </c>
      <c r="BD54" s="1" t="s">
        <v>503</v>
      </c>
      <c r="BE54" s="1" t="s">
        <v>79</v>
      </c>
      <c r="BF54" s="5" t="s">
        <v>83</v>
      </c>
    </row>
    <row r="55" spans="1:58" x14ac:dyDescent="0.35">
      <c r="A55" s="4">
        <v>54</v>
      </c>
      <c r="B55" s="1" t="s">
        <v>504</v>
      </c>
      <c r="C55" s="1" t="s">
        <v>63</v>
      </c>
      <c r="D55" s="1" t="s">
        <v>125</v>
      </c>
      <c r="E55" s="1" t="s">
        <v>69</v>
      </c>
      <c r="F55" s="1" t="s">
        <v>69</v>
      </c>
      <c r="G55" s="1" t="s">
        <v>69</v>
      </c>
      <c r="H55" s="1" t="s">
        <v>69</v>
      </c>
      <c r="I55" s="1" t="s">
        <v>70</v>
      </c>
      <c r="J55" s="1" t="s">
        <v>71</v>
      </c>
      <c r="K55" s="1">
        <v>22</v>
      </c>
      <c r="L55" s="1" t="s">
        <v>72</v>
      </c>
      <c r="M55" s="1" t="s">
        <v>73</v>
      </c>
      <c r="N55" s="1" t="s">
        <v>133</v>
      </c>
      <c r="O55" s="1">
        <v>3</v>
      </c>
      <c r="P55" s="1">
        <v>3</v>
      </c>
      <c r="Q55" s="1">
        <f>data[[#This Row],[Nilai Kepentingan Dimensi Persyaratan]]-data[[#This Row],[Nilai Kepuasan Dimensi Persyaratan]]</f>
        <v>0</v>
      </c>
      <c r="R55" s="1">
        <v>3</v>
      </c>
      <c r="S55" s="1">
        <v>3</v>
      </c>
      <c r="T55" s="1">
        <f>data[[#This Row],[Nilai Kepentingan Dimensi Prosedur]]-data[[#This Row],[Nilai Kepuasan Dimensi Prosedur]]</f>
        <v>0</v>
      </c>
      <c r="U55" s="1">
        <v>3</v>
      </c>
      <c r="V55" s="1">
        <v>3</v>
      </c>
      <c r="W55" s="1">
        <f>data[[#This Row],[Nilai Kepentingan Dimensi Waktu Pelayanan/Penyelesaian]]-data[[#This Row],[Nilai Kepuasan Dimensi Waktu Pelayanan/Penyelesaian]]</f>
        <v>0</v>
      </c>
      <c r="X55" s="1">
        <v>3</v>
      </c>
      <c r="Y55" s="1">
        <v>3</v>
      </c>
      <c r="Z55" s="1">
        <f>data[[#This Row],[Nilai Kepentingan Dimensi Tarif/ Biaya]]-data[[#This Row],[Nilai Kepuasan Dimensi Tarif / Biaya]]</f>
        <v>0</v>
      </c>
      <c r="AA55" s="1">
        <v>3</v>
      </c>
      <c r="AB55" s="1">
        <v>3</v>
      </c>
      <c r="AC55" s="1">
        <f>data[[#This Row],[Nilai Kepentingan Dimensi Produk Spesifikasi Jenis Layanan]]-data[[#This Row],[Nilai Kepuasan Dimensi Produk Spesifikasi Jenis Layanan]]</f>
        <v>0</v>
      </c>
      <c r="AD55" s="1">
        <v>3</v>
      </c>
      <c r="AE55" s="1">
        <v>3</v>
      </c>
      <c r="AF55" s="1">
        <f>data[[#This Row],[Nilai Kepentingan Dimensi Kompetensi Pelaksana]]-data[[#This Row],[Nilai Kepuasan Dimensi Kompetensi Pelaksana]]</f>
        <v>0</v>
      </c>
      <c r="AG55" s="1">
        <v>3</v>
      </c>
      <c r="AH55" s="1">
        <v>3</v>
      </c>
      <c r="AI55" s="1">
        <f>data[[#This Row],[Nilai Kepentingan Dimensi Perilaku Pelaksana]]-data[[#This Row],[Nilai Kepuasan Dimensi Perilaku Pelaksana]]</f>
        <v>0</v>
      </c>
      <c r="AJ55" s="1">
        <v>3</v>
      </c>
      <c r="AK55" s="1">
        <v>3</v>
      </c>
      <c r="AL55" s="1">
        <f>data[[#This Row],[Nilai Kepentingan Dimensi Penanganan Pengaduan, Saran &amp; Masukan]]-data[[#This Row],[Nilai Kepuasan Dimensi Penanganan Pengaduan, Saran &amp; Masukan]]</f>
        <v>0</v>
      </c>
      <c r="AM55" s="1">
        <v>4</v>
      </c>
      <c r="AN55" s="1">
        <v>4</v>
      </c>
      <c r="AO55" s="1">
        <f>data[[#This Row],[Nilai Kepentingan Dimensi Kualitas Sarana dan Prasarana]]-data[[#This Row],[Nilai Kepuasan Dimensi Kualitas Sarana dan Prasarana]]</f>
        <v>0</v>
      </c>
      <c r="AP55" s="1">
        <v>0</v>
      </c>
      <c r="AQ55" s="1" t="s">
        <v>69</v>
      </c>
      <c r="AR55" s="1">
        <v>0</v>
      </c>
      <c r="AS55" s="1" t="s">
        <v>69</v>
      </c>
      <c r="AT55" s="1">
        <v>0</v>
      </c>
      <c r="AU55" s="1" t="s">
        <v>69</v>
      </c>
      <c r="AV55" s="1" t="s">
        <v>144</v>
      </c>
      <c r="AW55" s="1" t="s">
        <v>144</v>
      </c>
      <c r="AX55" s="1">
        <v>2</v>
      </c>
      <c r="AY55" s="1">
        <v>3</v>
      </c>
      <c r="AZ55" s="1" t="s">
        <v>442</v>
      </c>
      <c r="BA55" s="1" t="s">
        <v>79</v>
      </c>
      <c r="BB55" s="1" t="s">
        <v>509</v>
      </c>
      <c r="BC55" s="1" t="s">
        <v>157</v>
      </c>
      <c r="BD55" s="1" t="s">
        <v>503</v>
      </c>
      <c r="BE55" s="1" t="s">
        <v>79</v>
      </c>
      <c r="BF55" s="5" t="s">
        <v>83</v>
      </c>
    </row>
    <row r="56" spans="1:58" x14ac:dyDescent="0.35">
      <c r="A56" s="4">
        <v>55</v>
      </c>
      <c r="B56" s="1" t="s">
        <v>510</v>
      </c>
      <c r="C56" s="1" t="s">
        <v>63</v>
      </c>
      <c r="D56" s="1" t="s">
        <v>312</v>
      </c>
      <c r="E56" s="1" t="s">
        <v>69</v>
      </c>
      <c r="F56" s="1" t="s">
        <v>69</v>
      </c>
      <c r="G56" s="1" t="s">
        <v>69</v>
      </c>
      <c r="H56" s="1" t="s">
        <v>69</v>
      </c>
      <c r="I56" s="1" t="s">
        <v>70</v>
      </c>
      <c r="J56" s="1" t="s">
        <v>71</v>
      </c>
      <c r="K56" s="1">
        <v>27</v>
      </c>
      <c r="L56" s="1" t="s">
        <v>92</v>
      </c>
      <c r="M56" s="1" t="s">
        <v>93</v>
      </c>
      <c r="N56" s="1" t="s">
        <v>232</v>
      </c>
      <c r="O56" s="1">
        <v>3</v>
      </c>
      <c r="P56" s="1">
        <v>3</v>
      </c>
      <c r="Q56" s="1">
        <f>data[[#This Row],[Nilai Kepentingan Dimensi Persyaratan]]-data[[#This Row],[Nilai Kepuasan Dimensi Persyaratan]]</f>
        <v>0</v>
      </c>
      <c r="R56" s="1">
        <v>3</v>
      </c>
      <c r="S56" s="1">
        <v>3</v>
      </c>
      <c r="T56" s="1">
        <f>data[[#This Row],[Nilai Kepentingan Dimensi Prosedur]]-data[[#This Row],[Nilai Kepuasan Dimensi Prosedur]]</f>
        <v>0</v>
      </c>
      <c r="U56" s="1">
        <v>3</v>
      </c>
      <c r="V56" s="1">
        <v>3</v>
      </c>
      <c r="W56" s="1">
        <f>data[[#This Row],[Nilai Kepentingan Dimensi Waktu Pelayanan/Penyelesaian]]-data[[#This Row],[Nilai Kepuasan Dimensi Waktu Pelayanan/Penyelesaian]]</f>
        <v>0</v>
      </c>
      <c r="X56" s="1">
        <v>3</v>
      </c>
      <c r="Y56" s="1">
        <v>3</v>
      </c>
      <c r="Z56" s="1">
        <f>data[[#This Row],[Nilai Kepentingan Dimensi Tarif/ Biaya]]-data[[#This Row],[Nilai Kepuasan Dimensi Tarif / Biaya]]</f>
        <v>0</v>
      </c>
      <c r="AA56" s="1">
        <v>3</v>
      </c>
      <c r="AB56" s="1">
        <v>3</v>
      </c>
      <c r="AC56" s="1">
        <f>data[[#This Row],[Nilai Kepentingan Dimensi Produk Spesifikasi Jenis Layanan]]-data[[#This Row],[Nilai Kepuasan Dimensi Produk Spesifikasi Jenis Layanan]]</f>
        <v>0</v>
      </c>
      <c r="AD56" s="1">
        <v>2</v>
      </c>
      <c r="AE56" s="1">
        <v>2</v>
      </c>
      <c r="AF56" s="1">
        <f>data[[#This Row],[Nilai Kepentingan Dimensi Kompetensi Pelaksana]]-data[[#This Row],[Nilai Kepuasan Dimensi Kompetensi Pelaksana]]</f>
        <v>0</v>
      </c>
      <c r="AG56" s="1">
        <v>2</v>
      </c>
      <c r="AH56" s="1">
        <v>2</v>
      </c>
      <c r="AI56" s="1">
        <f>data[[#This Row],[Nilai Kepentingan Dimensi Perilaku Pelaksana]]-data[[#This Row],[Nilai Kepuasan Dimensi Perilaku Pelaksana]]</f>
        <v>0</v>
      </c>
      <c r="AJ56" s="1">
        <v>3</v>
      </c>
      <c r="AK56" s="1">
        <v>3</v>
      </c>
      <c r="AL56" s="1">
        <f>data[[#This Row],[Nilai Kepentingan Dimensi Penanganan Pengaduan, Saran &amp; Masukan]]-data[[#This Row],[Nilai Kepuasan Dimensi Penanganan Pengaduan, Saran &amp; Masukan]]</f>
        <v>0</v>
      </c>
      <c r="AM56" s="1">
        <v>3</v>
      </c>
      <c r="AN56" s="1">
        <v>3</v>
      </c>
      <c r="AO56" s="1">
        <f>data[[#This Row],[Nilai Kepentingan Dimensi Kualitas Sarana dan Prasarana]]-data[[#This Row],[Nilai Kepuasan Dimensi Kualitas Sarana dan Prasarana]]</f>
        <v>0</v>
      </c>
      <c r="AP56" s="1">
        <v>3</v>
      </c>
      <c r="AQ56" s="1" t="s">
        <v>75</v>
      </c>
      <c r="AR56" s="1">
        <v>0</v>
      </c>
      <c r="AS56" s="1" t="s">
        <v>69</v>
      </c>
      <c r="AT56" s="1">
        <v>0</v>
      </c>
      <c r="AU56" s="1" t="s">
        <v>69</v>
      </c>
      <c r="AV56" s="1" t="s">
        <v>83</v>
      </c>
      <c r="AW56" s="1" t="s">
        <v>96</v>
      </c>
      <c r="AX56" s="1">
        <v>0</v>
      </c>
      <c r="AY56" s="1">
        <v>0</v>
      </c>
      <c r="AZ56" s="1" t="s">
        <v>513</v>
      </c>
      <c r="BA56" s="1" t="s">
        <v>235</v>
      </c>
      <c r="BB56" s="1" t="s">
        <v>442</v>
      </c>
      <c r="BC56" s="1" t="s">
        <v>79</v>
      </c>
      <c r="BD56" s="1" t="s">
        <v>442</v>
      </c>
      <c r="BE56" s="1" t="s">
        <v>79</v>
      </c>
      <c r="BF56" s="5" t="s">
        <v>83</v>
      </c>
    </row>
    <row r="57" spans="1:58" x14ac:dyDescent="0.35">
      <c r="A57" s="4">
        <v>56</v>
      </c>
      <c r="B57" s="1" t="s">
        <v>514</v>
      </c>
      <c r="C57" s="1" t="s">
        <v>63</v>
      </c>
      <c r="D57" s="1" t="s">
        <v>86</v>
      </c>
      <c r="E57" s="1" t="s">
        <v>69</v>
      </c>
      <c r="F57" s="1" t="s">
        <v>69</v>
      </c>
      <c r="G57" s="1" t="s">
        <v>69</v>
      </c>
      <c r="H57" s="1" t="s">
        <v>69</v>
      </c>
      <c r="I57" s="1" t="s">
        <v>106</v>
      </c>
      <c r="J57" s="1" t="s">
        <v>71</v>
      </c>
      <c r="K57" s="1">
        <v>19</v>
      </c>
      <c r="L57" s="1" t="s">
        <v>131</v>
      </c>
      <c r="M57" s="1" t="s">
        <v>73</v>
      </c>
      <c r="N57" s="1" t="s">
        <v>133</v>
      </c>
      <c r="O57" s="1">
        <v>3</v>
      </c>
      <c r="P57" s="1">
        <v>3</v>
      </c>
      <c r="Q57" s="1">
        <f>data[[#This Row],[Nilai Kepentingan Dimensi Persyaratan]]-data[[#This Row],[Nilai Kepuasan Dimensi Persyaratan]]</f>
        <v>0</v>
      </c>
      <c r="R57" s="1">
        <v>3</v>
      </c>
      <c r="S57" s="1">
        <v>3</v>
      </c>
      <c r="T57" s="1">
        <f>data[[#This Row],[Nilai Kepentingan Dimensi Prosedur]]-data[[#This Row],[Nilai Kepuasan Dimensi Prosedur]]</f>
        <v>0</v>
      </c>
      <c r="U57" s="1">
        <v>4</v>
      </c>
      <c r="V57" s="1">
        <v>4</v>
      </c>
      <c r="W57" s="1">
        <f>data[[#This Row],[Nilai Kepentingan Dimensi Waktu Pelayanan/Penyelesaian]]-data[[#This Row],[Nilai Kepuasan Dimensi Waktu Pelayanan/Penyelesaian]]</f>
        <v>0</v>
      </c>
      <c r="X57" s="1">
        <v>3</v>
      </c>
      <c r="Y57" s="1">
        <v>2</v>
      </c>
      <c r="Z57" s="1">
        <f>data[[#This Row],[Nilai Kepentingan Dimensi Tarif/ Biaya]]-data[[#This Row],[Nilai Kepuasan Dimensi Tarif / Biaya]]</f>
        <v>-1</v>
      </c>
      <c r="AA57" s="1">
        <v>3</v>
      </c>
      <c r="AB57" s="1">
        <v>4</v>
      </c>
      <c r="AC57" s="1">
        <f>data[[#This Row],[Nilai Kepentingan Dimensi Produk Spesifikasi Jenis Layanan]]-data[[#This Row],[Nilai Kepuasan Dimensi Produk Spesifikasi Jenis Layanan]]</f>
        <v>1</v>
      </c>
      <c r="AD57" s="1">
        <v>2</v>
      </c>
      <c r="AE57" s="1">
        <v>3</v>
      </c>
      <c r="AF57" s="1">
        <f>data[[#This Row],[Nilai Kepentingan Dimensi Kompetensi Pelaksana]]-data[[#This Row],[Nilai Kepuasan Dimensi Kompetensi Pelaksana]]</f>
        <v>1</v>
      </c>
      <c r="AG57" s="1">
        <v>2</v>
      </c>
      <c r="AH57" s="1">
        <v>3</v>
      </c>
      <c r="AI57" s="1">
        <f>data[[#This Row],[Nilai Kepentingan Dimensi Perilaku Pelaksana]]-data[[#This Row],[Nilai Kepuasan Dimensi Perilaku Pelaksana]]</f>
        <v>1</v>
      </c>
      <c r="AJ57" s="1">
        <v>3</v>
      </c>
      <c r="AK57" s="1">
        <v>3</v>
      </c>
      <c r="AL57" s="1">
        <f>data[[#This Row],[Nilai Kepentingan Dimensi Penanganan Pengaduan, Saran &amp; Masukan]]-data[[#This Row],[Nilai Kepuasan Dimensi Penanganan Pengaduan, Saran &amp; Masukan]]</f>
        <v>0</v>
      </c>
      <c r="AM57" s="1">
        <v>3</v>
      </c>
      <c r="AN57" s="1">
        <v>4</v>
      </c>
      <c r="AO57" s="1">
        <f>data[[#This Row],[Nilai Kepentingan Dimensi Kualitas Sarana dan Prasarana]]-data[[#This Row],[Nilai Kepuasan Dimensi Kualitas Sarana dan Prasarana]]</f>
        <v>1</v>
      </c>
      <c r="AP57" s="1">
        <v>3</v>
      </c>
      <c r="AQ57" s="1" t="s">
        <v>75</v>
      </c>
      <c r="AR57" s="1">
        <v>3</v>
      </c>
      <c r="AS57" s="1" t="s">
        <v>75</v>
      </c>
      <c r="AT57" s="1">
        <v>3</v>
      </c>
      <c r="AU57" s="1" t="s">
        <v>75</v>
      </c>
      <c r="AV57" s="1" t="s">
        <v>83</v>
      </c>
      <c r="AW57" s="1" t="s">
        <v>96</v>
      </c>
      <c r="AX57" s="1">
        <v>2</v>
      </c>
      <c r="AY57" s="1">
        <v>3</v>
      </c>
      <c r="AZ57" s="1" t="s">
        <v>520</v>
      </c>
      <c r="BA57" s="1" t="s">
        <v>112</v>
      </c>
      <c r="BB57" s="1" t="s">
        <v>521</v>
      </c>
      <c r="BC57" s="1" t="s">
        <v>79</v>
      </c>
      <c r="BD57" s="1" t="s">
        <v>503</v>
      </c>
      <c r="BE57" s="1" t="s">
        <v>79</v>
      </c>
      <c r="BF57" s="5" t="s">
        <v>83</v>
      </c>
    </row>
    <row r="58" spans="1:58" x14ac:dyDescent="0.35">
      <c r="A58" s="4">
        <v>57</v>
      </c>
      <c r="B58" s="1" t="s">
        <v>522</v>
      </c>
      <c r="C58" s="1" t="s">
        <v>63</v>
      </c>
      <c r="D58" s="1" t="s">
        <v>63</v>
      </c>
      <c r="E58" s="1" t="s">
        <v>69</v>
      </c>
      <c r="F58" s="1" t="s">
        <v>69</v>
      </c>
      <c r="G58" s="1" t="s">
        <v>69</v>
      </c>
      <c r="H58" s="1" t="s">
        <v>69</v>
      </c>
      <c r="I58" s="1" t="s">
        <v>70</v>
      </c>
      <c r="J58" s="1" t="s">
        <v>71</v>
      </c>
      <c r="K58" s="1">
        <v>19</v>
      </c>
      <c r="L58" s="1" t="s">
        <v>131</v>
      </c>
      <c r="M58" s="1" t="s">
        <v>73</v>
      </c>
      <c r="N58" s="1" t="s">
        <v>133</v>
      </c>
      <c r="O58" s="1">
        <v>3</v>
      </c>
      <c r="P58" s="1">
        <v>3</v>
      </c>
      <c r="Q58" s="1">
        <f>data[[#This Row],[Nilai Kepentingan Dimensi Persyaratan]]-data[[#This Row],[Nilai Kepuasan Dimensi Persyaratan]]</f>
        <v>0</v>
      </c>
      <c r="R58" s="1">
        <v>3</v>
      </c>
      <c r="S58" s="1">
        <v>3</v>
      </c>
      <c r="T58" s="1">
        <f>data[[#This Row],[Nilai Kepentingan Dimensi Prosedur]]-data[[#This Row],[Nilai Kepuasan Dimensi Prosedur]]</f>
        <v>0</v>
      </c>
      <c r="U58" s="1">
        <v>3</v>
      </c>
      <c r="V58" s="1">
        <v>3</v>
      </c>
      <c r="W58" s="1">
        <f>data[[#This Row],[Nilai Kepentingan Dimensi Waktu Pelayanan/Penyelesaian]]-data[[#This Row],[Nilai Kepuasan Dimensi Waktu Pelayanan/Penyelesaian]]</f>
        <v>0</v>
      </c>
      <c r="X58" s="1">
        <v>3</v>
      </c>
      <c r="Y58" s="1">
        <v>3</v>
      </c>
      <c r="Z58" s="1">
        <f>data[[#This Row],[Nilai Kepentingan Dimensi Tarif/ Biaya]]-data[[#This Row],[Nilai Kepuasan Dimensi Tarif / Biaya]]</f>
        <v>0</v>
      </c>
      <c r="AA58" s="1">
        <v>3</v>
      </c>
      <c r="AB58" s="1">
        <v>3</v>
      </c>
      <c r="AC58" s="1">
        <f>data[[#This Row],[Nilai Kepentingan Dimensi Produk Spesifikasi Jenis Layanan]]-data[[#This Row],[Nilai Kepuasan Dimensi Produk Spesifikasi Jenis Layanan]]</f>
        <v>0</v>
      </c>
      <c r="AD58" s="1">
        <v>3</v>
      </c>
      <c r="AE58" s="1">
        <v>3</v>
      </c>
      <c r="AF58" s="1">
        <f>data[[#This Row],[Nilai Kepentingan Dimensi Kompetensi Pelaksana]]-data[[#This Row],[Nilai Kepuasan Dimensi Kompetensi Pelaksana]]</f>
        <v>0</v>
      </c>
      <c r="AG58" s="1">
        <v>3</v>
      </c>
      <c r="AH58" s="1">
        <v>3</v>
      </c>
      <c r="AI58" s="1">
        <f>data[[#This Row],[Nilai Kepentingan Dimensi Perilaku Pelaksana]]-data[[#This Row],[Nilai Kepuasan Dimensi Perilaku Pelaksana]]</f>
        <v>0</v>
      </c>
      <c r="AJ58" s="1">
        <v>3</v>
      </c>
      <c r="AK58" s="1">
        <v>3</v>
      </c>
      <c r="AL58" s="1">
        <f>data[[#This Row],[Nilai Kepentingan Dimensi Penanganan Pengaduan, Saran &amp; Masukan]]-data[[#This Row],[Nilai Kepuasan Dimensi Penanganan Pengaduan, Saran &amp; Masukan]]</f>
        <v>0</v>
      </c>
      <c r="AM58" s="1">
        <v>3</v>
      </c>
      <c r="AN58" s="1">
        <v>3</v>
      </c>
      <c r="AO58" s="1">
        <f>data[[#This Row],[Nilai Kepentingan Dimensi Kualitas Sarana dan Prasarana]]-data[[#This Row],[Nilai Kepuasan Dimensi Kualitas Sarana dan Prasarana]]</f>
        <v>0</v>
      </c>
      <c r="AP58" s="1">
        <v>3</v>
      </c>
      <c r="AQ58" s="1" t="s">
        <v>75</v>
      </c>
      <c r="AR58" s="1">
        <v>3</v>
      </c>
      <c r="AS58" s="1" t="s">
        <v>75</v>
      </c>
      <c r="AT58" s="1">
        <v>3</v>
      </c>
      <c r="AU58" s="1" t="s">
        <v>75</v>
      </c>
      <c r="AV58" s="1" t="s">
        <v>83</v>
      </c>
      <c r="AW58" s="1" t="s">
        <v>96</v>
      </c>
      <c r="AX58" s="1">
        <v>2</v>
      </c>
      <c r="AY58" s="1">
        <v>3</v>
      </c>
      <c r="AZ58" s="1" t="s">
        <v>527</v>
      </c>
      <c r="BA58" s="1" t="s">
        <v>99</v>
      </c>
      <c r="BB58" s="1" t="s">
        <v>528</v>
      </c>
      <c r="BC58" s="1" t="s">
        <v>79</v>
      </c>
      <c r="BD58" s="1" t="s">
        <v>503</v>
      </c>
      <c r="BE58" s="1" t="s">
        <v>79</v>
      </c>
      <c r="BF58" s="5" t="s">
        <v>83</v>
      </c>
    </row>
    <row r="59" spans="1:58" x14ac:dyDescent="0.35">
      <c r="A59" s="4">
        <v>58</v>
      </c>
      <c r="B59" s="1" t="s">
        <v>529</v>
      </c>
      <c r="C59" s="1" t="s">
        <v>179</v>
      </c>
      <c r="D59" s="1" t="s">
        <v>63</v>
      </c>
      <c r="E59" s="1" t="s">
        <v>69</v>
      </c>
      <c r="F59" s="1" t="s">
        <v>69</v>
      </c>
      <c r="G59" s="1" t="s">
        <v>69</v>
      </c>
      <c r="H59" s="1" t="s">
        <v>69</v>
      </c>
      <c r="I59" s="1" t="s">
        <v>106</v>
      </c>
      <c r="J59" s="1" t="s">
        <v>71</v>
      </c>
      <c r="K59" s="1">
        <v>24</v>
      </c>
      <c r="L59" s="1" t="s">
        <v>72</v>
      </c>
      <c r="M59" s="1" t="s">
        <v>73</v>
      </c>
      <c r="N59" s="1" t="s">
        <v>74</v>
      </c>
      <c r="O59" s="1">
        <v>4</v>
      </c>
      <c r="P59" s="1">
        <v>3</v>
      </c>
      <c r="Q59" s="1">
        <f>data[[#This Row],[Nilai Kepentingan Dimensi Persyaratan]]-data[[#This Row],[Nilai Kepuasan Dimensi Persyaratan]]</f>
        <v>-1</v>
      </c>
      <c r="R59" s="1">
        <v>3</v>
      </c>
      <c r="S59" s="1">
        <v>3</v>
      </c>
      <c r="T59" s="1">
        <f>data[[#This Row],[Nilai Kepentingan Dimensi Prosedur]]-data[[#This Row],[Nilai Kepuasan Dimensi Prosedur]]</f>
        <v>0</v>
      </c>
      <c r="U59" s="1">
        <v>4</v>
      </c>
      <c r="V59" s="1">
        <v>3</v>
      </c>
      <c r="W59" s="1">
        <f>data[[#This Row],[Nilai Kepentingan Dimensi Waktu Pelayanan/Penyelesaian]]-data[[#This Row],[Nilai Kepuasan Dimensi Waktu Pelayanan/Penyelesaian]]</f>
        <v>-1</v>
      </c>
      <c r="X59" s="1">
        <v>3</v>
      </c>
      <c r="Y59" s="1">
        <v>2</v>
      </c>
      <c r="Z59" s="1">
        <f>data[[#This Row],[Nilai Kepentingan Dimensi Tarif/ Biaya]]-data[[#This Row],[Nilai Kepuasan Dimensi Tarif / Biaya]]</f>
        <v>-1</v>
      </c>
      <c r="AA59" s="1">
        <v>4</v>
      </c>
      <c r="AB59" s="1">
        <v>4</v>
      </c>
      <c r="AC59" s="1">
        <f>data[[#This Row],[Nilai Kepentingan Dimensi Produk Spesifikasi Jenis Layanan]]-data[[#This Row],[Nilai Kepuasan Dimensi Produk Spesifikasi Jenis Layanan]]</f>
        <v>0</v>
      </c>
      <c r="AD59" s="1">
        <v>4</v>
      </c>
      <c r="AE59" s="1">
        <v>4</v>
      </c>
      <c r="AF59" s="1">
        <f>data[[#This Row],[Nilai Kepentingan Dimensi Kompetensi Pelaksana]]-data[[#This Row],[Nilai Kepuasan Dimensi Kompetensi Pelaksana]]</f>
        <v>0</v>
      </c>
      <c r="AG59" s="1">
        <v>4</v>
      </c>
      <c r="AH59" s="1">
        <v>4</v>
      </c>
      <c r="AI59" s="1">
        <f>data[[#This Row],[Nilai Kepentingan Dimensi Perilaku Pelaksana]]-data[[#This Row],[Nilai Kepuasan Dimensi Perilaku Pelaksana]]</f>
        <v>0</v>
      </c>
      <c r="AJ59" s="1">
        <v>4</v>
      </c>
      <c r="AK59" s="1">
        <v>4</v>
      </c>
      <c r="AL59" s="1">
        <f>data[[#This Row],[Nilai Kepentingan Dimensi Penanganan Pengaduan, Saran &amp; Masukan]]-data[[#This Row],[Nilai Kepuasan Dimensi Penanganan Pengaduan, Saran &amp; Masukan]]</f>
        <v>0</v>
      </c>
      <c r="AM59" s="1">
        <v>4</v>
      </c>
      <c r="AN59" s="1">
        <v>4</v>
      </c>
      <c r="AO59" s="1">
        <f>data[[#This Row],[Nilai Kepentingan Dimensi Kualitas Sarana dan Prasarana]]-data[[#This Row],[Nilai Kepuasan Dimensi Kualitas Sarana dan Prasarana]]</f>
        <v>0</v>
      </c>
      <c r="AP59" s="1">
        <v>3</v>
      </c>
      <c r="AQ59" s="1" t="s">
        <v>75</v>
      </c>
      <c r="AR59" s="1">
        <v>3</v>
      </c>
      <c r="AS59" s="1" t="s">
        <v>75</v>
      </c>
      <c r="AT59" s="1">
        <v>3</v>
      </c>
      <c r="AU59" s="1" t="s">
        <v>75</v>
      </c>
      <c r="AV59" s="1" t="s">
        <v>532</v>
      </c>
      <c r="AW59" s="1" t="s">
        <v>77</v>
      </c>
      <c r="AX59" s="1">
        <v>1</v>
      </c>
      <c r="AY59" s="1">
        <v>4</v>
      </c>
      <c r="AZ59" s="1" t="s">
        <v>503</v>
      </c>
      <c r="BA59" s="1" t="s">
        <v>79</v>
      </c>
      <c r="BB59" s="1" t="s">
        <v>533</v>
      </c>
      <c r="BC59" s="1" t="s">
        <v>157</v>
      </c>
      <c r="BD59" s="1" t="s">
        <v>503</v>
      </c>
      <c r="BE59" s="1" t="s">
        <v>79</v>
      </c>
      <c r="BF59" s="5" t="s">
        <v>83</v>
      </c>
    </row>
    <row r="60" spans="1:58" x14ac:dyDescent="0.35">
      <c r="A60" s="4">
        <v>59</v>
      </c>
      <c r="B60" s="1" t="s">
        <v>534</v>
      </c>
      <c r="C60" s="1" t="s">
        <v>63</v>
      </c>
      <c r="D60" s="1" t="s">
        <v>125</v>
      </c>
      <c r="E60" s="1" t="s">
        <v>69</v>
      </c>
      <c r="F60" s="1" t="s">
        <v>69</v>
      </c>
      <c r="G60" s="1" t="s">
        <v>69</v>
      </c>
      <c r="H60" s="1" t="s">
        <v>69</v>
      </c>
      <c r="I60" s="1" t="s">
        <v>70</v>
      </c>
      <c r="J60" s="1" t="s">
        <v>71</v>
      </c>
      <c r="K60" s="1">
        <v>41</v>
      </c>
      <c r="L60" s="1" t="s">
        <v>197</v>
      </c>
      <c r="M60" s="1" t="s">
        <v>254</v>
      </c>
      <c r="N60" s="1" t="s">
        <v>74</v>
      </c>
      <c r="O60" s="1">
        <v>3</v>
      </c>
      <c r="P60" s="1">
        <v>4</v>
      </c>
      <c r="Q60" s="1">
        <f>data[[#This Row],[Nilai Kepentingan Dimensi Persyaratan]]-data[[#This Row],[Nilai Kepuasan Dimensi Persyaratan]]</f>
        <v>1</v>
      </c>
      <c r="R60" s="1">
        <v>3</v>
      </c>
      <c r="S60" s="1">
        <v>4</v>
      </c>
      <c r="T60" s="1">
        <f>data[[#This Row],[Nilai Kepentingan Dimensi Prosedur]]-data[[#This Row],[Nilai Kepuasan Dimensi Prosedur]]</f>
        <v>1</v>
      </c>
      <c r="U60" s="1">
        <v>3</v>
      </c>
      <c r="V60" s="1">
        <v>3</v>
      </c>
      <c r="W60" s="1">
        <f>data[[#This Row],[Nilai Kepentingan Dimensi Waktu Pelayanan/Penyelesaian]]-data[[#This Row],[Nilai Kepuasan Dimensi Waktu Pelayanan/Penyelesaian]]</f>
        <v>0</v>
      </c>
      <c r="X60" s="1">
        <v>3</v>
      </c>
      <c r="Y60" s="1">
        <v>3</v>
      </c>
      <c r="Z60" s="1">
        <f>data[[#This Row],[Nilai Kepentingan Dimensi Tarif/ Biaya]]-data[[#This Row],[Nilai Kepuasan Dimensi Tarif / Biaya]]</f>
        <v>0</v>
      </c>
      <c r="AA60" s="1">
        <v>3</v>
      </c>
      <c r="AB60" s="1">
        <v>3</v>
      </c>
      <c r="AC60" s="1">
        <f>data[[#This Row],[Nilai Kepentingan Dimensi Produk Spesifikasi Jenis Layanan]]-data[[#This Row],[Nilai Kepuasan Dimensi Produk Spesifikasi Jenis Layanan]]</f>
        <v>0</v>
      </c>
      <c r="AD60" s="1">
        <v>3</v>
      </c>
      <c r="AE60" s="1">
        <v>3</v>
      </c>
      <c r="AF60" s="1">
        <f>data[[#This Row],[Nilai Kepentingan Dimensi Kompetensi Pelaksana]]-data[[#This Row],[Nilai Kepuasan Dimensi Kompetensi Pelaksana]]</f>
        <v>0</v>
      </c>
      <c r="AG60" s="1">
        <v>3</v>
      </c>
      <c r="AH60" s="1">
        <v>3</v>
      </c>
      <c r="AI60" s="1">
        <f>data[[#This Row],[Nilai Kepentingan Dimensi Perilaku Pelaksana]]-data[[#This Row],[Nilai Kepuasan Dimensi Perilaku Pelaksana]]</f>
        <v>0</v>
      </c>
      <c r="AJ60" s="1">
        <v>3</v>
      </c>
      <c r="AK60" s="1">
        <v>3</v>
      </c>
      <c r="AL60" s="1">
        <f>data[[#This Row],[Nilai Kepentingan Dimensi Penanganan Pengaduan, Saran &amp; Masukan]]-data[[#This Row],[Nilai Kepuasan Dimensi Penanganan Pengaduan, Saran &amp; Masukan]]</f>
        <v>0</v>
      </c>
      <c r="AM60" s="1">
        <v>3</v>
      </c>
      <c r="AN60" s="1">
        <v>4</v>
      </c>
      <c r="AO60" s="1">
        <f>data[[#This Row],[Nilai Kepentingan Dimensi Kualitas Sarana dan Prasarana]]-data[[#This Row],[Nilai Kepuasan Dimensi Kualitas Sarana dan Prasarana]]</f>
        <v>1</v>
      </c>
      <c r="AP60" s="1">
        <v>3</v>
      </c>
      <c r="AQ60" s="1" t="s">
        <v>75</v>
      </c>
      <c r="AR60" s="1">
        <v>3</v>
      </c>
      <c r="AS60" s="1" t="s">
        <v>69</v>
      </c>
      <c r="AT60" s="1">
        <v>3</v>
      </c>
      <c r="AU60" s="1" t="s">
        <v>69</v>
      </c>
      <c r="AV60" s="1" t="s">
        <v>144</v>
      </c>
      <c r="AW60" s="1" t="s">
        <v>144</v>
      </c>
      <c r="AX60" s="1">
        <v>2</v>
      </c>
      <c r="AY60" s="1">
        <v>3</v>
      </c>
      <c r="AZ60" s="1" t="s">
        <v>539</v>
      </c>
      <c r="BA60" s="1" t="s">
        <v>540</v>
      </c>
      <c r="BB60" s="1" t="s">
        <v>503</v>
      </c>
      <c r="BC60" s="1" t="s">
        <v>79</v>
      </c>
      <c r="BD60" s="1" t="s">
        <v>541</v>
      </c>
      <c r="BE60" s="1" t="s">
        <v>146</v>
      </c>
      <c r="BF60" s="5" t="s">
        <v>83</v>
      </c>
    </row>
    <row r="61" spans="1:58" x14ac:dyDescent="0.35">
      <c r="A61" s="4">
        <v>60</v>
      </c>
      <c r="B61" s="1" t="s">
        <v>542</v>
      </c>
      <c r="C61" s="1" t="s">
        <v>289</v>
      </c>
      <c r="D61" s="1" t="s">
        <v>63</v>
      </c>
      <c r="E61" s="1" t="s">
        <v>69</v>
      </c>
      <c r="F61" s="1" t="s">
        <v>69</v>
      </c>
      <c r="G61" s="1" t="s">
        <v>69</v>
      </c>
      <c r="H61" s="1" t="s">
        <v>69</v>
      </c>
      <c r="I61" s="1" t="s">
        <v>106</v>
      </c>
      <c r="J61" s="1" t="s">
        <v>71</v>
      </c>
      <c r="K61" s="1">
        <v>31</v>
      </c>
      <c r="L61" s="1" t="s">
        <v>109</v>
      </c>
      <c r="M61" s="1" t="s">
        <v>73</v>
      </c>
      <c r="N61" s="1" t="s">
        <v>74</v>
      </c>
      <c r="O61" s="1">
        <v>3</v>
      </c>
      <c r="P61" s="1">
        <v>3</v>
      </c>
      <c r="Q61" s="1">
        <f>data[[#This Row],[Nilai Kepentingan Dimensi Persyaratan]]-data[[#This Row],[Nilai Kepuasan Dimensi Persyaratan]]</f>
        <v>0</v>
      </c>
      <c r="R61" s="1">
        <v>3</v>
      </c>
      <c r="S61" s="1">
        <v>3</v>
      </c>
      <c r="T61" s="1">
        <f>data[[#This Row],[Nilai Kepentingan Dimensi Prosedur]]-data[[#This Row],[Nilai Kepuasan Dimensi Prosedur]]</f>
        <v>0</v>
      </c>
      <c r="U61" s="1">
        <v>4</v>
      </c>
      <c r="V61" s="1">
        <v>4</v>
      </c>
      <c r="W61" s="1">
        <f>data[[#This Row],[Nilai Kepentingan Dimensi Waktu Pelayanan/Penyelesaian]]-data[[#This Row],[Nilai Kepuasan Dimensi Waktu Pelayanan/Penyelesaian]]</f>
        <v>0</v>
      </c>
      <c r="X61" s="1">
        <v>3</v>
      </c>
      <c r="Y61" s="1">
        <v>3</v>
      </c>
      <c r="Z61" s="1">
        <f>data[[#This Row],[Nilai Kepentingan Dimensi Tarif/ Biaya]]-data[[#This Row],[Nilai Kepuasan Dimensi Tarif / Biaya]]</f>
        <v>0</v>
      </c>
      <c r="AA61" s="1">
        <v>4</v>
      </c>
      <c r="AB61" s="1">
        <v>4</v>
      </c>
      <c r="AC61" s="1">
        <f>data[[#This Row],[Nilai Kepentingan Dimensi Produk Spesifikasi Jenis Layanan]]-data[[#This Row],[Nilai Kepuasan Dimensi Produk Spesifikasi Jenis Layanan]]</f>
        <v>0</v>
      </c>
      <c r="AD61" s="1">
        <v>4</v>
      </c>
      <c r="AE61" s="1">
        <v>4</v>
      </c>
      <c r="AF61" s="1">
        <f>data[[#This Row],[Nilai Kepentingan Dimensi Kompetensi Pelaksana]]-data[[#This Row],[Nilai Kepuasan Dimensi Kompetensi Pelaksana]]</f>
        <v>0</v>
      </c>
      <c r="AG61" s="1">
        <v>4</v>
      </c>
      <c r="AH61" s="1">
        <v>4</v>
      </c>
      <c r="AI61" s="1">
        <f>data[[#This Row],[Nilai Kepentingan Dimensi Perilaku Pelaksana]]-data[[#This Row],[Nilai Kepuasan Dimensi Perilaku Pelaksana]]</f>
        <v>0</v>
      </c>
      <c r="AJ61" s="1">
        <v>4</v>
      </c>
      <c r="AK61" s="1">
        <v>4</v>
      </c>
      <c r="AL61" s="1">
        <f>data[[#This Row],[Nilai Kepentingan Dimensi Penanganan Pengaduan, Saran &amp; Masukan]]-data[[#This Row],[Nilai Kepuasan Dimensi Penanganan Pengaduan, Saran &amp; Masukan]]</f>
        <v>0</v>
      </c>
      <c r="AM61" s="1">
        <v>4</v>
      </c>
      <c r="AN61" s="1">
        <v>4</v>
      </c>
      <c r="AO61" s="1">
        <f>data[[#This Row],[Nilai Kepentingan Dimensi Kualitas Sarana dan Prasarana]]-data[[#This Row],[Nilai Kepuasan Dimensi Kualitas Sarana dan Prasarana]]</f>
        <v>0</v>
      </c>
      <c r="AP61" s="1">
        <v>3</v>
      </c>
      <c r="AQ61" s="1" t="s">
        <v>75</v>
      </c>
      <c r="AR61" s="1">
        <v>3</v>
      </c>
      <c r="AS61" s="1" t="s">
        <v>75</v>
      </c>
      <c r="AT61" s="1">
        <v>3</v>
      </c>
      <c r="AU61" s="1" t="s">
        <v>75</v>
      </c>
      <c r="AV61" s="1" t="s">
        <v>144</v>
      </c>
      <c r="AW61" s="1" t="s">
        <v>144</v>
      </c>
      <c r="AX61" s="1">
        <v>1</v>
      </c>
      <c r="AY61" s="1">
        <v>4</v>
      </c>
      <c r="AZ61" s="1" t="s">
        <v>547</v>
      </c>
      <c r="BA61" s="1" t="s">
        <v>79</v>
      </c>
      <c r="BB61" s="1" t="s">
        <v>503</v>
      </c>
      <c r="BC61" s="1" t="s">
        <v>79</v>
      </c>
      <c r="BD61" s="1" t="s">
        <v>503</v>
      </c>
      <c r="BE61" s="1" t="s">
        <v>79</v>
      </c>
      <c r="BF61" s="5" t="s">
        <v>83</v>
      </c>
    </row>
    <row r="62" spans="1:58" x14ac:dyDescent="0.35">
      <c r="A62" s="4">
        <v>61</v>
      </c>
      <c r="B62" s="1" t="s">
        <v>548</v>
      </c>
      <c r="C62" s="1" t="s">
        <v>63</v>
      </c>
      <c r="D62" s="1" t="s">
        <v>136</v>
      </c>
      <c r="E62" s="1" t="s">
        <v>69</v>
      </c>
      <c r="F62" s="1" t="s">
        <v>69</v>
      </c>
      <c r="G62" s="1" t="s">
        <v>69</v>
      </c>
      <c r="H62" s="1" t="s">
        <v>69</v>
      </c>
      <c r="I62" s="1" t="s">
        <v>106</v>
      </c>
      <c r="J62" s="1" t="s">
        <v>107</v>
      </c>
      <c r="K62" s="1">
        <v>34</v>
      </c>
      <c r="L62" s="1" t="s">
        <v>109</v>
      </c>
      <c r="M62" s="1" t="s">
        <v>93</v>
      </c>
      <c r="N62" s="1" t="s">
        <v>74</v>
      </c>
      <c r="O62" s="1">
        <v>4</v>
      </c>
      <c r="P62" s="1">
        <v>4</v>
      </c>
      <c r="Q62" s="1">
        <f>data[[#This Row],[Nilai Kepentingan Dimensi Persyaratan]]-data[[#This Row],[Nilai Kepuasan Dimensi Persyaratan]]</f>
        <v>0</v>
      </c>
      <c r="R62" s="1">
        <v>3</v>
      </c>
      <c r="S62" s="1">
        <v>4</v>
      </c>
      <c r="T62" s="1">
        <f>data[[#This Row],[Nilai Kepentingan Dimensi Prosedur]]-data[[#This Row],[Nilai Kepuasan Dimensi Prosedur]]</f>
        <v>1</v>
      </c>
      <c r="U62" s="1">
        <v>3</v>
      </c>
      <c r="V62" s="1">
        <v>4</v>
      </c>
      <c r="W62" s="1">
        <f>data[[#This Row],[Nilai Kepentingan Dimensi Waktu Pelayanan/Penyelesaian]]-data[[#This Row],[Nilai Kepuasan Dimensi Waktu Pelayanan/Penyelesaian]]</f>
        <v>1</v>
      </c>
      <c r="X62" s="1">
        <v>0</v>
      </c>
      <c r="Y62" s="1">
        <v>0</v>
      </c>
      <c r="Z62" s="1">
        <f>data[[#This Row],[Nilai Kepentingan Dimensi Tarif/ Biaya]]-data[[#This Row],[Nilai Kepuasan Dimensi Tarif / Biaya]]</f>
        <v>0</v>
      </c>
      <c r="AA62" s="1">
        <v>4</v>
      </c>
      <c r="AB62" s="1">
        <v>4</v>
      </c>
      <c r="AC62" s="1">
        <f>data[[#This Row],[Nilai Kepentingan Dimensi Produk Spesifikasi Jenis Layanan]]-data[[#This Row],[Nilai Kepuasan Dimensi Produk Spesifikasi Jenis Layanan]]</f>
        <v>0</v>
      </c>
      <c r="AD62" s="1">
        <v>4</v>
      </c>
      <c r="AE62" s="1">
        <v>4</v>
      </c>
      <c r="AF62" s="1">
        <f>data[[#This Row],[Nilai Kepentingan Dimensi Kompetensi Pelaksana]]-data[[#This Row],[Nilai Kepuasan Dimensi Kompetensi Pelaksana]]</f>
        <v>0</v>
      </c>
      <c r="AG62" s="1">
        <v>3</v>
      </c>
      <c r="AH62" s="1">
        <v>4</v>
      </c>
      <c r="AI62" s="1">
        <f>data[[#This Row],[Nilai Kepentingan Dimensi Perilaku Pelaksana]]-data[[#This Row],[Nilai Kepuasan Dimensi Perilaku Pelaksana]]</f>
        <v>1</v>
      </c>
      <c r="AJ62" s="1">
        <v>4</v>
      </c>
      <c r="AK62" s="1">
        <v>3</v>
      </c>
      <c r="AL62" s="1">
        <f>data[[#This Row],[Nilai Kepentingan Dimensi Penanganan Pengaduan, Saran &amp; Masukan]]-data[[#This Row],[Nilai Kepuasan Dimensi Penanganan Pengaduan, Saran &amp; Masukan]]</f>
        <v>-1</v>
      </c>
      <c r="AM62" s="1">
        <v>4</v>
      </c>
      <c r="AN62" s="1">
        <v>4</v>
      </c>
      <c r="AO62" s="1">
        <f>data[[#This Row],[Nilai Kepentingan Dimensi Kualitas Sarana dan Prasarana]]-data[[#This Row],[Nilai Kepuasan Dimensi Kualitas Sarana dan Prasarana]]</f>
        <v>0</v>
      </c>
      <c r="AP62" s="1">
        <v>3</v>
      </c>
      <c r="AQ62" s="1" t="s">
        <v>75</v>
      </c>
      <c r="AR62" s="1">
        <v>3</v>
      </c>
      <c r="AS62" s="1" t="s">
        <v>75</v>
      </c>
      <c r="AT62" s="1">
        <v>3</v>
      </c>
      <c r="AU62" s="1" t="s">
        <v>75</v>
      </c>
      <c r="AV62" s="1" t="s">
        <v>552</v>
      </c>
      <c r="AW62" s="1" t="s">
        <v>44</v>
      </c>
      <c r="AX62" s="1">
        <v>3</v>
      </c>
      <c r="AY62" s="1">
        <v>2</v>
      </c>
      <c r="AZ62" s="1" t="s">
        <v>553</v>
      </c>
      <c r="BA62" s="1" t="s">
        <v>235</v>
      </c>
      <c r="BB62" s="1" t="s">
        <v>554</v>
      </c>
      <c r="BC62" s="1" t="s">
        <v>79</v>
      </c>
      <c r="BD62" s="1" t="s">
        <v>555</v>
      </c>
      <c r="BE62" s="1" t="s">
        <v>79</v>
      </c>
      <c r="BF62" s="5" t="s">
        <v>83</v>
      </c>
    </row>
    <row r="63" spans="1:58" x14ac:dyDescent="0.35">
      <c r="A63" s="4">
        <v>62</v>
      </c>
      <c r="B63" s="1" t="s">
        <v>556</v>
      </c>
      <c r="C63" s="1" t="s">
        <v>63</v>
      </c>
      <c r="D63" s="1" t="s">
        <v>558</v>
      </c>
      <c r="E63" s="1" t="s">
        <v>69</v>
      </c>
      <c r="F63" s="1" t="s">
        <v>69</v>
      </c>
      <c r="G63" s="1" t="s">
        <v>69</v>
      </c>
      <c r="H63" s="1" t="s">
        <v>69</v>
      </c>
      <c r="I63" s="1" t="s">
        <v>70</v>
      </c>
      <c r="J63" s="1" t="s">
        <v>107</v>
      </c>
      <c r="K63" s="1">
        <v>45</v>
      </c>
      <c r="L63" s="1" t="s">
        <v>197</v>
      </c>
      <c r="M63" s="1" t="s">
        <v>93</v>
      </c>
      <c r="N63" s="1" t="s">
        <v>74</v>
      </c>
      <c r="O63" s="1">
        <v>4</v>
      </c>
      <c r="P63" s="1">
        <v>4</v>
      </c>
      <c r="Q63" s="1">
        <f>data[[#This Row],[Nilai Kepentingan Dimensi Persyaratan]]-data[[#This Row],[Nilai Kepuasan Dimensi Persyaratan]]</f>
        <v>0</v>
      </c>
      <c r="R63" s="1">
        <v>4</v>
      </c>
      <c r="S63" s="1">
        <v>4</v>
      </c>
      <c r="T63" s="1">
        <f>data[[#This Row],[Nilai Kepentingan Dimensi Prosedur]]-data[[#This Row],[Nilai Kepuasan Dimensi Prosedur]]</f>
        <v>0</v>
      </c>
      <c r="U63" s="1">
        <v>4</v>
      </c>
      <c r="V63" s="1">
        <v>4</v>
      </c>
      <c r="W63" s="1">
        <f>data[[#This Row],[Nilai Kepentingan Dimensi Waktu Pelayanan/Penyelesaian]]-data[[#This Row],[Nilai Kepuasan Dimensi Waktu Pelayanan/Penyelesaian]]</f>
        <v>0</v>
      </c>
      <c r="X63" s="1">
        <v>0</v>
      </c>
      <c r="Y63" s="1">
        <v>0</v>
      </c>
      <c r="Z63" s="1">
        <f>data[[#This Row],[Nilai Kepentingan Dimensi Tarif/ Biaya]]-data[[#This Row],[Nilai Kepuasan Dimensi Tarif / Biaya]]</f>
        <v>0</v>
      </c>
      <c r="AA63" s="1">
        <v>4</v>
      </c>
      <c r="AB63" s="1">
        <v>4</v>
      </c>
      <c r="AC63" s="1">
        <f>data[[#This Row],[Nilai Kepentingan Dimensi Produk Spesifikasi Jenis Layanan]]-data[[#This Row],[Nilai Kepuasan Dimensi Produk Spesifikasi Jenis Layanan]]</f>
        <v>0</v>
      </c>
      <c r="AD63" s="1">
        <v>4</v>
      </c>
      <c r="AE63" s="1">
        <v>4</v>
      </c>
      <c r="AF63" s="1">
        <f>data[[#This Row],[Nilai Kepentingan Dimensi Kompetensi Pelaksana]]-data[[#This Row],[Nilai Kepuasan Dimensi Kompetensi Pelaksana]]</f>
        <v>0</v>
      </c>
      <c r="AG63" s="1">
        <v>4</v>
      </c>
      <c r="AH63" s="1">
        <v>4</v>
      </c>
      <c r="AI63" s="1">
        <f>data[[#This Row],[Nilai Kepentingan Dimensi Perilaku Pelaksana]]-data[[#This Row],[Nilai Kepuasan Dimensi Perilaku Pelaksana]]</f>
        <v>0</v>
      </c>
      <c r="AJ63" s="1">
        <v>4</v>
      </c>
      <c r="AK63" s="1">
        <v>3</v>
      </c>
      <c r="AL63" s="1">
        <f>data[[#This Row],[Nilai Kepentingan Dimensi Penanganan Pengaduan, Saran &amp; Masukan]]-data[[#This Row],[Nilai Kepuasan Dimensi Penanganan Pengaduan, Saran &amp; Masukan]]</f>
        <v>-1</v>
      </c>
      <c r="AM63" s="1">
        <v>4</v>
      </c>
      <c r="AN63" s="1">
        <v>4</v>
      </c>
      <c r="AO63" s="1">
        <f>data[[#This Row],[Nilai Kepentingan Dimensi Kualitas Sarana dan Prasarana]]-data[[#This Row],[Nilai Kepuasan Dimensi Kualitas Sarana dan Prasarana]]</f>
        <v>0</v>
      </c>
      <c r="AP63" s="1">
        <v>3</v>
      </c>
      <c r="AQ63" s="1" t="s">
        <v>75</v>
      </c>
      <c r="AR63" s="1">
        <v>3</v>
      </c>
      <c r="AS63" s="1" t="s">
        <v>75</v>
      </c>
      <c r="AT63" s="1">
        <v>3</v>
      </c>
      <c r="AU63" s="1" t="s">
        <v>75</v>
      </c>
      <c r="AV63" s="1" t="s">
        <v>293</v>
      </c>
      <c r="AW63" s="1" t="s">
        <v>144</v>
      </c>
      <c r="AX63" s="1">
        <v>1</v>
      </c>
      <c r="AY63" s="1">
        <v>4</v>
      </c>
      <c r="AZ63" s="1" t="s">
        <v>503</v>
      </c>
      <c r="BA63" s="1" t="s">
        <v>79</v>
      </c>
      <c r="BB63" s="1" t="s">
        <v>503</v>
      </c>
      <c r="BC63" s="1" t="s">
        <v>79</v>
      </c>
      <c r="BD63" s="1" t="s">
        <v>503</v>
      </c>
      <c r="BE63" s="1" t="s">
        <v>79</v>
      </c>
      <c r="BF63" s="5" t="s">
        <v>83</v>
      </c>
    </row>
    <row r="64" spans="1:58" x14ac:dyDescent="0.35">
      <c r="A64" s="4">
        <v>63</v>
      </c>
      <c r="B64" s="1" t="s">
        <v>562</v>
      </c>
      <c r="C64" s="1" t="s">
        <v>63</v>
      </c>
      <c r="D64" s="1" t="s">
        <v>86</v>
      </c>
      <c r="E64" s="1" t="s">
        <v>69</v>
      </c>
      <c r="F64" s="1" t="s">
        <v>69</v>
      </c>
      <c r="G64" s="1" t="s">
        <v>69</v>
      </c>
      <c r="H64" s="1" t="s">
        <v>69</v>
      </c>
      <c r="I64" s="1" t="s">
        <v>70</v>
      </c>
      <c r="J64" s="1" t="s">
        <v>107</v>
      </c>
      <c r="K64" s="1">
        <v>25</v>
      </c>
      <c r="L64" s="1" t="s">
        <v>72</v>
      </c>
      <c r="M64" s="1" t="s">
        <v>93</v>
      </c>
      <c r="N64" s="1" t="s">
        <v>74</v>
      </c>
      <c r="O64" s="1">
        <v>3</v>
      </c>
      <c r="P64" s="1">
        <v>3</v>
      </c>
      <c r="Q64" s="1">
        <f>data[[#This Row],[Nilai Kepentingan Dimensi Persyaratan]]-data[[#This Row],[Nilai Kepuasan Dimensi Persyaratan]]</f>
        <v>0</v>
      </c>
      <c r="R64" s="1">
        <v>3</v>
      </c>
      <c r="S64" s="1">
        <v>3</v>
      </c>
      <c r="T64" s="1">
        <f>data[[#This Row],[Nilai Kepentingan Dimensi Prosedur]]-data[[#This Row],[Nilai Kepuasan Dimensi Prosedur]]</f>
        <v>0</v>
      </c>
      <c r="U64" s="1">
        <v>4</v>
      </c>
      <c r="V64" s="1">
        <v>4</v>
      </c>
      <c r="W64" s="1">
        <f>data[[#This Row],[Nilai Kepentingan Dimensi Waktu Pelayanan/Penyelesaian]]-data[[#This Row],[Nilai Kepuasan Dimensi Waktu Pelayanan/Penyelesaian]]</f>
        <v>0</v>
      </c>
      <c r="X64" s="1">
        <v>0</v>
      </c>
      <c r="Y64" s="1">
        <v>0</v>
      </c>
      <c r="Z64" s="1">
        <f>data[[#This Row],[Nilai Kepentingan Dimensi Tarif/ Biaya]]-data[[#This Row],[Nilai Kepuasan Dimensi Tarif / Biaya]]</f>
        <v>0</v>
      </c>
      <c r="AA64" s="1">
        <v>3</v>
      </c>
      <c r="AB64" s="1">
        <v>3</v>
      </c>
      <c r="AC64" s="1">
        <f>data[[#This Row],[Nilai Kepentingan Dimensi Produk Spesifikasi Jenis Layanan]]-data[[#This Row],[Nilai Kepuasan Dimensi Produk Spesifikasi Jenis Layanan]]</f>
        <v>0</v>
      </c>
      <c r="AD64" s="1">
        <v>4</v>
      </c>
      <c r="AE64" s="1">
        <v>4</v>
      </c>
      <c r="AF64" s="1">
        <f>data[[#This Row],[Nilai Kepentingan Dimensi Kompetensi Pelaksana]]-data[[#This Row],[Nilai Kepuasan Dimensi Kompetensi Pelaksana]]</f>
        <v>0</v>
      </c>
      <c r="AG64" s="1">
        <v>4</v>
      </c>
      <c r="AH64" s="1">
        <v>4</v>
      </c>
      <c r="AI64" s="1">
        <f>data[[#This Row],[Nilai Kepentingan Dimensi Perilaku Pelaksana]]-data[[#This Row],[Nilai Kepuasan Dimensi Perilaku Pelaksana]]</f>
        <v>0</v>
      </c>
      <c r="AJ64" s="1">
        <v>3</v>
      </c>
      <c r="AK64" s="1">
        <v>3</v>
      </c>
      <c r="AL64" s="1">
        <f>data[[#This Row],[Nilai Kepentingan Dimensi Penanganan Pengaduan, Saran &amp; Masukan]]-data[[#This Row],[Nilai Kepuasan Dimensi Penanganan Pengaduan, Saran &amp; Masukan]]</f>
        <v>0</v>
      </c>
      <c r="AM64" s="1">
        <v>4</v>
      </c>
      <c r="AN64" s="1">
        <v>3</v>
      </c>
      <c r="AO64" s="1">
        <f>data[[#This Row],[Nilai Kepentingan Dimensi Kualitas Sarana dan Prasarana]]-data[[#This Row],[Nilai Kepuasan Dimensi Kualitas Sarana dan Prasarana]]</f>
        <v>-1</v>
      </c>
      <c r="AP64" s="1">
        <v>3</v>
      </c>
      <c r="AQ64" s="1" t="s">
        <v>75</v>
      </c>
      <c r="AR64" s="1">
        <v>3</v>
      </c>
      <c r="AS64" s="1" t="s">
        <v>75</v>
      </c>
      <c r="AT64" s="1">
        <v>3</v>
      </c>
      <c r="AU64" s="1" t="s">
        <v>75</v>
      </c>
      <c r="AV64" s="1" t="s">
        <v>144</v>
      </c>
      <c r="AW64" s="1" t="s">
        <v>144</v>
      </c>
      <c r="AX64" s="1">
        <v>2</v>
      </c>
      <c r="AY64" s="1">
        <v>3</v>
      </c>
      <c r="AZ64" s="1" t="s">
        <v>567</v>
      </c>
      <c r="BA64" s="1" t="s">
        <v>112</v>
      </c>
      <c r="BB64" s="1" t="s">
        <v>248</v>
      </c>
      <c r="BC64" s="1" t="s">
        <v>79</v>
      </c>
      <c r="BD64" s="1" t="s">
        <v>248</v>
      </c>
      <c r="BE64" s="1" t="s">
        <v>79</v>
      </c>
      <c r="BF64" s="5" t="s">
        <v>83</v>
      </c>
    </row>
    <row r="65" spans="1:58" x14ac:dyDescent="0.35">
      <c r="A65" s="4">
        <v>64</v>
      </c>
      <c r="B65" s="1" t="s">
        <v>568</v>
      </c>
      <c r="C65" s="1" t="s">
        <v>63</v>
      </c>
      <c r="D65" s="1" t="s">
        <v>63</v>
      </c>
      <c r="E65" s="1" t="s">
        <v>69</v>
      </c>
      <c r="F65" s="1" t="s">
        <v>69</v>
      </c>
      <c r="G65" s="1" t="s">
        <v>69</v>
      </c>
      <c r="H65" s="1" t="s">
        <v>69</v>
      </c>
      <c r="I65" s="1" t="s">
        <v>70</v>
      </c>
      <c r="J65" s="1" t="s">
        <v>107</v>
      </c>
      <c r="K65" s="1">
        <v>23</v>
      </c>
      <c r="L65" s="1" t="s">
        <v>72</v>
      </c>
      <c r="M65" s="1" t="s">
        <v>93</v>
      </c>
      <c r="N65" s="1" t="s">
        <v>110</v>
      </c>
      <c r="O65" s="1">
        <v>4</v>
      </c>
      <c r="P65" s="1">
        <v>4</v>
      </c>
      <c r="Q65" s="1">
        <f>data[[#This Row],[Nilai Kepentingan Dimensi Persyaratan]]-data[[#This Row],[Nilai Kepuasan Dimensi Persyaratan]]</f>
        <v>0</v>
      </c>
      <c r="R65" s="1">
        <v>3</v>
      </c>
      <c r="S65" s="1">
        <v>3</v>
      </c>
      <c r="T65" s="1">
        <f>data[[#This Row],[Nilai Kepentingan Dimensi Prosedur]]-data[[#This Row],[Nilai Kepuasan Dimensi Prosedur]]</f>
        <v>0</v>
      </c>
      <c r="U65" s="1">
        <v>4</v>
      </c>
      <c r="V65" s="1">
        <v>4</v>
      </c>
      <c r="W65" s="1">
        <f>data[[#This Row],[Nilai Kepentingan Dimensi Waktu Pelayanan/Penyelesaian]]-data[[#This Row],[Nilai Kepuasan Dimensi Waktu Pelayanan/Penyelesaian]]</f>
        <v>0</v>
      </c>
      <c r="X65" s="1">
        <v>0</v>
      </c>
      <c r="Y65" s="1">
        <v>0</v>
      </c>
      <c r="Z65" s="1">
        <f>data[[#This Row],[Nilai Kepentingan Dimensi Tarif/ Biaya]]-data[[#This Row],[Nilai Kepuasan Dimensi Tarif / Biaya]]</f>
        <v>0</v>
      </c>
      <c r="AA65" s="1">
        <v>4</v>
      </c>
      <c r="AB65" s="1">
        <v>4</v>
      </c>
      <c r="AC65" s="1">
        <f>data[[#This Row],[Nilai Kepentingan Dimensi Produk Spesifikasi Jenis Layanan]]-data[[#This Row],[Nilai Kepuasan Dimensi Produk Spesifikasi Jenis Layanan]]</f>
        <v>0</v>
      </c>
      <c r="AD65" s="1">
        <v>3</v>
      </c>
      <c r="AE65" s="1">
        <v>3</v>
      </c>
      <c r="AF65" s="1">
        <f>data[[#This Row],[Nilai Kepentingan Dimensi Kompetensi Pelaksana]]-data[[#This Row],[Nilai Kepuasan Dimensi Kompetensi Pelaksana]]</f>
        <v>0</v>
      </c>
      <c r="AG65" s="1">
        <v>4</v>
      </c>
      <c r="AH65" s="1">
        <v>4</v>
      </c>
      <c r="AI65" s="1">
        <f>data[[#This Row],[Nilai Kepentingan Dimensi Perilaku Pelaksana]]-data[[#This Row],[Nilai Kepuasan Dimensi Perilaku Pelaksana]]</f>
        <v>0</v>
      </c>
      <c r="AJ65" s="1">
        <v>3</v>
      </c>
      <c r="AK65" s="1">
        <v>4</v>
      </c>
      <c r="AL65" s="1">
        <f>data[[#This Row],[Nilai Kepentingan Dimensi Penanganan Pengaduan, Saran &amp; Masukan]]-data[[#This Row],[Nilai Kepuasan Dimensi Penanganan Pengaduan, Saran &amp; Masukan]]</f>
        <v>1</v>
      </c>
      <c r="AM65" s="1">
        <v>4</v>
      </c>
      <c r="AN65" s="1">
        <v>4</v>
      </c>
      <c r="AO65" s="1">
        <f>data[[#This Row],[Nilai Kepentingan Dimensi Kualitas Sarana dan Prasarana]]-data[[#This Row],[Nilai Kepuasan Dimensi Kualitas Sarana dan Prasarana]]</f>
        <v>0</v>
      </c>
      <c r="AP65" s="1">
        <v>3</v>
      </c>
      <c r="AQ65" s="1" t="s">
        <v>75</v>
      </c>
      <c r="AR65" s="1">
        <v>0</v>
      </c>
      <c r="AS65" s="1" t="s">
        <v>69</v>
      </c>
      <c r="AT65" s="1">
        <v>0</v>
      </c>
      <c r="AU65" s="1" t="s">
        <v>69</v>
      </c>
      <c r="AV65" s="1" t="s">
        <v>83</v>
      </c>
      <c r="AW65" s="1" t="s">
        <v>96</v>
      </c>
      <c r="AX65" s="1">
        <v>0</v>
      </c>
      <c r="AY65" s="1">
        <v>0</v>
      </c>
      <c r="AZ65" s="1" t="s">
        <v>503</v>
      </c>
      <c r="BA65" s="1" t="s">
        <v>79</v>
      </c>
      <c r="BB65" s="1" t="s">
        <v>573</v>
      </c>
      <c r="BC65" s="1" t="s">
        <v>157</v>
      </c>
      <c r="BD65" s="1" t="s">
        <v>574</v>
      </c>
      <c r="BE65" s="1" t="s">
        <v>99</v>
      </c>
      <c r="BF65" s="5" t="s">
        <v>83</v>
      </c>
    </row>
    <row r="66" spans="1:58" x14ac:dyDescent="0.35">
      <c r="A66" s="4">
        <v>65</v>
      </c>
      <c r="B66" s="1" t="s">
        <v>575</v>
      </c>
      <c r="C66" s="1" t="s">
        <v>63</v>
      </c>
      <c r="D66" s="1" t="s">
        <v>338</v>
      </c>
      <c r="E66" s="1" t="s">
        <v>69</v>
      </c>
      <c r="F66" s="1" t="s">
        <v>69</v>
      </c>
      <c r="G66" s="1" t="s">
        <v>69</v>
      </c>
      <c r="H66" s="1" t="s">
        <v>69</v>
      </c>
      <c r="I66" s="1" t="s">
        <v>106</v>
      </c>
      <c r="J66" s="1" t="s">
        <v>107</v>
      </c>
      <c r="K66" s="1">
        <v>20</v>
      </c>
      <c r="L66" s="1" t="s">
        <v>131</v>
      </c>
      <c r="M66" s="1" t="s">
        <v>73</v>
      </c>
      <c r="N66" s="1" t="s">
        <v>95</v>
      </c>
      <c r="O66" s="1">
        <v>3</v>
      </c>
      <c r="P66" s="1">
        <v>3</v>
      </c>
      <c r="Q66" s="1">
        <f>data[[#This Row],[Nilai Kepentingan Dimensi Persyaratan]]-data[[#This Row],[Nilai Kepuasan Dimensi Persyaratan]]</f>
        <v>0</v>
      </c>
      <c r="R66" s="1">
        <v>2</v>
      </c>
      <c r="S66" s="1">
        <v>3</v>
      </c>
      <c r="T66" s="1">
        <f>data[[#This Row],[Nilai Kepentingan Dimensi Prosedur]]-data[[#This Row],[Nilai Kepuasan Dimensi Prosedur]]</f>
        <v>1</v>
      </c>
      <c r="U66" s="1">
        <v>3</v>
      </c>
      <c r="V66" s="1">
        <v>3</v>
      </c>
      <c r="W66" s="1">
        <f>data[[#This Row],[Nilai Kepentingan Dimensi Waktu Pelayanan/Penyelesaian]]-data[[#This Row],[Nilai Kepuasan Dimensi Waktu Pelayanan/Penyelesaian]]</f>
        <v>0</v>
      </c>
      <c r="X66" s="1">
        <v>3</v>
      </c>
      <c r="Y66" s="1">
        <v>0</v>
      </c>
      <c r="Z66" s="1">
        <f>data[[#This Row],[Nilai Kepentingan Dimensi Tarif/ Biaya]]-data[[#This Row],[Nilai Kepuasan Dimensi Tarif / Biaya]]</f>
        <v>-3</v>
      </c>
      <c r="AA66" s="1">
        <v>3</v>
      </c>
      <c r="AB66" s="1">
        <v>3</v>
      </c>
      <c r="AC66" s="1">
        <f>data[[#This Row],[Nilai Kepentingan Dimensi Produk Spesifikasi Jenis Layanan]]-data[[#This Row],[Nilai Kepuasan Dimensi Produk Spesifikasi Jenis Layanan]]</f>
        <v>0</v>
      </c>
      <c r="AD66" s="1">
        <v>4</v>
      </c>
      <c r="AE66" s="1">
        <v>4</v>
      </c>
      <c r="AF66" s="1">
        <f>data[[#This Row],[Nilai Kepentingan Dimensi Kompetensi Pelaksana]]-data[[#This Row],[Nilai Kepuasan Dimensi Kompetensi Pelaksana]]</f>
        <v>0</v>
      </c>
      <c r="AG66" s="1">
        <v>4</v>
      </c>
      <c r="AH66" s="1">
        <v>4</v>
      </c>
      <c r="AI66" s="1">
        <f>data[[#This Row],[Nilai Kepentingan Dimensi Perilaku Pelaksana]]-data[[#This Row],[Nilai Kepuasan Dimensi Perilaku Pelaksana]]</f>
        <v>0</v>
      </c>
      <c r="AJ66" s="1">
        <v>3</v>
      </c>
      <c r="AK66" s="1">
        <v>3</v>
      </c>
      <c r="AL66" s="1">
        <f>data[[#This Row],[Nilai Kepentingan Dimensi Penanganan Pengaduan, Saran &amp; Masukan]]-data[[#This Row],[Nilai Kepuasan Dimensi Penanganan Pengaduan, Saran &amp; Masukan]]</f>
        <v>0</v>
      </c>
      <c r="AM66" s="1">
        <v>3</v>
      </c>
      <c r="AN66" s="1">
        <v>3</v>
      </c>
      <c r="AO66" s="1">
        <f>data[[#This Row],[Nilai Kepentingan Dimensi Kualitas Sarana dan Prasarana]]-data[[#This Row],[Nilai Kepuasan Dimensi Kualitas Sarana dan Prasarana]]</f>
        <v>0</v>
      </c>
      <c r="AP66" s="1">
        <v>3</v>
      </c>
      <c r="AQ66" s="1" t="s">
        <v>75</v>
      </c>
      <c r="AR66" s="1">
        <v>0</v>
      </c>
      <c r="AS66" s="1" t="s">
        <v>69</v>
      </c>
      <c r="AT66" s="1">
        <v>0</v>
      </c>
      <c r="AU66" s="1" t="s">
        <v>69</v>
      </c>
      <c r="AV66" s="1" t="s">
        <v>83</v>
      </c>
      <c r="AW66" s="1" t="s">
        <v>96</v>
      </c>
      <c r="AX66" s="1">
        <v>0</v>
      </c>
      <c r="AY66" s="1">
        <v>0</v>
      </c>
      <c r="AZ66" s="1" t="s">
        <v>582</v>
      </c>
      <c r="BA66" s="1" t="s">
        <v>540</v>
      </c>
      <c r="BB66" s="1" t="s">
        <v>583</v>
      </c>
      <c r="BC66" s="1" t="s">
        <v>81</v>
      </c>
      <c r="BD66" s="1" t="s">
        <v>442</v>
      </c>
      <c r="BE66" s="1" t="s">
        <v>79</v>
      </c>
      <c r="BF66" s="5" t="s">
        <v>584</v>
      </c>
    </row>
    <row r="67" spans="1:58" x14ac:dyDescent="0.35">
      <c r="A67" s="4">
        <v>66</v>
      </c>
      <c r="B67" s="1" t="s">
        <v>585</v>
      </c>
      <c r="C67" s="1" t="s">
        <v>63</v>
      </c>
      <c r="D67" s="1" t="s">
        <v>63</v>
      </c>
      <c r="E67" s="1" t="s">
        <v>69</v>
      </c>
      <c r="F67" s="1" t="s">
        <v>69</v>
      </c>
      <c r="G67" s="1" t="s">
        <v>69</v>
      </c>
      <c r="H67" s="1" t="s">
        <v>69</v>
      </c>
      <c r="I67" s="1" t="s">
        <v>70</v>
      </c>
      <c r="J67" s="1" t="s">
        <v>107</v>
      </c>
      <c r="K67" s="1">
        <v>42</v>
      </c>
      <c r="L67" s="1" t="s">
        <v>197</v>
      </c>
      <c r="M67" s="1" t="s">
        <v>73</v>
      </c>
      <c r="N67" s="1" t="s">
        <v>110</v>
      </c>
      <c r="O67" s="1">
        <v>3</v>
      </c>
      <c r="P67" s="1">
        <v>3</v>
      </c>
      <c r="Q67" s="1">
        <f>data[[#This Row],[Nilai Kepentingan Dimensi Persyaratan]]-data[[#This Row],[Nilai Kepuasan Dimensi Persyaratan]]</f>
        <v>0</v>
      </c>
      <c r="R67" s="1">
        <v>3</v>
      </c>
      <c r="S67" s="1">
        <v>4</v>
      </c>
      <c r="T67" s="1">
        <f>data[[#This Row],[Nilai Kepentingan Dimensi Prosedur]]-data[[#This Row],[Nilai Kepuasan Dimensi Prosedur]]</f>
        <v>1</v>
      </c>
      <c r="U67" s="1">
        <v>4</v>
      </c>
      <c r="V67" s="1">
        <v>4</v>
      </c>
      <c r="W67" s="1">
        <f>data[[#This Row],[Nilai Kepentingan Dimensi Waktu Pelayanan/Penyelesaian]]-data[[#This Row],[Nilai Kepuasan Dimensi Waktu Pelayanan/Penyelesaian]]</f>
        <v>0</v>
      </c>
      <c r="X67" s="1">
        <v>0</v>
      </c>
      <c r="Y67" s="1">
        <v>0</v>
      </c>
      <c r="Z67" s="1">
        <f>data[[#This Row],[Nilai Kepentingan Dimensi Tarif/ Biaya]]-data[[#This Row],[Nilai Kepuasan Dimensi Tarif / Biaya]]</f>
        <v>0</v>
      </c>
      <c r="AA67" s="1">
        <v>4</v>
      </c>
      <c r="AB67" s="1">
        <v>4</v>
      </c>
      <c r="AC67" s="1">
        <f>data[[#This Row],[Nilai Kepentingan Dimensi Produk Spesifikasi Jenis Layanan]]-data[[#This Row],[Nilai Kepuasan Dimensi Produk Spesifikasi Jenis Layanan]]</f>
        <v>0</v>
      </c>
      <c r="AD67" s="1">
        <v>4</v>
      </c>
      <c r="AE67" s="1">
        <v>4</v>
      </c>
      <c r="AF67" s="1">
        <f>data[[#This Row],[Nilai Kepentingan Dimensi Kompetensi Pelaksana]]-data[[#This Row],[Nilai Kepuasan Dimensi Kompetensi Pelaksana]]</f>
        <v>0</v>
      </c>
      <c r="AG67" s="1">
        <v>4</v>
      </c>
      <c r="AH67" s="1">
        <v>4</v>
      </c>
      <c r="AI67" s="1">
        <f>data[[#This Row],[Nilai Kepentingan Dimensi Perilaku Pelaksana]]-data[[#This Row],[Nilai Kepuasan Dimensi Perilaku Pelaksana]]</f>
        <v>0</v>
      </c>
      <c r="AJ67" s="1">
        <v>4</v>
      </c>
      <c r="AK67" s="1">
        <v>4</v>
      </c>
      <c r="AL67" s="1">
        <f>data[[#This Row],[Nilai Kepentingan Dimensi Penanganan Pengaduan, Saran &amp; Masukan]]-data[[#This Row],[Nilai Kepuasan Dimensi Penanganan Pengaduan, Saran &amp; Masukan]]</f>
        <v>0</v>
      </c>
      <c r="AM67" s="1">
        <v>4</v>
      </c>
      <c r="AN67" s="1">
        <v>4</v>
      </c>
      <c r="AO67" s="1">
        <f>data[[#This Row],[Nilai Kepentingan Dimensi Kualitas Sarana dan Prasarana]]-data[[#This Row],[Nilai Kepuasan Dimensi Kualitas Sarana dan Prasarana]]</f>
        <v>0</v>
      </c>
      <c r="AP67" s="1">
        <v>0</v>
      </c>
      <c r="AQ67" s="1" t="s">
        <v>69</v>
      </c>
      <c r="AR67" s="1">
        <v>0</v>
      </c>
      <c r="AS67" s="1" t="s">
        <v>69</v>
      </c>
      <c r="AT67" s="1">
        <v>0</v>
      </c>
      <c r="AU67" s="1" t="s">
        <v>69</v>
      </c>
      <c r="AV67" s="1" t="s">
        <v>591</v>
      </c>
      <c r="AW67" s="1" t="s">
        <v>77</v>
      </c>
      <c r="AX67" s="1">
        <v>2</v>
      </c>
      <c r="AY67" s="1">
        <v>3</v>
      </c>
      <c r="AZ67" s="1" t="s">
        <v>592</v>
      </c>
      <c r="BA67" s="1" t="s">
        <v>79</v>
      </c>
      <c r="BB67" s="1" t="s">
        <v>592</v>
      </c>
      <c r="BC67" s="1" t="s">
        <v>79</v>
      </c>
      <c r="BD67" s="1" t="s">
        <v>592</v>
      </c>
      <c r="BE67" s="1" t="s">
        <v>79</v>
      </c>
      <c r="BF67" s="5" t="s">
        <v>83</v>
      </c>
    </row>
    <row r="68" spans="1:58" x14ac:dyDescent="0.35">
      <c r="A68" s="4">
        <v>67</v>
      </c>
      <c r="B68" s="1" t="s">
        <v>593</v>
      </c>
      <c r="C68" s="1" t="s">
        <v>63</v>
      </c>
      <c r="D68" s="1" t="s">
        <v>179</v>
      </c>
      <c r="E68" s="1" t="s">
        <v>69</v>
      </c>
      <c r="F68" s="1" t="s">
        <v>69</v>
      </c>
      <c r="G68" s="1" t="s">
        <v>69</v>
      </c>
      <c r="H68" s="1" t="s">
        <v>69</v>
      </c>
      <c r="I68" s="1" t="s">
        <v>106</v>
      </c>
      <c r="J68" s="1" t="s">
        <v>71</v>
      </c>
      <c r="K68" s="1">
        <v>18</v>
      </c>
      <c r="L68" s="1" t="s">
        <v>131</v>
      </c>
      <c r="M68" s="1" t="s">
        <v>73</v>
      </c>
      <c r="N68" s="1" t="s">
        <v>95</v>
      </c>
      <c r="O68" s="1">
        <v>3</v>
      </c>
      <c r="P68" s="1">
        <v>4</v>
      </c>
      <c r="Q68" s="1">
        <f>data[[#This Row],[Nilai Kepentingan Dimensi Persyaratan]]-data[[#This Row],[Nilai Kepuasan Dimensi Persyaratan]]</f>
        <v>1</v>
      </c>
      <c r="R68" s="1">
        <v>3</v>
      </c>
      <c r="S68" s="1">
        <v>3</v>
      </c>
      <c r="T68" s="1">
        <f>data[[#This Row],[Nilai Kepentingan Dimensi Prosedur]]-data[[#This Row],[Nilai Kepuasan Dimensi Prosedur]]</f>
        <v>0</v>
      </c>
      <c r="U68" s="1">
        <v>4</v>
      </c>
      <c r="V68" s="1">
        <v>3</v>
      </c>
      <c r="W68" s="1">
        <f>data[[#This Row],[Nilai Kepentingan Dimensi Waktu Pelayanan/Penyelesaian]]-data[[#This Row],[Nilai Kepuasan Dimensi Waktu Pelayanan/Penyelesaian]]</f>
        <v>-1</v>
      </c>
      <c r="X68" s="1">
        <v>4</v>
      </c>
      <c r="Y68" s="1">
        <v>3</v>
      </c>
      <c r="Z68" s="1">
        <f>data[[#This Row],[Nilai Kepentingan Dimensi Tarif/ Biaya]]-data[[#This Row],[Nilai Kepuasan Dimensi Tarif / Biaya]]</f>
        <v>-1</v>
      </c>
      <c r="AA68" s="1">
        <v>4</v>
      </c>
      <c r="AB68" s="1">
        <v>4</v>
      </c>
      <c r="AC68" s="1">
        <f>data[[#This Row],[Nilai Kepentingan Dimensi Produk Spesifikasi Jenis Layanan]]-data[[#This Row],[Nilai Kepuasan Dimensi Produk Spesifikasi Jenis Layanan]]</f>
        <v>0</v>
      </c>
      <c r="AD68" s="1">
        <v>3</v>
      </c>
      <c r="AE68" s="1">
        <v>3</v>
      </c>
      <c r="AF68" s="1">
        <f>data[[#This Row],[Nilai Kepentingan Dimensi Kompetensi Pelaksana]]-data[[#This Row],[Nilai Kepuasan Dimensi Kompetensi Pelaksana]]</f>
        <v>0</v>
      </c>
      <c r="AG68" s="1">
        <v>3</v>
      </c>
      <c r="AH68" s="1">
        <v>4</v>
      </c>
      <c r="AI68" s="1">
        <f>data[[#This Row],[Nilai Kepentingan Dimensi Perilaku Pelaksana]]-data[[#This Row],[Nilai Kepuasan Dimensi Perilaku Pelaksana]]</f>
        <v>1</v>
      </c>
      <c r="AJ68" s="1">
        <v>3</v>
      </c>
      <c r="AK68" s="1">
        <v>3</v>
      </c>
      <c r="AL68" s="1">
        <f>data[[#This Row],[Nilai Kepentingan Dimensi Penanganan Pengaduan, Saran &amp; Masukan]]-data[[#This Row],[Nilai Kepuasan Dimensi Penanganan Pengaduan, Saran &amp; Masukan]]</f>
        <v>0</v>
      </c>
      <c r="AM68" s="1">
        <v>3</v>
      </c>
      <c r="AN68" s="1">
        <v>3</v>
      </c>
      <c r="AO68" s="1">
        <f>data[[#This Row],[Nilai Kepentingan Dimensi Kualitas Sarana dan Prasarana]]-data[[#This Row],[Nilai Kepuasan Dimensi Kualitas Sarana dan Prasarana]]</f>
        <v>0</v>
      </c>
      <c r="AP68" s="1">
        <v>3</v>
      </c>
      <c r="AQ68" s="1" t="s">
        <v>75</v>
      </c>
      <c r="AR68" s="1">
        <v>0</v>
      </c>
      <c r="AS68" s="1" t="s">
        <v>69</v>
      </c>
      <c r="AT68" s="1">
        <v>0</v>
      </c>
      <c r="AU68" s="1" t="s">
        <v>69</v>
      </c>
      <c r="AV68" s="1" t="s">
        <v>83</v>
      </c>
      <c r="AW68" s="1" t="s">
        <v>96</v>
      </c>
      <c r="AX68" s="1">
        <v>0</v>
      </c>
      <c r="AY68" s="1">
        <v>0</v>
      </c>
      <c r="AZ68" s="1" t="s">
        <v>599</v>
      </c>
      <c r="BA68" s="1" t="s">
        <v>79</v>
      </c>
      <c r="BB68" s="1" t="s">
        <v>599</v>
      </c>
      <c r="BC68" s="1" t="s">
        <v>79</v>
      </c>
      <c r="BD68" s="1" t="s">
        <v>600</v>
      </c>
      <c r="BE68" s="1" t="s">
        <v>79</v>
      </c>
      <c r="BF68" s="5" t="s">
        <v>83</v>
      </c>
    </row>
    <row r="69" spans="1:58" x14ac:dyDescent="0.35">
      <c r="A69" s="4">
        <v>68</v>
      </c>
      <c r="B69" s="1" t="s">
        <v>601</v>
      </c>
      <c r="C69" s="1" t="s">
        <v>63</v>
      </c>
      <c r="D69" s="1" t="s">
        <v>86</v>
      </c>
      <c r="E69" s="1" t="s">
        <v>69</v>
      </c>
      <c r="F69" s="1" t="s">
        <v>69</v>
      </c>
      <c r="G69" s="1" t="s">
        <v>69</v>
      </c>
      <c r="H69" s="1" t="s">
        <v>69</v>
      </c>
      <c r="I69" s="1" t="s">
        <v>70</v>
      </c>
      <c r="J69" s="1" t="s">
        <v>71</v>
      </c>
      <c r="K69" s="1">
        <v>18</v>
      </c>
      <c r="L69" s="1" t="s">
        <v>131</v>
      </c>
      <c r="M69" s="1" t="s">
        <v>73</v>
      </c>
      <c r="N69" s="1" t="s">
        <v>95</v>
      </c>
      <c r="O69" s="1">
        <v>3</v>
      </c>
      <c r="P69" s="1">
        <v>4</v>
      </c>
      <c r="Q69" s="1">
        <f>data[[#This Row],[Nilai Kepentingan Dimensi Persyaratan]]-data[[#This Row],[Nilai Kepuasan Dimensi Persyaratan]]</f>
        <v>1</v>
      </c>
      <c r="R69" s="1">
        <v>3</v>
      </c>
      <c r="S69" s="1">
        <v>3</v>
      </c>
      <c r="T69" s="1">
        <f>data[[#This Row],[Nilai Kepentingan Dimensi Prosedur]]-data[[#This Row],[Nilai Kepuasan Dimensi Prosedur]]</f>
        <v>0</v>
      </c>
      <c r="U69" s="1">
        <v>3</v>
      </c>
      <c r="V69" s="1">
        <v>3</v>
      </c>
      <c r="W69" s="1">
        <f>data[[#This Row],[Nilai Kepentingan Dimensi Waktu Pelayanan/Penyelesaian]]-data[[#This Row],[Nilai Kepuasan Dimensi Waktu Pelayanan/Penyelesaian]]</f>
        <v>0</v>
      </c>
      <c r="X69" s="1">
        <v>3</v>
      </c>
      <c r="Y69" s="1">
        <v>3</v>
      </c>
      <c r="Z69" s="1">
        <f>data[[#This Row],[Nilai Kepentingan Dimensi Tarif/ Biaya]]-data[[#This Row],[Nilai Kepuasan Dimensi Tarif / Biaya]]</f>
        <v>0</v>
      </c>
      <c r="AA69" s="1">
        <v>3</v>
      </c>
      <c r="AB69" s="1">
        <v>3</v>
      </c>
      <c r="AC69" s="1">
        <f>data[[#This Row],[Nilai Kepentingan Dimensi Produk Spesifikasi Jenis Layanan]]-data[[#This Row],[Nilai Kepuasan Dimensi Produk Spesifikasi Jenis Layanan]]</f>
        <v>0</v>
      </c>
      <c r="AD69" s="1">
        <v>3</v>
      </c>
      <c r="AE69" s="1">
        <v>3</v>
      </c>
      <c r="AF69" s="1">
        <f>data[[#This Row],[Nilai Kepentingan Dimensi Kompetensi Pelaksana]]-data[[#This Row],[Nilai Kepuasan Dimensi Kompetensi Pelaksana]]</f>
        <v>0</v>
      </c>
      <c r="AG69" s="1">
        <v>3</v>
      </c>
      <c r="AH69" s="1">
        <v>3</v>
      </c>
      <c r="AI69" s="1">
        <f>data[[#This Row],[Nilai Kepentingan Dimensi Perilaku Pelaksana]]-data[[#This Row],[Nilai Kepuasan Dimensi Perilaku Pelaksana]]</f>
        <v>0</v>
      </c>
      <c r="AJ69" s="1">
        <v>3</v>
      </c>
      <c r="AK69" s="1">
        <v>3</v>
      </c>
      <c r="AL69" s="1">
        <f>data[[#This Row],[Nilai Kepentingan Dimensi Penanganan Pengaduan, Saran &amp; Masukan]]-data[[#This Row],[Nilai Kepuasan Dimensi Penanganan Pengaduan, Saran &amp; Masukan]]</f>
        <v>0</v>
      </c>
      <c r="AM69" s="1">
        <v>3</v>
      </c>
      <c r="AN69" s="1">
        <v>3</v>
      </c>
      <c r="AO69" s="1">
        <f>data[[#This Row],[Nilai Kepentingan Dimensi Kualitas Sarana dan Prasarana]]-data[[#This Row],[Nilai Kepuasan Dimensi Kualitas Sarana dan Prasarana]]</f>
        <v>0</v>
      </c>
      <c r="AP69" s="1">
        <v>0</v>
      </c>
      <c r="AQ69" s="1" t="s">
        <v>69</v>
      </c>
      <c r="AR69" s="1">
        <v>0</v>
      </c>
      <c r="AS69" s="1" t="s">
        <v>69</v>
      </c>
      <c r="AT69" s="1">
        <v>0</v>
      </c>
      <c r="AU69" s="1" t="s">
        <v>69</v>
      </c>
      <c r="AV69" s="1" t="s">
        <v>144</v>
      </c>
      <c r="AW69" s="1" t="s">
        <v>144</v>
      </c>
      <c r="AX69" s="1">
        <v>2</v>
      </c>
      <c r="AY69" s="1">
        <v>3</v>
      </c>
      <c r="AZ69" s="1" t="s">
        <v>605</v>
      </c>
      <c r="BA69" s="1" t="s">
        <v>235</v>
      </c>
      <c r="BB69" s="1" t="s">
        <v>606</v>
      </c>
      <c r="BC69" s="1" t="s">
        <v>112</v>
      </c>
      <c r="BD69" s="1" t="s">
        <v>607</v>
      </c>
      <c r="BE69" s="1" t="s">
        <v>79</v>
      </c>
      <c r="BF69" s="5" t="s">
        <v>608</v>
      </c>
    </row>
    <row r="70" spans="1:58" x14ac:dyDescent="0.35">
      <c r="A70" s="4">
        <v>69</v>
      </c>
      <c r="B70" s="1" t="s">
        <v>609</v>
      </c>
      <c r="C70" s="1" t="s">
        <v>63</v>
      </c>
      <c r="D70" s="1" t="s">
        <v>86</v>
      </c>
      <c r="E70" s="1" t="s">
        <v>69</v>
      </c>
      <c r="F70" s="1" t="s">
        <v>69</v>
      </c>
      <c r="G70" s="1" t="s">
        <v>69</v>
      </c>
      <c r="H70" s="1" t="s">
        <v>69</v>
      </c>
      <c r="I70" s="1" t="s">
        <v>70</v>
      </c>
      <c r="J70" s="1" t="s">
        <v>71</v>
      </c>
      <c r="K70" s="1">
        <v>18</v>
      </c>
      <c r="L70" s="1" t="s">
        <v>131</v>
      </c>
      <c r="M70" s="1" t="s">
        <v>73</v>
      </c>
      <c r="N70" s="1" t="s">
        <v>95</v>
      </c>
      <c r="O70" s="1">
        <v>3</v>
      </c>
      <c r="P70" s="1">
        <v>3</v>
      </c>
      <c r="Q70" s="1">
        <f>data[[#This Row],[Nilai Kepentingan Dimensi Persyaratan]]-data[[#This Row],[Nilai Kepuasan Dimensi Persyaratan]]</f>
        <v>0</v>
      </c>
      <c r="R70" s="1">
        <v>3</v>
      </c>
      <c r="S70" s="1">
        <v>3</v>
      </c>
      <c r="T70" s="1">
        <f>data[[#This Row],[Nilai Kepentingan Dimensi Prosedur]]-data[[#This Row],[Nilai Kepuasan Dimensi Prosedur]]</f>
        <v>0</v>
      </c>
      <c r="U70" s="1">
        <v>3</v>
      </c>
      <c r="V70" s="1">
        <v>3</v>
      </c>
      <c r="W70" s="1">
        <f>data[[#This Row],[Nilai Kepentingan Dimensi Waktu Pelayanan/Penyelesaian]]-data[[#This Row],[Nilai Kepuasan Dimensi Waktu Pelayanan/Penyelesaian]]</f>
        <v>0</v>
      </c>
      <c r="X70" s="1">
        <v>3</v>
      </c>
      <c r="Y70" s="1">
        <v>3</v>
      </c>
      <c r="Z70" s="1">
        <f>data[[#This Row],[Nilai Kepentingan Dimensi Tarif/ Biaya]]-data[[#This Row],[Nilai Kepuasan Dimensi Tarif / Biaya]]</f>
        <v>0</v>
      </c>
      <c r="AA70" s="1">
        <v>3</v>
      </c>
      <c r="AB70" s="1">
        <v>3</v>
      </c>
      <c r="AC70" s="1">
        <f>data[[#This Row],[Nilai Kepentingan Dimensi Produk Spesifikasi Jenis Layanan]]-data[[#This Row],[Nilai Kepuasan Dimensi Produk Spesifikasi Jenis Layanan]]</f>
        <v>0</v>
      </c>
      <c r="AD70" s="1">
        <v>3</v>
      </c>
      <c r="AE70" s="1">
        <v>3</v>
      </c>
      <c r="AF70" s="1">
        <f>data[[#This Row],[Nilai Kepentingan Dimensi Kompetensi Pelaksana]]-data[[#This Row],[Nilai Kepuasan Dimensi Kompetensi Pelaksana]]</f>
        <v>0</v>
      </c>
      <c r="AG70" s="1">
        <v>3</v>
      </c>
      <c r="AH70" s="1">
        <v>3</v>
      </c>
      <c r="AI70" s="1">
        <f>data[[#This Row],[Nilai Kepentingan Dimensi Perilaku Pelaksana]]-data[[#This Row],[Nilai Kepuasan Dimensi Perilaku Pelaksana]]</f>
        <v>0</v>
      </c>
      <c r="AJ70" s="1">
        <v>3</v>
      </c>
      <c r="AK70" s="1">
        <v>3</v>
      </c>
      <c r="AL70" s="1">
        <f>data[[#This Row],[Nilai Kepentingan Dimensi Penanganan Pengaduan, Saran &amp; Masukan]]-data[[#This Row],[Nilai Kepuasan Dimensi Penanganan Pengaduan, Saran &amp; Masukan]]</f>
        <v>0</v>
      </c>
      <c r="AM70" s="1">
        <v>3</v>
      </c>
      <c r="AN70" s="1">
        <v>3</v>
      </c>
      <c r="AO70" s="1">
        <f>data[[#This Row],[Nilai Kepentingan Dimensi Kualitas Sarana dan Prasarana]]-data[[#This Row],[Nilai Kepuasan Dimensi Kualitas Sarana dan Prasarana]]</f>
        <v>0</v>
      </c>
      <c r="AP70" s="1">
        <v>0</v>
      </c>
      <c r="AQ70" s="1" t="s">
        <v>69</v>
      </c>
      <c r="AR70" s="1">
        <v>0</v>
      </c>
      <c r="AS70" s="1" t="s">
        <v>69</v>
      </c>
      <c r="AT70" s="1">
        <v>0</v>
      </c>
      <c r="AU70" s="1" t="s">
        <v>69</v>
      </c>
      <c r="AV70" s="1" t="s">
        <v>144</v>
      </c>
      <c r="AW70" s="1" t="s">
        <v>144</v>
      </c>
      <c r="AX70" s="1">
        <v>2</v>
      </c>
      <c r="AY70" s="1">
        <v>3</v>
      </c>
      <c r="AZ70" s="1" t="s">
        <v>613</v>
      </c>
      <c r="BA70" s="1" t="s">
        <v>235</v>
      </c>
      <c r="BB70" s="1" t="s">
        <v>614</v>
      </c>
      <c r="BC70" s="1" t="s">
        <v>79</v>
      </c>
      <c r="BD70" s="1" t="s">
        <v>615</v>
      </c>
      <c r="BE70" s="1" t="s">
        <v>146</v>
      </c>
      <c r="BF70" s="5" t="s">
        <v>616</v>
      </c>
    </row>
    <row r="71" spans="1:58" x14ac:dyDescent="0.35">
      <c r="A71" s="4">
        <v>70</v>
      </c>
      <c r="B71" s="1" t="s">
        <v>617</v>
      </c>
      <c r="C71" s="1" t="s">
        <v>63</v>
      </c>
      <c r="D71" s="1" t="s">
        <v>619</v>
      </c>
      <c r="E71" s="1" t="s">
        <v>69</v>
      </c>
      <c r="F71" s="1" t="s">
        <v>69</v>
      </c>
      <c r="G71" s="1" t="s">
        <v>69</v>
      </c>
      <c r="H71" s="1" t="s">
        <v>69</v>
      </c>
      <c r="I71" s="1" t="s">
        <v>70</v>
      </c>
      <c r="J71" s="1" t="s">
        <v>71</v>
      </c>
      <c r="K71" s="1">
        <v>19</v>
      </c>
      <c r="L71" s="1" t="s">
        <v>131</v>
      </c>
      <c r="M71" s="1" t="s">
        <v>73</v>
      </c>
      <c r="N71" s="1" t="s">
        <v>95</v>
      </c>
      <c r="O71" s="1">
        <v>3</v>
      </c>
      <c r="P71" s="1">
        <v>4</v>
      </c>
      <c r="Q71" s="1">
        <f>data[[#This Row],[Nilai Kepentingan Dimensi Persyaratan]]-data[[#This Row],[Nilai Kepuasan Dimensi Persyaratan]]</f>
        <v>1</v>
      </c>
      <c r="R71" s="1">
        <v>3</v>
      </c>
      <c r="S71" s="1">
        <v>4</v>
      </c>
      <c r="T71" s="1">
        <f>data[[#This Row],[Nilai Kepentingan Dimensi Prosedur]]-data[[#This Row],[Nilai Kepuasan Dimensi Prosedur]]</f>
        <v>1</v>
      </c>
      <c r="U71" s="1">
        <v>3</v>
      </c>
      <c r="V71" s="1">
        <v>4</v>
      </c>
      <c r="W71" s="1">
        <f>data[[#This Row],[Nilai Kepentingan Dimensi Waktu Pelayanan/Penyelesaian]]-data[[#This Row],[Nilai Kepuasan Dimensi Waktu Pelayanan/Penyelesaian]]</f>
        <v>1</v>
      </c>
      <c r="X71" s="1">
        <v>3</v>
      </c>
      <c r="Y71" s="1">
        <v>4</v>
      </c>
      <c r="Z71" s="1">
        <f>data[[#This Row],[Nilai Kepentingan Dimensi Tarif/ Biaya]]-data[[#This Row],[Nilai Kepuasan Dimensi Tarif / Biaya]]</f>
        <v>1</v>
      </c>
      <c r="AA71" s="1">
        <v>4</v>
      </c>
      <c r="AB71" s="1">
        <v>4</v>
      </c>
      <c r="AC71" s="1">
        <f>data[[#This Row],[Nilai Kepentingan Dimensi Produk Spesifikasi Jenis Layanan]]-data[[#This Row],[Nilai Kepuasan Dimensi Produk Spesifikasi Jenis Layanan]]</f>
        <v>0</v>
      </c>
      <c r="AD71" s="1">
        <v>3</v>
      </c>
      <c r="AE71" s="1">
        <v>4</v>
      </c>
      <c r="AF71" s="1">
        <f>data[[#This Row],[Nilai Kepentingan Dimensi Kompetensi Pelaksana]]-data[[#This Row],[Nilai Kepuasan Dimensi Kompetensi Pelaksana]]</f>
        <v>1</v>
      </c>
      <c r="AG71" s="1">
        <v>3</v>
      </c>
      <c r="AH71" s="1">
        <v>4</v>
      </c>
      <c r="AI71" s="1">
        <f>data[[#This Row],[Nilai Kepentingan Dimensi Perilaku Pelaksana]]-data[[#This Row],[Nilai Kepuasan Dimensi Perilaku Pelaksana]]</f>
        <v>1</v>
      </c>
      <c r="AJ71" s="1">
        <v>3</v>
      </c>
      <c r="AK71" s="1">
        <v>4</v>
      </c>
      <c r="AL71" s="1">
        <f>data[[#This Row],[Nilai Kepentingan Dimensi Penanganan Pengaduan, Saran &amp; Masukan]]-data[[#This Row],[Nilai Kepuasan Dimensi Penanganan Pengaduan, Saran &amp; Masukan]]</f>
        <v>1</v>
      </c>
      <c r="AM71" s="1">
        <v>3</v>
      </c>
      <c r="AN71" s="1">
        <v>3</v>
      </c>
      <c r="AO71" s="1">
        <f>data[[#This Row],[Nilai Kepentingan Dimensi Kualitas Sarana dan Prasarana]]-data[[#This Row],[Nilai Kepuasan Dimensi Kualitas Sarana dan Prasarana]]</f>
        <v>0</v>
      </c>
      <c r="AP71" s="1">
        <v>0</v>
      </c>
      <c r="AQ71" s="1" t="s">
        <v>69</v>
      </c>
      <c r="AR71" s="1">
        <v>0</v>
      </c>
      <c r="AS71" s="1" t="s">
        <v>69</v>
      </c>
      <c r="AT71" s="1">
        <v>0</v>
      </c>
      <c r="AU71" s="1" t="s">
        <v>69</v>
      </c>
      <c r="AV71" s="1" t="s">
        <v>144</v>
      </c>
      <c r="AW71" s="1" t="s">
        <v>144</v>
      </c>
      <c r="AX71" s="1">
        <v>1</v>
      </c>
      <c r="AY71" s="1">
        <v>4</v>
      </c>
      <c r="AZ71" s="1" t="s">
        <v>623</v>
      </c>
      <c r="BA71" s="1" t="s">
        <v>486</v>
      </c>
      <c r="BB71" s="1" t="s">
        <v>624</v>
      </c>
      <c r="BC71" s="1" t="s">
        <v>79</v>
      </c>
      <c r="BD71" s="1" t="s">
        <v>442</v>
      </c>
      <c r="BE71" s="1" t="s">
        <v>79</v>
      </c>
      <c r="BF71" s="5" t="s">
        <v>625</v>
      </c>
    </row>
    <row r="72" spans="1:58" x14ac:dyDescent="0.35">
      <c r="A72" s="4">
        <v>71</v>
      </c>
      <c r="B72" s="1" t="s">
        <v>626</v>
      </c>
      <c r="C72" s="1" t="s">
        <v>63</v>
      </c>
      <c r="D72" s="1" t="s">
        <v>125</v>
      </c>
      <c r="E72" s="1" t="s">
        <v>69</v>
      </c>
      <c r="F72" s="1" t="s">
        <v>69</v>
      </c>
      <c r="G72" s="1" t="s">
        <v>69</v>
      </c>
      <c r="H72" s="1" t="s">
        <v>69</v>
      </c>
      <c r="I72" s="1" t="s">
        <v>70</v>
      </c>
      <c r="J72" s="1" t="s">
        <v>107</v>
      </c>
      <c r="K72" s="1">
        <v>38</v>
      </c>
      <c r="L72" s="1" t="s">
        <v>153</v>
      </c>
      <c r="M72" s="1" t="s">
        <v>73</v>
      </c>
      <c r="N72" s="1" t="s">
        <v>110</v>
      </c>
      <c r="O72" s="1">
        <v>4</v>
      </c>
      <c r="P72" s="1">
        <v>4</v>
      </c>
      <c r="Q72" s="1">
        <f>data[[#This Row],[Nilai Kepentingan Dimensi Persyaratan]]-data[[#This Row],[Nilai Kepuasan Dimensi Persyaratan]]</f>
        <v>0</v>
      </c>
      <c r="R72" s="1">
        <v>4</v>
      </c>
      <c r="S72" s="1">
        <v>4</v>
      </c>
      <c r="T72" s="1">
        <f>data[[#This Row],[Nilai Kepentingan Dimensi Prosedur]]-data[[#This Row],[Nilai Kepuasan Dimensi Prosedur]]</f>
        <v>0</v>
      </c>
      <c r="U72" s="1">
        <v>4</v>
      </c>
      <c r="V72" s="1">
        <v>4</v>
      </c>
      <c r="W72" s="1">
        <f>data[[#This Row],[Nilai Kepentingan Dimensi Waktu Pelayanan/Penyelesaian]]-data[[#This Row],[Nilai Kepuasan Dimensi Waktu Pelayanan/Penyelesaian]]</f>
        <v>0</v>
      </c>
      <c r="X72" s="1">
        <v>0</v>
      </c>
      <c r="Y72" s="1">
        <v>0</v>
      </c>
      <c r="Z72" s="1">
        <f>data[[#This Row],[Nilai Kepentingan Dimensi Tarif/ Biaya]]-data[[#This Row],[Nilai Kepuasan Dimensi Tarif / Biaya]]</f>
        <v>0</v>
      </c>
      <c r="AA72" s="1">
        <v>4</v>
      </c>
      <c r="AB72" s="1">
        <v>4</v>
      </c>
      <c r="AC72" s="1">
        <f>data[[#This Row],[Nilai Kepentingan Dimensi Produk Spesifikasi Jenis Layanan]]-data[[#This Row],[Nilai Kepuasan Dimensi Produk Spesifikasi Jenis Layanan]]</f>
        <v>0</v>
      </c>
      <c r="AD72" s="1">
        <v>4</v>
      </c>
      <c r="AE72" s="1">
        <v>4</v>
      </c>
      <c r="AF72" s="1">
        <f>data[[#This Row],[Nilai Kepentingan Dimensi Kompetensi Pelaksana]]-data[[#This Row],[Nilai Kepuasan Dimensi Kompetensi Pelaksana]]</f>
        <v>0</v>
      </c>
      <c r="AG72" s="1">
        <v>4</v>
      </c>
      <c r="AH72" s="1">
        <v>4</v>
      </c>
      <c r="AI72" s="1">
        <f>data[[#This Row],[Nilai Kepentingan Dimensi Perilaku Pelaksana]]-data[[#This Row],[Nilai Kepuasan Dimensi Perilaku Pelaksana]]</f>
        <v>0</v>
      </c>
      <c r="AJ72" s="1">
        <v>4</v>
      </c>
      <c r="AK72" s="1">
        <v>4</v>
      </c>
      <c r="AL72" s="1">
        <f>data[[#This Row],[Nilai Kepentingan Dimensi Penanganan Pengaduan, Saran &amp; Masukan]]-data[[#This Row],[Nilai Kepuasan Dimensi Penanganan Pengaduan, Saran &amp; Masukan]]</f>
        <v>0</v>
      </c>
      <c r="AM72" s="1">
        <v>4</v>
      </c>
      <c r="AN72" s="1">
        <v>4</v>
      </c>
      <c r="AO72" s="1">
        <f>data[[#This Row],[Nilai Kepentingan Dimensi Kualitas Sarana dan Prasarana]]-data[[#This Row],[Nilai Kepuasan Dimensi Kualitas Sarana dan Prasarana]]</f>
        <v>0</v>
      </c>
      <c r="AP72" s="1">
        <v>0</v>
      </c>
      <c r="AQ72" s="1" t="s">
        <v>69</v>
      </c>
      <c r="AR72" s="1">
        <v>0</v>
      </c>
      <c r="AS72" s="1" t="s">
        <v>69</v>
      </c>
      <c r="AT72" s="1">
        <v>0</v>
      </c>
      <c r="AU72" s="1" t="s">
        <v>69</v>
      </c>
      <c r="AV72" s="1" t="s">
        <v>631</v>
      </c>
      <c r="AW72" s="1" t="s">
        <v>77</v>
      </c>
      <c r="AX72" s="1">
        <v>2</v>
      </c>
      <c r="AY72" s="1">
        <v>3</v>
      </c>
      <c r="AZ72" s="1" t="s">
        <v>632</v>
      </c>
      <c r="BA72" s="1" t="s">
        <v>79</v>
      </c>
      <c r="BB72" s="1" t="s">
        <v>633</v>
      </c>
      <c r="BC72" s="1" t="s">
        <v>81</v>
      </c>
      <c r="BD72" s="1" t="s">
        <v>634</v>
      </c>
      <c r="BE72" s="1" t="s">
        <v>237</v>
      </c>
      <c r="BF72" s="5" t="s">
        <v>635</v>
      </c>
    </row>
    <row r="73" spans="1:58" x14ac:dyDescent="0.35">
      <c r="A73" s="4">
        <v>72</v>
      </c>
      <c r="B73" s="1" t="s">
        <v>636</v>
      </c>
      <c r="C73" s="1" t="s">
        <v>63</v>
      </c>
      <c r="D73" s="1" t="s">
        <v>125</v>
      </c>
      <c r="E73" s="1" t="s">
        <v>69</v>
      </c>
      <c r="F73" s="1" t="s">
        <v>69</v>
      </c>
      <c r="G73" s="1" t="s">
        <v>69</v>
      </c>
      <c r="H73" s="1" t="s">
        <v>69</v>
      </c>
      <c r="I73" s="1" t="s">
        <v>106</v>
      </c>
      <c r="J73" s="1" t="s">
        <v>107</v>
      </c>
      <c r="K73" s="1">
        <v>36</v>
      </c>
      <c r="L73" s="1" t="s">
        <v>153</v>
      </c>
      <c r="M73" s="1" t="s">
        <v>73</v>
      </c>
      <c r="N73" s="1" t="s">
        <v>74</v>
      </c>
      <c r="O73" s="1">
        <v>4</v>
      </c>
      <c r="P73" s="1">
        <v>4</v>
      </c>
      <c r="Q73" s="1">
        <f>data[[#This Row],[Nilai Kepentingan Dimensi Persyaratan]]-data[[#This Row],[Nilai Kepuasan Dimensi Persyaratan]]</f>
        <v>0</v>
      </c>
      <c r="R73" s="1">
        <v>4</v>
      </c>
      <c r="S73" s="1">
        <v>4</v>
      </c>
      <c r="T73" s="1">
        <f>data[[#This Row],[Nilai Kepentingan Dimensi Prosedur]]-data[[#This Row],[Nilai Kepuasan Dimensi Prosedur]]</f>
        <v>0</v>
      </c>
      <c r="U73" s="1">
        <v>4</v>
      </c>
      <c r="V73" s="1">
        <v>4</v>
      </c>
      <c r="W73" s="1">
        <f>data[[#This Row],[Nilai Kepentingan Dimensi Waktu Pelayanan/Penyelesaian]]-data[[#This Row],[Nilai Kepuasan Dimensi Waktu Pelayanan/Penyelesaian]]</f>
        <v>0</v>
      </c>
      <c r="X73" s="1">
        <v>0</v>
      </c>
      <c r="Y73" s="1">
        <v>0</v>
      </c>
      <c r="Z73" s="1">
        <f>data[[#This Row],[Nilai Kepentingan Dimensi Tarif/ Biaya]]-data[[#This Row],[Nilai Kepuasan Dimensi Tarif / Biaya]]</f>
        <v>0</v>
      </c>
      <c r="AA73" s="1">
        <v>4</v>
      </c>
      <c r="AB73" s="1">
        <v>4</v>
      </c>
      <c r="AC73" s="1">
        <f>data[[#This Row],[Nilai Kepentingan Dimensi Produk Spesifikasi Jenis Layanan]]-data[[#This Row],[Nilai Kepuasan Dimensi Produk Spesifikasi Jenis Layanan]]</f>
        <v>0</v>
      </c>
      <c r="AD73" s="1">
        <v>4</v>
      </c>
      <c r="AE73" s="1">
        <v>4</v>
      </c>
      <c r="AF73" s="1">
        <f>data[[#This Row],[Nilai Kepentingan Dimensi Kompetensi Pelaksana]]-data[[#This Row],[Nilai Kepuasan Dimensi Kompetensi Pelaksana]]</f>
        <v>0</v>
      </c>
      <c r="AG73" s="1">
        <v>4</v>
      </c>
      <c r="AH73" s="1">
        <v>4</v>
      </c>
      <c r="AI73" s="1">
        <f>data[[#This Row],[Nilai Kepentingan Dimensi Perilaku Pelaksana]]-data[[#This Row],[Nilai Kepuasan Dimensi Perilaku Pelaksana]]</f>
        <v>0</v>
      </c>
      <c r="AJ73" s="1">
        <v>4</v>
      </c>
      <c r="AK73" s="1">
        <v>4</v>
      </c>
      <c r="AL73" s="1">
        <f>data[[#This Row],[Nilai Kepentingan Dimensi Penanganan Pengaduan, Saran &amp; Masukan]]-data[[#This Row],[Nilai Kepuasan Dimensi Penanganan Pengaduan, Saran &amp; Masukan]]</f>
        <v>0</v>
      </c>
      <c r="AM73" s="1">
        <v>4</v>
      </c>
      <c r="AN73" s="1">
        <v>4</v>
      </c>
      <c r="AO73" s="1">
        <f>data[[#This Row],[Nilai Kepentingan Dimensi Kualitas Sarana dan Prasarana]]-data[[#This Row],[Nilai Kepuasan Dimensi Kualitas Sarana dan Prasarana]]</f>
        <v>0</v>
      </c>
      <c r="AP73" s="1">
        <v>0</v>
      </c>
      <c r="AQ73" s="1" t="s">
        <v>69</v>
      </c>
      <c r="AR73" s="1">
        <v>3</v>
      </c>
      <c r="AS73" s="1" t="s">
        <v>75</v>
      </c>
      <c r="AT73" s="1">
        <v>0</v>
      </c>
      <c r="AU73" s="1" t="s">
        <v>69</v>
      </c>
      <c r="AV73" s="1" t="s">
        <v>83</v>
      </c>
      <c r="AW73" s="1" t="s">
        <v>96</v>
      </c>
      <c r="AX73" s="1">
        <v>0</v>
      </c>
      <c r="AY73" s="1">
        <v>0</v>
      </c>
      <c r="AZ73" s="1" t="s">
        <v>642</v>
      </c>
      <c r="BA73" s="1" t="s">
        <v>112</v>
      </c>
      <c r="BB73" s="1" t="s">
        <v>643</v>
      </c>
      <c r="BC73" s="1" t="s">
        <v>81</v>
      </c>
      <c r="BD73" s="1" t="s">
        <v>644</v>
      </c>
      <c r="BE73" s="1" t="s">
        <v>79</v>
      </c>
      <c r="BF73" s="5" t="s">
        <v>645</v>
      </c>
    </row>
    <row r="74" spans="1:58" x14ac:dyDescent="0.35">
      <c r="A74" s="4">
        <v>73</v>
      </c>
      <c r="B74" s="1" t="s">
        <v>646</v>
      </c>
      <c r="C74" s="1" t="s">
        <v>63</v>
      </c>
      <c r="D74" s="1" t="s">
        <v>240</v>
      </c>
      <c r="E74" s="1" t="s">
        <v>69</v>
      </c>
      <c r="F74" s="1" t="s">
        <v>69</v>
      </c>
      <c r="G74" s="1" t="s">
        <v>69</v>
      </c>
      <c r="H74" s="1" t="s">
        <v>69</v>
      </c>
      <c r="I74" s="1" t="s">
        <v>106</v>
      </c>
      <c r="J74" s="1" t="s">
        <v>71</v>
      </c>
      <c r="K74" s="1">
        <v>33</v>
      </c>
      <c r="L74" s="1" t="s">
        <v>109</v>
      </c>
      <c r="M74" s="1" t="s">
        <v>254</v>
      </c>
      <c r="N74" s="1" t="s">
        <v>74</v>
      </c>
      <c r="O74" s="1">
        <v>3</v>
      </c>
      <c r="P74" s="1">
        <v>4</v>
      </c>
      <c r="Q74" s="1">
        <f>data[[#This Row],[Nilai Kepentingan Dimensi Persyaratan]]-data[[#This Row],[Nilai Kepuasan Dimensi Persyaratan]]</f>
        <v>1</v>
      </c>
      <c r="R74" s="1">
        <v>3</v>
      </c>
      <c r="S74" s="1">
        <v>3</v>
      </c>
      <c r="T74" s="1">
        <f>data[[#This Row],[Nilai Kepentingan Dimensi Prosedur]]-data[[#This Row],[Nilai Kepuasan Dimensi Prosedur]]</f>
        <v>0</v>
      </c>
      <c r="U74" s="1">
        <v>3</v>
      </c>
      <c r="V74" s="1">
        <v>3</v>
      </c>
      <c r="W74" s="1">
        <f>data[[#This Row],[Nilai Kepentingan Dimensi Waktu Pelayanan/Penyelesaian]]-data[[#This Row],[Nilai Kepuasan Dimensi Waktu Pelayanan/Penyelesaian]]</f>
        <v>0</v>
      </c>
      <c r="X74" s="1">
        <v>3</v>
      </c>
      <c r="Y74" s="1">
        <v>3</v>
      </c>
      <c r="Z74" s="1">
        <f>data[[#This Row],[Nilai Kepentingan Dimensi Tarif/ Biaya]]-data[[#This Row],[Nilai Kepuasan Dimensi Tarif / Biaya]]</f>
        <v>0</v>
      </c>
      <c r="AA74" s="1">
        <v>3</v>
      </c>
      <c r="AB74" s="1">
        <v>3</v>
      </c>
      <c r="AC74" s="1">
        <f>data[[#This Row],[Nilai Kepentingan Dimensi Produk Spesifikasi Jenis Layanan]]-data[[#This Row],[Nilai Kepuasan Dimensi Produk Spesifikasi Jenis Layanan]]</f>
        <v>0</v>
      </c>
      <c r="AD74" s="1">
        <v>3</v>
      </c>
      <c r="AE74" s="1">
        <v>3</v>
      </c>
      <c r="AF74" s="1">
        <f>data[[#This Row],[Nilai Kepentingan Dimensi Kompetensi Pelaksana]]-data[[#This Row],[Nilai Kepuasan Dimensi Kompetensi Pelaksana]]</f>
        <v>0</v>
      </c>
      <c r="AG74" s="1">
        <v>4</v>
      </c>
      <c r="AH74" s="1">
        <v>3</v>
      </c>
      <c r="AI74" s="1">
        <f>data[[#This Row],[Nilai Kepentingan Dimensi Perilaku Pelaksana]]-data[[#This Row],[Nilai Kepuasan Dimensi Perilaku Pelaksana]]</f>
        <v>-1</v>
      </c>
      <c r="AJ74" s="1">
        <v>3</v>
      </c>
      <c r="AK74" s="1">
        <v>3</v>
      </c>
      <c r="AL74" s="1">
        <f>data[[#This Row],[Nilai Kepentingan Dimensi Penanganan Pengaduan, Saran &amp; Masukan]]-data[[#This Row],[Nilai Kepuasan Dimensi Penanganan Pengaduan, Saran &amp; Masukan]]</f>
        <v>0</v>
      </c>
      <c r="AM74" s="1">
        <v>2</v>
      </c>
      <c r="AN74" s="1">
        <v>3</v>
      </c>
      <c r="AO74" s="1">
        <f>data[[#This Row],[Nilai Kepentingan Dimensi Kualitas Sarana dan Prasarana]]-data[[#This Row],[Nilai Kepuasan Dimensi Kualitas Sarana dan Prasarana]]</f>
        <v>1</v>
      </c>
      <c r="AP74" s="1">
        <v>0</v>
      </c>
      <c r="AQ74" s="1" t="s">
        <v>69</v>
      </c>
      <c r="AR74" s="1">
        <v>0</v>
      </c>
      <c r="AS74" s="1" t="s">
        <v>69</v>
      </c>
      <c r="AT74" s="1">
        <v>4</v>
      </c>
      <c r="AU74" s="1" t="s">
        <v>75</v>
      </c>
      <c r="AV74" s="1" t="s">
        <v>83</v>
      </c>
      <c r="AW74" s="1" t="s">
        <v>96</v>
      </c>
      <c r="AX74" s="1">
        <v>0</v>
      </c>
      <c r="AY74" s="1">
        <v>0</v>
      </c>
      <c r="AZ74" s="1" t="s">
        <v>651</v>
      </c>
      <c r="BA74" s="1" t="s">
        <v>99</v>
      </c>
      <c r="BB74" s="1" t="s">
        <v>651</v>
      </c>
      <c r="BC74" s="1" t="s">
        <v>99</v>
      </c>
      <c r="BD74" s="1" t="s">
        <v>652</v>
      </c>
      <c r="BE74" s="1" t="s">
        <v>653</v>
      </c>
      <c r="BF74" s="5" t="s">
        <v>83</v>
      </c>
    </row>
    <row r="75" spans="1:58" x14ac:dyDescent="0.35">
      <c r="A75" s="4">
        <v>74</v>
      </c>
      <c r="B75" s="1" t="s">
        <v>654</v>
      </c>
      <c r="C75" s="1" t="s">
        <v>63</v>
      </c>
      <c r="D75" s="1" t="s">
        <v>416</v>
      </c>
      <c r="E75" s="1" t="s">
        <v>69</v>
      </c>
      <c r="F75" s="1" t="s">
        <v>69</v>
      </c>
      <c r="G75" s="1" t="s">
        <v>69</v>
      </c>
      <c r="H75" s="1" t="s">
        <v>69</v>
      </c>
      <c r="I75" s="1" t="s">
        <v>106</v>
      </c>
      <c r="J75" s="1" t="s">
        <v>271</v>
      </c>
      <c r="K75" s="1">
        <v>24</v>
      </c>
      <c r="L75" s="1" t="s">
        <v>72</v>
      </c>
      <c r="M75" s="1" t="s">
        <v>73</v>
      </c>
      <c r="N75" s="1" t="s">
        <v>74</v>
      </c>
      <c r="O75" s="1">
        <v>4</v>
      </c>
      <c r="P75" s="1">
        <v>4</v>
      </c>
      <c r="Q75" s="1">
        <f>data[[#This Row],[Nilai Kepentingan Dimensi Persyaratan]]-data[[#This Row],[Nilai Kepuasan Dimensi Persyaratan]]</f>
        <v>0</v>
      </c>
      <c r="R75" s="1">
        <v>3</v>
      </c>
      <c r="S75" s="1">
        <v>3</v>
      </c>
      <c r="T75" s="1">
        <f>data[[#This Row],[Nilai Kepentingan Dimensi Prosedur]]-data[[#This Row],[Nilai Kepuasan Dimensi Prosedur]]</f>
        <v>0</v>
      </c>
      <c r="U75" s="1">
        <v>4</v>
      </c>
      <c r="V75" s="1">
        <v>4</v>
      </c>
      <c r="W75" s="1">
        <f>data[[#This Row],[Nilai Kepentingan Dimensi Waktu Pelayanan/Penyelesaian]]-data[[#This Row],[Nilai Kepuasan Dimensi Waktu Pelayanan/Penyelesaian]]</f>
        <v>0</v>
      </c>
      <c r="X75" s="1">
        <v>4</v>
      </c>
      <c r="Y75" s="1">
        <v>4</v>
      </c>
      <c r="Z75" s="1">
        <f>data[[#This Row],[Nilai Kepentingan Dimensi Tarif/ Biaya]]-data[[#This Row],[Nilai Kepuasan Dimensi Tarif / Biaya]]</f>
        <v>0</v>
      </c>
      <c r="AA75" s="1">
        <v>4</v>
      </c>
      <c r="AB75" s="1">
        <v>4</v>
      </c>
      <c r="AC75" s="1">
        <f>data[[#This Row],[Nilai Kepentingan Dimensi Produk Spesifikasi Jenis Layanan]]-data[[#This Row],[Nilai Kepuasan Dimensi Produk Spesifikasi Jenis Layanan]]</f>
        <v>0</v>
      </c>
      <c r="AD75" s="1">
        <v>4</v>
      </c>
      <c r="AE75" s="1">
        <v>4</v>
      </c>
      <c r="AF75" s="1">
        <f>data[[#This Row],[Nilai Kepentingan Dimensi Kompetensi Pelaksana]]-data[[#This Row],[Nilai Kepuasan Dimensi Kompetensi Pelaksana]]</f>
        <v>0</v>
      </c>
      <c r="AG75" s="1">
        <v>3</v>
      </c>
      <c r="AH75" s="1">
        <v>3</v>
      </c>
      <c r="AI75" s="1">
        <f>data[[#This Row],[Nilai Kepentingan Dimensi Perilaku Pelaksana]]-data[[#This Row],[Nilai Kepuasan Dimensi Perilaku Pelaksana]]</f>
        <v>0</v>
      </c>
      <c r="AJ75" s="1">
        <v>4</v>
      </c>
      <c r="AK75" s="1">
        <v>4</v>
      </c>
      <c r="AL75" s="1">
        <f>data[[#This Row],[Nilai Kepentingan Dimensi Penanganan Pengaduan, Saran &amp; Masukan]]-data[[#This Row],[Nilai Kepuasan Dimensi Penanganan Pengaduan, Saran &amp; Masukan]]</f>
        <v>0</v>
      </c>
      <c r="AM75" s="1">
        <v>3</v>
      </c>
      <c r="AN75" s="1">
        <v>3</v>
      </c>
      <c r="AO75" s="1">
        <f>data[[#This Row],[Nilai Kepentingan Dimensi Kualitas Sarana dan Prasarana]]-data[[#This Row],[Nilai Kepuasan Dimensi Kualitas Sarana dan Prasarana]]</f>
        <v>0</v>
      </c>
      <c r="AP75" s="1">
        <v>4</v>
      </c>
      <c r="AQ75" s="1" t="s">
        <v>75</v>
      </c>
      <c r="AR75" s="1">
        <v>0</v>
      </c>
      <c r="AS75" s="1" t="s">
        <v>69</v>
      </c>
      <c r="AT75" s="1">
        <v>0</v>
      </c>
      <c r="AU75" s="1" t="s">
        <v>69</v>
      </c>
      <c r="AV75" s="1" t="s">
        <v>144</v>
      </c>
      <c r="AW75" s="1" t="s">
        <v>144</v>
      </c>
      <c r="AX75" s="1">
        <v>1</v>
      </c>
      <c r="AY75" s="1">
        <v>4</v>
      </c>
      <c r="AZ75" s="1" t="s">
        <v>442</v>
      </c>
      <c r="BA75" s="1" t="s">
        <v>79</v>
      </c>
      <c r="BB75" s="1" t="s">
        <v>248</v>
      </c>
      <c r="BC75" s="1" t="s">
        <v>79</v>
      </c>
      <c r="BD75" s="1" t="s">
        <v>659</v>
      </c>
      <c r="BE75" s="1" t="s">
        <v>146</v>
      </c>
      <c r="BF75" s="5" t="s">
        <v>83</v>
      </c>
    </row>
    <row r="76" spans="1:58" x14ac:dyDescent="0.35">
      <c r="A76" s="4">
        <v>75</v>
      </c>
      <c r="B76" s="1" t="s">
        <v>660</v>
      </c>
      <c r="C76" s="1" t="s">
        <v>63</v>
      </c>
      <c r="D76" s="1" t="s">
        <v>289</v>
      </c>
      <c r="E76" s="1" t="s">
        <v>69</v>
      </c>
      <c r="F76" s="1" t="s">
        <v>69</v>
      </c>
      <c r="G76" s="1" t="s">
        <v>69</v>
      </c>
      <c r="H76" s="1" t="s">
        <v>69</v>
      </c>
      <c r="I76" s="1" t="s">
        <v>106</v>
      </c>
      <c r="J76" s="1" t="s">
        <v>107</v>
      </c>
      <c r="K76" s="1">
        <v>41</v>
      </c>
      <c r="L76" s="1" t="s">
        <v>197</v>
      </c>
      <c r="M76" s="1" t="s">
        <v>73</v>
      </c>
      <c r="N76" s="1" t="s">
        <v>74</v>
      </c>
      <c r="O76" s="1">
        <v>4</v>
      </c>
      <c r="P76" s="1">
        <v>4</v>
      </c>
      <c r="Q76" s="1">
        <f>data[[#This Row],[Nilai Kepentingan Dimensi Persyaratan]]-data[[#This Row],[Nilai Kepuasan Dimensi Persyaratan]]</f>
        <v>0</v>
      </c>
      <c r="R76" s="1">
        <v>4</v>
      </c>
      <c r="S76" s="1">
        <v>4</v>
      </c>
      <c r="T76" s="1">
        <f>data[[#This Row],[Nilai Kepentingan Dimensi Prosedur]]-data[[#This Row],[Nilai Kepuasan Dimensi Prosedur]]</f>
        <v>0</v>
      </c>
      <c r="U76" s="1">
        <v>4</v>
      </c>
      <c r="V76" s="1">
        <v>4</v>
      </c>
      <c r="W76" s="1">
        <f>data[[#This Row],[Nilai Kepentingan Dimensi Waktu Pelayanan/Penyelesaian]]-data[[#This Row],[Nilai Kepuasan Dimensi Waktu Pelayanan/Penyelesaian]]</f>
        <v>0</v>
      </c>
      <c r="X76" s="1">
        <v>0</v>
      </c>
      <c r="Y76" s="1">
        <v>0</v>
      </c>
      <c r="Z76" s="1">
        <f>data[[#This Row],[Nilai Kepentingan Dimensi Tarif/ Biaya]]-data[[#This Row],[Nilai Kepuasan Dimensi Tarif / Biaya]]</f>
        <v>0</v>
      </c>
      <c r="AA76" s="1">
        <v>4</v>
      </c>
      <c r="AB76" s="1">
        <v>4</v>
      </c>
      <c r="AC76" s="1">
        <f>data[[#This Row],[Nilai Kepentingan Dimensi Produk Spesifikasi Jenis Layanan]]-data[[#This Row],[Nilai Kepuasan Dimensi Produk Spesifikasi Jenis Layanan]]</f>
        <v>0</v>
      </c>
      <c r="AD76" s="1">
        <v>4</v>
      </c>
      <c r="AE76" s="1">
        <v>4</v>
      </c>
      <c r="AF76" s="1">
        <f>data[[#This Row],[Nilai Kepentingan Dimensi Kompetensi Pelaksana]]-data[[#This Row],[Nilai Kepuasan Dimensi Kompetensi Pelaksana]]</f>
        <v>0</v>
      </c>
      <c r="AG76" s="1">
        <v>4</v>
      </c>
      <c r="AH76" s="1">
        <v>4</v>
      </c>
      <c r="AI76" s="1">
        <f>data[[#This Row],[Nilai Kepentingan Dimensi Perilaku Pelaksana]]-data[[#This Row],[Nilai Kepuasan Dimensi Perilaku Pelaksana]]</f>
        <v>0</v>
      </c>
      <c r="AJ76" s="1">
        <v>4</v>
      </c>
      <c r="AK76" s="1">
        <v>4</v>
      </c>
      <c r="AL76" s="1">
        <f>data[[#This Row],[Nilai Kepentingan Dimensi Penanganan Pengaduan, Saran &amp; Masukan]]-data[[#This Row],[Nilai Kepuasan Dimensi Penanganan Pengaduan, Saran &amp; Masukan]]</f>
        <v>0</v>
      </c>
      <c r="AM76" s="1">
        <v>3</v>
      </c>
      <c r="AN76" s="1">
        <v>3</v>
      </c>
      <c r="AO76" s="1">
        <f>data[[#This Row],[Nilai Kepentingan Dimensi Kualitas Sarana dan Prasarana]]-data[[#This Row],[Nilai Kepuasan Dimensi Kualitas Sarana dan Prasarana]]</f>
        <v>0</v>
      </c>
      <c r="AP76" s="1">
        <v>4</v>
      </c>
      <c r="AQ76" s="1" t="s">
        <v>75</v>
      </c>
      <c r="AR76" s="1">
        <v>0</v>
      </c>
      <c r="AS76" s="1" t="s">
        <v>69</v>
      </c>
      <c r="AT76" s="1">
        <v>0</v>
      </c>
      <c r="AU76" s="1" t="s">
        <v>69</v>
      </c>
      <c r="AV76" s="1" t="s">
        <v>83</v>
      </c>
      <c r="AW76" s="1" t="s">
        <v>96</v>
      </c>
      <c r="AX76" s="1">
        <v>0</v>
      </c>
      <c r="AY76" s="1">
        <v>0</v>
      </c>
      <c r="AZ76" s="1" t="s">
        <v>664</v>
      </c>
      <c r="BA76" s="1" t="s">
        <v>79</v>
      </c>
      <c r="BB76" s="1" t="s">
        <v>665</v>
      </c>
      <c r="BC76" s="1" t="s">
        <v>99</v>
      </c>
      <c r="BD76" s="1" t="s">
        <v>666</v>
      </c>
      <c r="BE76" s="1" t="s">
        <v>146</v>
      </c>
      <c r="BF76" s="5" t="s">
        <v>83</v>
      </c>
    </row>
    <row r="77" spans="1:58" x14ac:dyDescent="0.35">
      <c r="A77" s="4">
        <v>76</v>
      </c>
      <c r="B77" s="1" t="s">
        <v>667</v>
      </c>
      <c r="C77" s="1" t="s">
        <v>63</v>
      </c>
      <c r="D77" s="1" t="s">
        <v>86</v>
      </c>
      <c r="E77" s="1" t="s">
        <v>69</v>
      </c>
      <c r="F77" s="1" t="s">
        <v>69</v>
      </c>
      <c r="G77" s="1" t="s">
        <v>69</v>
      </c>
      <c r="H77" s="1" t="s">
        <v>69</v>
      </c>
      <c r="I77" s="1" t="s">
        <v>106</v>
      </c>
      <c r="J77" s="1" t="s">
        <v>107</v>
      </c>
      <c r="K77" s="1">
        <v>49</v>
      </c>
      <c r="L77" s="1" t="s">
        <v>225</v>
      </c>
      <c r="M77" s="1" t="s">
        <v>73</v>
      </c>
      <c r="N77" s="1" t="s">
        <v>74</v>
      </c>
      <c r="O77" s="1">
        <v>4</v>
      </c>
      <c r="P77" s="1">
        <v>4</v>
      </c>
      <c r="Q77" s="1">
        <f>data[[#This Row],[Nilai Kepentingan Dimensi Persyaratan]]-data[[#This Row],[Nilai Kepuasan Dimensi Persyaratan]]</f>
        <v>0</v>
      </c>
      <c r="R77" s="1">
        <v>4</v>
      </c>
      <c r="S77" s="1">
        <v>4</v>
      </c>
      <c r="T77" s="1">
        <f>data[[#This Row],[Nilai Kepentingan Dimensi Prosedur]]-data[[#This Row],[Nilai Kepuasan Dimensi Prosedur]]</f>
        <v>0</v>
      </c>
      <c r="U77" s="1">
        <v>4</v>
      </c>
      <c r="V77" s="1">
        <v>4</v>
      </c>
      <c r="W77" s="1">
        <f>data[[#This Row],[Nilai Kepentingan Dimensi Waktu Pelayanan/Penyelesaian]]-data[[#This Row],[Nilai Kepuasan Dimensi Waktu Pelayanan/Penyelesaian]]</f>
        <v>0</v>
      </c>
      <c r="X77" s="1">
        <v>0</v>
      </c>
      <c r="Y77" s="1">
        <v>0</v>
      </c>
      <c r="Z77" s="1">
        <f>data[[#This Row],[Nilai Kepentingan Dimensi Tarif/ Biaya]]-data[[#This Row],[Nilai Kepuasan Dimensi Tarif / Biaya]]</f>
        <v>0</v>
      </c>
      <c r="AA77" s="1">
        <v>4</v>
      </c>
      <c r="AB77" s="1">
        <v>4</v>
      </c>
      <c r="AC77" s="1">
        <f>data[[#This Row],[Nilai Kepentingan Dimensi Produk Spesifikasi Jenis Layanan]]-data[[#This Row],[Nilai Kepuasan Dimensi Produk Spesifikasi Jenis Layanan]]</f>
        <v>0</v>
      </c>
      <c r="AD77" s="1">
        <v>4</v>
      </c>
      <c r="AE77" s="1">
        <v>4</v>
      </c>
      <c r="AF77" s="1">
        <f>data[[#This Row],[Nilai Kepentingan Dimensi Kompetensi Pelaksana]]-data[[#This Row],[Nilai Kepuasan Dimensi Kompetensi Pelaksana]]</f>
        <v>0</v>
      </c>
      <c r="AG77" s="1">
        <v>4</v>
      </c>
      <c r="AH77" s="1">
        <v>4</v>
      </c>
      <c r="AI77" s="1">
        <f>data[[#This Row],[Nilai Kepentingan Dimensi Perilaku Pelaksana]]-data[[#This Row],[Nilai Kepuasan Dimensi Perilaku Pelaksana]]</f>
        <v>0</v>
      </c>
      <c r="AJ77" s="1">
        <v>4</v>
      </c>
      <c r="AK77" s="1">
        <v>4</v>
      </c>
      <c r="AL77" s="1">
        <f>data[[#This Row],[Nilai Kepentingan Dimensi Penanganan Pengaduan, Saran &amp; Masukan]]-data[[#This Row],[Nilai Kepuasan Dimensi Penanganan Pengaduan, Saran &amp; Masukan]]</f>
        <v>0</v>
      </c>
      <c r="AM77" s="1">
        <v>4</v>
      </c>
      <c r="AN77" s="1">
        <v>4</v>
      </c>
      <c r="AO77" s="1">
        <f>data[[#This Row],[Nilai Kepentingan Dimensi Kualitas Sarana dan Prasarana]]-data[[#This Row],[Nilai Kepuasan Dimensi Kualitas Sarana dan Prasarana]]</f>
        <v>0</v>
      </c>
      <c r="AP77" s="1">
        <v>0</v>
      </c>
      <c r="AQ77" s="1" t="s">
        <v>69</v>
      </c>
      <c r="AR77" s="1">
        <v>0</v>
      </c>
      <c r="AS77" s="1" t="s">
        <v>69</v>
      </c>
      <c r="AT77" s="1">
        <v>0</v>
      </c>
      <c r="AU77" s="1" t="s">
        <v>69</v>
      </c>
      <c r="AV77" s="1" t="s">
        <v>672</v>
      </c>
      <c r="AW77" s="1" t="s">
        <v>186</v>
      </c>
      <c r="AX77" s="1">
        <v>1</v>
      </c>
      <c r="AY77" s="1">
        <v>4</v>
      </c>
      <c r="AZ77" s="1" t="s">
        <v>673</v>
      </c>
      <c r="BA77" s="1" t="s">
        <v>112</v>
      </c>
      <c r="BB77" s="1" t="s">
        <v>674</v>
      </c>
      <c r="BC77" s="1" t="s">
        <v>81</v>
      </c>
      <c r="BD77" s="1" t="s">
        <v>675</v>
      </c>
      <c r="BE77" s="1" t="s">
        <v>79</v>
      </c>
      <c r="BF77" s="5" t="s">
        <v>83</v>
      </c>
    </row>
    <row r="78" spans="1:58" x14ac:dyDescent="0.35">
      <c r="A78" s="4">
        <v>77</v>
      </c>
      <c r="B78" s="1" t="s">
        <v>676</v>
      </c>
      <c r="C78" s="1" t="s">
        <v>63</v>
      </c>
      <c r="D78" s="1" t="s">
        <v>416</v>
      </c>
      <c r="E78" s="1" t="s">
        <v>69</v>
      </c>
      <c r="F78" s="1" t="s">
        <v>69</v>
      </c>
      <c r="G78" s="1" t="s">
        <v>69</v>
      </c>
      <c r="H78" s="1" t="s">
        <v>69</v>
      </c>
      <c r="I78" s="1" t="s">
        <v>70</v>
      </c>
      <c r="J78" s="1" t="s">
        <v>71</v>
      </c>
      <c r="K78" s="1">
        <v>39</v>
      </c>
      <c r="L78" s="1" t="s">
        <v>153</v>
      </c>
      <c r="M78" s="1" t="s">
        <v>254</v>
      </c>
      <c r="N78" s="1" t="s">
        <v>413</v>
      </c>
      <c r="O78" s="1">
        <v>3</v>
      </c>
      <c r="P78" s="1">
        <v>3</v>
      </c>
      <c r="Q78" s="1">
        <f>data[[#This Row],[Nilai Kepentingan Dimensi Persyaratan]]-data[[#This Row],[Nilai Kepuasan Dimensi Persyaratan]]</f>
        <v>0</v>
      </c>
      <c r="R78" s="1">
        <v>4</v>
      </c>
      <c r="S78" s="1">
        <v>4</v>
      </c>
      <c r="T78" s="1">
        <f>data[[#This Row],[Nilai Kepentingan Dimensi Prosedur]]-data[[#This Row],[Nilai Kepuasan Dimensi Prosedur]]</f>
        <v>0</v>
      </c>
      <c r="U78" s="1">
        <v>3</v>
      </c>
      <c r="V78" s="1">
        <v>3</v>
      </c>
      <c r="W78" s="1">
        <f>data[[#This Row],[Nilai Kepentingan Dimensi Waktu Pelayanan/Penyelesaian]]-data[[#This Row],[Nilai Kepuasan Dimensi Waktu Pelayanan/Penyelesaian]]</f>
        <v>0</v>
      </c>
      <c r="X78" s="1">
        <v>2</v>
      </c>
      <c r="Y78" s="1">
        <v>3</v>
      </c>
      <c r="Z78" s="1">
        <f>data[[#This Row],[Nilai Kepentingan Dimensi Tarif/ Biaya]]-data[[#This Row],[Nilai Kepuasan Dimensi Tarif / Biaya]]</f>
        <v>1</v>
      </c>
      <c r="AA78" s="1">
        <v>3</v>
      </c>
      <c r="AB78" s="1">
        <v>3</v>
      </c>
      <c r="AC78" s="1">
        <f>data[[#This Row],[Nilai Kepentingan Dimensi Produk Spesifikasi Jenis Layanan]]-data[[#This Row],[Nilai Kepuasan Dimensi Produk Spesifikasi Jenis Layanan]]</f>
        <v>0</v>
      </c>
      <c r="AD78" s="1">
        <v>4</v>
      </c>
      <c r="AE78" s="1">
        <v>4</v>
      </c>
      <c r="AF78" s="1">
        <f>data[[#This Row],[Nilai Kepentingan Dimensi Kompetensi Pelaksana]]-data[[#This Row],[Nilai Kepuasan Dimensi Kompetensi Pelaksana]]</f>
        <v>0</v>
      </c>
      <c r="AG78" s="1">
        <v>3</v>
      </c>
      <c r="AH78" s="1">
        <v>3</v>
      </c>
      <c r="AI78" s="1">
        <f>data[[#This Row],[Nilai Kepentingan Dimensi Perilaku Pelaksana]]-data[[#This Row],[Nilai Kepuasan Dimensi Perilaku Pelaksana]]</f>
        <v>0</v>
      </c>
      <c r="AJ78" s="1">
        <v>3</v>
      </c>
      <c r="AK78" s="1">
        <v>3</v>
      </c>
      <c r="AL78" s="1">
        <f>data[[#This Row],[Nilai Kepentingan Dimensi Penanganan Pengaduan, Saran &amp; Masukan]]-data[[#This Row],[Nilai Kepuasan Dimensi Penanganan Pengaduan, Saran &amp; Masukan]]</f>
        <v>0</v>
      </c>
      <c r="AM78" s="1">
        <v>3</v>
      </c>
      <c r="AN78" s="1">
        <v>3</v>
      </c>
      <c r="AO78" s="1">
        <f>data[[#This Row],[Nilai Kepentingan Dimensi Kualitas Sarana dan Prasarana]]-data[[#This Row],[Nilai Kepuasan Dimensi Kualitas Sarana dan Prasarana]]</f>
        <v>0</v>
      </c>
      <c r="AP78" s="1">
        <v>4</v>
      </c>
      <c r="AQ78" s="1" t="s">
        <v>75</v>
      </c>
      <c r="AR78" s="1">
        <v>3</v>
      </c>
      <c r="AS78" s="1" t="s">
        <v>75</v>
      </c>
      <c r="AT78" s="1">
        <v>0</v>
      </c>
      <c r="AU78" s="1" t="s">
        <v>69</v>
      </c>
      <c r="AV78" s="1" t="s">
        <v>83</v>
      </c>
      <c r="AW78" s="1" t="s">
        <v>96</v>
      </c>
      <c r="AX78" s="1">
        <v>0</v>
      </c>
      <c r="AY78" s="1">
        <v>0</v>
      </c>
      <c r="AZ78" s="1" t="s">
        <v>682</v>
      </c>
      <c r="BA78" s="1" t="s">
        <v>79</v>
      </c>
      <c r="BB78" s="1" t="s">
        <v>683</v>
      </c>
      <c r="BC78" s="1" t="s">
        <v>81</v>
      </c>
      <c r="BD78" s="1" t="s">
        <v>684</v>
      </c>
      <c r="BE78" s="1" t="s">
        <v>685</v>
      </c>
      <c r="BF78" s="5" t="s">
        <v>83</v>
      </c>
    </row>
    <row r="79" spans="1:58" x14ac:dyDescent="0.35">
      <c r="A79" s="4">
        <v>78</v>
      </c>
      <c r="B79" s="1" t="s">
        <v>686</v>
      </c>
      <c r="C79" s="1" t="s">
        <v>63</v>
      </c>
      <c r="D79" s="1" t="s">
        <v>86</v>
      </c>
      <c r="E79" s="1" t="s">
        <v>69</v>
      </c>
      <c r="F79" s="1" t="s">
        <v>69</v>
      </c>
      <c r="G79" s="1" t="s">
        <v>69</v>
      </c>
      <c r="H79" s="1" t="s">
        <v>69</v>
      </c>
      <c r="I79" s="1" t="s">
        <v>106</v>
      </c>
      <c r="J79" s="1" t="s">
        <v>71</v>
      </c>
      <c r="K79" s="1">
        <v>22</v>
      </c>
      <c r="L79" s="1" t="s">
        <v>72</v>
      </c>
      <c r="M79" s="1" t="s">
        <v>73</v>
      </c>
      <c r="N79" s="1" t="s">
        <v>74</v>
      </c>
      <c r="O79" s="1">
        <v>3</v>
      </c>
      <c r="P79" s="1">
        <v>3</v>
      </c>
      <c r="Q79" s="1">
        <f>data[[#This Row],[Nilai Kepentingan Dimensi Persyaratan]]-data[[#This Row],[Nilai Kepuasan Dimensi Persyaratan]]</f>
        <v>0</v>
      </c>
      <c r="R79" s="1">
        <v>3</v>
      </c>
      <c r="S79" s="1">
        <v>3</v>
      </c>
      <c r="T79" s="1">
        <f>data[[#This Row],[Nilai Kepentingan Dimensi Prosedur]]-data[[#This Row],[Nilai Kepuasan Dimensi Prosedur]]</f>
        <v>0</v>
      </c>
      <c r="U79" s="1">
        <v>3</v>
      </c>
      <c r="V79" s="1">
        <v>3</v>
      </c>
      <c r="W79" s="1">
        <f>data[[#This Row],[Nilai Kepentingan Dimensi Waktu Pelayanan/Penyelesaian]]-data[[#This Row],[Nilai Kepuasan Dimensi Waktu Pelayanan/Penyelesaian]]</f>
        <v>0</v>
      </c>
      <c r="X79" s="1">
        <v>3</v>
      </c>
      <c r="Y79" s="1">
        <v>3</v>
      </c>
      <c r="Z79" s="1">
        <f>data[[#This Row],[Nilai Kepentingan Dimensi Tarif/ Biaya]]-data[[#This Row],[Nilai Kepuasan Dimensi Tarif / Biaya]]</f>
        <v>0</v>
      </c>
      <c r="AA79" s="1">
        <v>3</v>
      </c>
      <c r="AB79" s="1">
        <v>3</v>
      </c>
      <c r="AC79" s="1">
        <f>data[[#This Row],[Nilai Kepentingan Dimensi Produk Spesifikasi Jenis Layanan]]-data[[#This Row],[Nilai Kepuasan Dimensi Produk Spesifikasi Jenis Layanan]]</f>
        <v>0</v>
      </c>
      <c r="AD79" s="1">
        <v>3</v>
      </c>
      <c r="AE79" s="1">
        <v>3</v>
      </c>
      <c r="AF79" s="1">
        <f>data[[#This Row],[Nilai Kepentingan Dimensi Kompetensi Pelaksana]]-data[[#This Row],[Nilai Kepuasan Dimensi Kompetensi Pelaksana]]</f>
        <v>0</v>
      </c>
      <c r="AG79" s="1">
        <v>3</v>
      </c>
      <c r="AH79" s="1">
        <v>3</v>
      </c>
      <c r="AI79" s="1">
        <f>data[[#This Row],[Nilai Kepentingan Dimensi Perilaku Pelaksana]]-data[[#This Row],[Nilai Kepuasan Dimensi Perilaku Pelaksana]]</f>
        <v>0</v>
      </c>
      <c r="AJ79" s="1">
        <v>3</v>
      </c>
      <c r="AK79" s="1">
        <v>3</v>
      </c>
      <c r="AL79" s="1">
        <f>data[[#This Row],[Nilai Kepentingan Dimensi Penanganan Pengaduan, Saran &amp; Masukan]]-data[[#This Row],[Nilai Kepuasan Dimensi Penanganan Pengaduan, Saran &amp; Masukan]]</f>
        <v>0</v>
      </c>
      <c r="AM79" s="1">
        <v>3</v>
      </c>
      <c r="AN79" s="1">
        <v>3</v>
      </c>
      <c r="AO79" s="1">
        <f>data[[#This Row],[Nilai Kepentingan Dimensi Kualitas Sarana dan Prasarana]]-data[[#This Row],[Nilai Kepuasan Dimensi Kualitas Sarana dan Prasarana]]</f>
        <v>0</v>
      </c>
      <c r="AP79" s="1">
        <v>3</v>
      </c>
      <c r="AQ79" s="1" t="s">
        <v>75</v>
      </c>
      <c r="AR79" s="1">
        <v>0</v>
      </c>
      <c r="AS79" s="1" t="s">
        <v>69</v>
      </c>
      <c r="AT79" s="1">
        <v>0</v>
      </c>
      <c r="AU79" s="1" t="s">
        <v>69</v>
      </c>
      <c r="AV79" s="1" t="s">
        <v>83</v>
      </c>
      <c r="AW79" s="1" t="s">
        <v>96</v>
      </c>
      <c r="AX79" s="1">
        <v>0</v>
      </c>
      <c r="AY79" s="1">
        <v>0</v>
      </c>
      <c r="AZ79" s="1" t="s">
        <v>528</v>
      </c>
      <c r="BA79" s="1" t="s">
        <v>79</v>
      </c>
      <c r="BB79" s="1" t="s">
        <v>690</v>
      </c>
      <c r="BC79" s="1" t="s">
        <v>157</v>
      </c>
      <c r="BD79" s="1" t="s">
        <v>691</v>
      </c>
      <c r="BE79" s="1" t="s">
        <v>79</v>
      </c>
      <c r="BF79" s="5" t="s">
        <v>83</v>
      </c>
    </row>
    <row r="80" spans="1:58" x14ac:dyDescent="0.35">
      <c r="A80" s="4">
        <v>79</v>
      </c>
      <c r="B80" s="1" t="s">
        <v>692</v>
      </c>
      <c r="C80" s="1" t="s">
        <v>63</v>
      </c>
      <c r="D80" s="1" t="s">
        <v>125</v>
      </c>
      <c r="E80" s="1" t="s">
        <v>69</v>
      </c>
      <c r="F80" s="1" t="s">
        <v>69</v>
      </c>
      <c r="G80" s="1" t="s">
        <v>69</v>
      </c>
      <c r="H80" s="1" t="s">
        <v>69</v>
      </c>
      <c r="I80" s="1" t="s">
        <v>106</v>
      </c>
      <c r="J80" s="1" t="s">
        <v>71</v>
      </c>
      <c r="K80" s="1">
        <v>19</v>
      </c>
      <c r="L80" s="1" t="s">
        <v>131</v>
      </c>
      <c r="M80" s="1" t="s">
        <v>73</v>
      </c>
      <c r="N80" s="1" t="s">
        <v>133</v>
      </c>
      <c r="O80" s="1">
        <v>4</v>
      </c>
      <c r="P80" s="1">
        <v>4</v>
      </c>
      <c r="Q80" s="1">
        <f>data[[#This Row],[Nilai Kepentingan Dimensi Persyaratan]]-data[[#This Row],[Nilai Kepuasan Dimensi Persyaratan]]</f>
        <v>0</v>
      </c>
      <c r="R80" s="1">
        <v>3</v>
      </c>
      <c r="S80" s="1">
        <v>3</v>
      </c>
      <c r="T80" s="1">
        <f>data[[#This Row],[Nilai Kepentingan Dimensi Prosedur]]-data[[#This Row],[Nilai Kepuasan Dimensi Prosedur]]</f>
        <v>0</v>
      </c>
      <c r="U80" s="1">
        <v>3</v>
      </c>
      <c r="V80" s="1">
        <v>3</v>
      </c>
      <c r="W80" s="1">
        <f>data[[#This Row],[Nilai Kepentingan Dimensi Waktu Pelayanan/Penyelesaian]]-data[[#This Row],[Nilai Kepuasan Dimensi Waktu Pelayanan/Penyelesaian]]</f>
        <v>0</v>
      </c>
      <c r="X80" s="1">
        <v>4</v>
      </c>
      <c r="Y80" s="1">
        <v>4</v>
      </c>
      <c r="Z80" s="1">
        <f>data[[#This Row],[Nilai Kepentingan Dimensi Tarif/ Biaya]]-data[[#This Row],[Nilai Kepuasan Dimensi Tarif / Biaya]]</f>
        <v>0</v>
      </c>
      <c r="AA80" s="1">
        <v>4</v>
      </c>
      <c r="AB80" s="1">
        <v>4</v>
      </c>
      <c r="AC80" s="1">
        <f>data[[#This Row],[Nilai Kepentingan Dimensi Produk Spesifikasi Jenis Layanan]]-data[[#This Row],[Nilai Kepuasan Dimensi Produk Spesifikasi Jenis Layanan]]</f>
        <v>0</v>
      </c>
      <c r="AD80" s="1">
        <v>4</v>
      </c>
      <c r="AE80" s="1">
        <v>4</v>
      </c>
      <c r="AF80" s="1">
        <f>data[[#This Row],[Nilai Kepentingan Dimensi Kompetensi Pelaksana]]-data[[#This Row],[Nilai Kepuasan Dimensi Kompetensi Pelaksana]]</f>
        <v>0</v>
      </c>
      <c r="AG80" s="1">
        <v>3</v>
      </c>
      <c r="AH80" s="1">
        <v>4</v>
      </c>
      <c r="AI80" s="1">
        <f>data[[#This Row],[Nilai Kepentingan Dimensi Perilaku Pelaksana]]-data[[#This Row],[Nilai Kepuasan Dimensi Perilaku Pelaksana]]</f>
        <v>1</v>
      </c>
      <c r="AJ80" s="1">
        <v>4</v>
      </c>
      <c r="AK80" s="1">
        <v>4</v>
      </c>
      <c r="AL80" s="1">
        <f>data[[#This Row],[Nilai Kepentingan Dimensi Penanganan Pengaduan, Saran &amp; Masukan]]-data[[#This Row],[Nilai Kepuasan Dimensi Penanganan Pengaduan, Saran &amp; Masukan]]</f>
        <v>0</v>
      </c>
      <c r="AM80" s="1">
        <v>4</v>
      </c>
      <c r="AN80" s="1">
        <v>4</v>
      </c>
      <c r="AO80" s="1">
        <f>data[[#This Row],[Nilai Kepentingan Dimensi Kualitas Sarana dan Prasarana]]-data[[#This Row],[Nilai Kepuasan Dimensi Kualitas Sarana dan Prasarana]]</f>
        <v>0</v>
      </c>
      <c r="AP80" s="1">
        <v>0</v>
      </c>
      <c r="AQ80" s="1" t="s">
        <v>75</v>
      </c>
      <c r="AR80" s="1">
        <v>0</v>
      </c>
      <c r="AS80" s="1" t="s">
        <v>75</v>
      </c>
      <c r="AT80" s="1">
        <v>0</v>
      </c>
      <c r="AU80" s="1" t="s">
        <v>69</v>
      </c>
      <c r="AV80" s="1" t="s">
        <v>144</v>
      </c>
      <c r="AW80" s="1" t="s">
        <v>144</v>
      </c>
      <c r="AX80" s="1">
        <v>1</v>
      </c>
      <c r="AY80" s="1">
        <v>4</v>
      </c>
      <c r="AZ80" s="1" t="s">
        <v>697</v>
      </c>
      <c r="BA80" s="1" t="s">
        <v>540</v>
      </c>
      <c r="BB80" s="1" t="s">
        <v>698</v>
      </c>
      <c r="BC80" s="1" t="s">
        <v>79</v>
      </c>
      <c r="BD80" s="1" t="s">
        <v>699</v>
      </c>
      <c r="BE80" s="1" t="s">
        <v>146</v>
      </c>
      <c r="BF80" s="5" t="s">
        <v>83</v>
      </c>
    </row>
    <row r="81" spans="1:58" x14ac:dyDescent="0.35">
      <c r="A81" s="4">
        <v>80</v>
      </c>
      <c r="B81" s="1" t="s">
        <v>700</v>
      </c>
      <c r="C81" s="1" t="s">
        <v>63</v>
      </c>
      <c r="D81" s="1" t="s">
        <v>63</v>
      </c>
      <c r="E81" s="1" t="s">
        <v>69</v>
      </c>
      <c r="F81" s="1" t="s">
        <v>69</v>
      </c>
      <c r="G81" s="1" t="s">
        <v>69</v>
      </c>
      <c r="H81" s="1" t="s">
        <v>69</v>
      </c>
      <c r="I81" s="1" t="s">
        <v>106</v>
      </c>
      <c r="J81" s="1" t="s">
        <v>107</v>
      </c>
      <c r="K81" s="1">
        <v>19</v>
      </c>
      <c r="L81" s="1" t="s">
        <v>131</v>
      </c>
      <c r="M81" s="1" t="s">
        <v>73</v>
      </c>
      <c r="N81" s="1" t="s">
        <v>74</v>
      </c>
      <c r="O81" s="1">
        <v>3</v>
      </c>
      <c r="P81" s="1">
        <v>3</v>
      </c>
      <c r="Q81" s="1">
        <f>data[[#This Row],[Nilai Kepentingan Dimensi Persyaratan]]-data[[#This Row],[Nilai Kepuasan Dimensi Persyaratan]]</f>
        <v>0</v>
      </c>
      <c r="R81" s="1">
        <v>3</v>
      </c>
      <c r="S81" s="1">
        <v>3</v>
      </c>
      <c r="T81" s="1">
        <f>data[[#This Row],[Nilai Kepentingan Dimensi Prosedur]]-data[[#This Row],[Nilai Kepuasan Dimensi Prosedur]]</f>
        <v>0</v>
      </c>
      <c r="U81" s="1">
        <v>3</v>
      </c>
      <c r="V81" s="1">
        <v>3</v>
      </c>
      <c r="W81" s="1">
        <f>data[[#This Row],[Nilai Kepentingan Dimensi Waktu Pelayanan/Penyelesaian]]-data[[#This Row],[Nilai Kepuasan Dimensi Waktu Pelayanan/Penyelesaian]]</f>
        <v>0</v>
      </c>
      <c r="X81" s="1">
        <v>3</v>
      </c>
      <c r="Y81" s="1">
        <v>3</v>
      </c>
      <c r="Z81" s="1">
        <f>data[[#This Row],[Nilai Kepentingan Dimensi Tarif/ Biaya]]-data[[#This Row],[Nilai Kepuasan Dimensi Tarif / Biaya]]</f>
        <v>0</v>
      </c>
      <c r="AA81" s="1">
        <v>3</v>
      </c>
      <c r="AB81" s="1">
        <v>3</v>
      </c>
      <c r="AC81" s="1">
        <f>data[[#This Row],[Nilai Kepentingan Dimensi Produk Spesifikasi Jenis Layanan]]-data[[#This Row],[Nilai Kepuasan Dimensi Produk Spesifikasi Jenis Layanan]]</f>
        <v>0</v>
      </c>
      <c r="AD81" s="1">
        <v>3</v>
      </c>
      <c r="AE81" s="1">
        <v>3</v>
      </c>
      <c r="AF81" s="1">
        <f>data[[#This Row],[Nilai Kepentingan Dimensi Kompetensi Pelaksana]]-data[[#This Row],[Nilai Kepuasan Dimensi Kompetensi Pelaksana]]</f>
        <v>0</v>
      </c>
      <c r="AG81" s="1">
        <v>3</v>
      </c>
      <c r="AH81" s="1">
        <v>3</v>
      </c>
      <c r="AI81" s="1">
        <f>data[[#This Row],[Nilai Kepentingan Dimensi Perilaku Pelaksana]]-data[[#This Row],[Nilai Kepuasan Dimensi Perilaku Pelaksana]]</f>
        <v>0</v>
      </c>
      <c r="AJ81" s="1">
        <v>3</v>
      </c>
      <c r="AK81" s="1">
        <v>3</v>
      </c>
      <c r="AL81" s="1">
        <f>data[[#This Row],[Nilai Kepentingan Dimensi Penanganan Pengaduan, Saran &amp; Masukan]]-data[[#This Row],[Nilai Kepuasan Dimensi Penanganan Pengaduan, Saran &amp; Masukan]]</f>
        <v>0</v>
      </c>
      <c r="AM81" s="1">
        <v>3</v>
      </c>
      <c r="AN81" s="1">
        <v>3</v>
      </c>
      <c r="AO81" s="1">
        <f>data[[#This Row],[Nilai Kepentingan Dimensi Kualitas Sarana dan Prasarana]]-data[[#This Row],[Nilai Kepuasan Dimensi Kualitas Sarana dan Prasarana]]</f>
        <v>0</v>
      </c>
      <c r="AP81" s="1">
        <v>0</v>
      </c>
      <c r="AQ81" s="1" t="s">
        <v>69</v>
      </c>
      <c r="AR81" s="1">
        <v>0</v>
      </c>
      <c r="AS81" s="1" t="s">
        <v>69</v>
      </c>
      <c r="AT81" s="1">
        <v>0</v>
      </c>
      <c r="AU81" s="1" t="s">
        <v>69</v>
      </c>
      <c r="AV81" s="1" t="s">
        <v>144</v>
      </c>
      <c r="AW81" s="1" t="s">
        <v>144</v>
      </c>
      <c r="AX81" s="1">
        <v>2</v>
      </c>
      <c r="AY81" s="1">
        <v>3</v>
      </c>
      <c r="AZ81" s="1" t="s">
        <v>98</v>
      </c>
      <c r="BA81" s="1" t="s">
        <v>99</v>
      </c>
      <c r="BB81" s="1" t="s">
        <v>98</v>
      </c>
      <c r="BC81" s="1" t="s">
        <v>99</v>
      </c>
      <c r="BD81" s="1" t="s">
        <v>98</v>
      </c>
      <c r="BE81" s="1" t="s">
        <v>99</v>
      </c>
      <c r="BF81" s="5" t="s">
        <v>98</v>
      </c>
    </row>
    <row r="82" spans="1:58" x14ac:dyDescent="0.35">
      <c r="A82" s="4">
        <v>81</v>
      </c>
      <c r="B82" s="1" t="s">
        <v>705</v>
      </c>
      <c r="C82" s="1" t="s">
        <v>63</v>
      </c>
      <c r="D82" s="1" t="s">
        <v>480</v>
      </c>
      <c r="E82" s="1" t="s">
        <v>69</v>
      </c>
      <c r="F82" s="1" t="s">
        <v>69</v>
      </c>
      <c r="G82" s="1" t="s">
        <v>69</v>
      </c>
      <c r="H82" s="1" t="s">
        <v>69</v>
      </c>
      <c r="I82" s="1" t="s">
        <v>106</v>
      </c>
      <c r="J82" s="1" t="s">
        <v>292</v>
      </c>
      <c r="K82" s="1">
        <v>21</v>
      </c>
      <c r="L82" s="1" t="s">
        <v>72</v>
      </c>
      <c r="M82" s="1" t="s">
        <v>73</v>
      </c>
      <c r="N82" s="1" t="s">
        <v>74</v>
      </c>
      <c r="O82" s="1">
        <v>3</v>
      </c>
      <c r="P82" s="1">
        <v>4</v>
      </c>
      <c r="Q82" s="1">
        <f>data[[#This Row],[Nilai Kepentingan Dimensi Persyaratan]]-data[[#This Row],[Nilai Kepuasan Dimensi Persyaratan]]</f>
        <v>1</v>
      </c>
      <c r="R82" s="1">
        <v>3</v>
      </c>
      <c r="S82" s="1">
        <v>3</v>
      </c>
      <c r="T82" s="1">
        <f>data[[#This Row],[Nilai Kepentingan Dimensi Prosedur]]-data[[#This Row],[Nilai Kepuasan Dimensi Prosedur]]</f>
        <v>0</v>
      </c>
      <c r="U82" s="1">
        <v>3</v>
      </c>
      <c r="V82" s="1">
        <v>4</v>
      </c>
      <c r="W82" s="1">
        <f>data[[#This Row],[Nilai Kepentingan Dimensi Waktu Pelayanan/Penyelesaian]]-data[[#This Row],[Nilai Kepuasan Dimensi Waktu Pelayanan/Penyelesaian]]</f>
        <v>1</v>
      </c>
      <c r="X82" s="1">
        <v>4</v>
      </c>
      <c r="Y82" s="1">
        <v>4</v>
      </c>
      <c r="Z82" s="1">
        <f>data[[#This Row],[Nilai Kepentingan Dimensi Tarif/ Biaya]]-data[[#This Row],[Nilai Kepuasan Dimensi Tarif / Biaya]]</f>
        <v>0</v>
      </c>
      <c r="AA82" s="1">
        <v>3</v>
      </c>
      <c r="AB82" s="1">
        <v>4</v>
      </c>
      <c r="AC82" s="1">
        <f>data[[#This Row],[Nilai Kepentingan Dimensi Produk Spesifikasi Jenis Layanan]]-data[[#This Row],[Nilai Kepuasan Dimensi Produk Spesifikasi Jenis Layanan]]</f>
        <v>1</v>
      </c>
      <c r="AD82" s="1">
        <v>4</v>
      </c>
      <c r="AE82" s="1">
        <v>3</v>
      </c>
      <c r="AF82" s="1">
        <f>data[[#This Row],[Nilai Kepentingan Dimensi Kompetensi Pelaksana]]-data[[#This Row],[Nilai Kepuasan Dimensi Kompetensi Pelaksana]]</f>
        <v>-1</v>
      </c>
      <c r="AG82" s="1">
        <v>4</v>
      </c>
      <c r="AH82" s="1">
        <v>4</v>
      </c>
      <c r="AI82" s="1">
        <f>data[[#This Row],[Nilai Kepentingan Dimensi Perilaku Pelaksana]]-data[[#This Row],[Nilai Kepuasan Dimensi Perilaku Pelaksana]]</f>
        <v>0</v>
      </c>
      <c r="AJ82" s="1">
        <v>3</v>
      </c>
      <c r="AK82" s="1">
        <v>4</v>
      </c>
      <c r="AL82" s="1">
        <f>data[[#This Row],[Nilai Kepentingan Dimensi Penanganan Pengaduan, Saran &amp; Masukan]]-data[[#This Row],[Nilai Kepuasan Dimensi Penanganan Pengaduan, Saran &amp; Masukan]]</f>
        <v>1</v>
      </c>
      <c r="AM82" s="1">
        <v>4</v>
      </c>
      <c r="AN82" s="1">
        <v>4</v>
      </c>
      <c r="AO82" s="1">
        <f>data[[#This Row],[Nilai Kepentingan Dimensi Kualitas Sarana dan Prasarana]]-data[[#This Row],[Nilai Kepuasan Dimensi Kualitas Sarana dan Prasarana]]</f>
        <v>0</v>
      </c>
      <c r="AP82" s="1">
        <v>3</v>
      </c>
      <c r="AQ82" s="1" t="s">
        <v>75</v>
      </c>
      <c r="AR82" s="1">
        <v>0</v>
      </c>
      <c r="AS82" s="1" t="s">
        <v>69</v>
      </c>
      <c r="AT82" s="1">
        <v>0</v>
      </c>
      <c r="AU82" s="1" t="s">
        <v>69</v>
      </c>
      <c r="AV82" s="1" t="s">
        <v>83</v>
      </c>
      <c r="AW82" s="1" t="s">
        <v>96</v>
      </c>
      <c r="AX82" s="1">
        <v>0</v>
      </c>
      <c r="AY82" s="1">
        <v>0</v>
      </c>
      <c r="AZ82" s="1" t="s">
        <v>98</v>
      </c>
      <c r="BA82" s="1" t="s">
        <v>99</v>
      </c>
      <c r="BB82" s="1" t="s">
        <v>708</v>
      </c>
      <c r="BC82" s="1" t="s">
        <v>157</v>
      </c>
      <c r="BD82" s="1" t="s">
        <v>98</v>
      </c>
      <c r="BE82" s="1" t="s">
        <v>99</v>
      </c>
      <c r="BF82" s="5" t="s">
        <v>98</v>
      </c>
    </row>
    <row r="83" spans="1:58" x14ac:dyDescent="0.35">
      <c r="A83" s="4">
        <v>82</v>
      </c>
      <c r="B83" s="1" t="s">
        <v>709</v>
      </c>
      <c r="C83" s="1" t="s">
        <v>63</v>
      </c>
      <c r="D83" s="1" t="s">
        <v>86</v>
      </c>
      <c r="E83" s="1" t="s">
        <v>69</v>
      </c>
      <c r="F83" s="1" t="s">
        <v>69</v>
      </c>
      <c r="G83" s="1" t="s">
        <v>69</v>
      </c>
      <c r="H83" s="1" t="s">
        <v>69</v>
      </c>
      <c r="I83" s="1" t="s">
        <v>70</v>
      </c>
      <c r="J83" s="1" t="s">
        <v>292</v>
      </c>
      <c r="K83" s="1">
        <v>18</v>
      </c>
      <c r="L83" s="1" t="s">
        <v>131</v>
      </c>
      <c r="M83" s="1" t="s">
        <v>73</v>
      </c>
      <c r="N83" s="1" t="s">
        <v>95</v>
      </c>
      <c r="O83" s="1">
        <v>3</v>
      </c>
      <c r="P83" s="1">
        <v>3</v>
      </c>
      <c r="Q83" s="1">
        <f>data[[#This Row],[Nilai Kepentingan Dimensi Persyaratan]]-data[[#This Row],[Nilai Kepuasan Dimensi Persyaratan]]</f>
        <v>0</v>
      </c>
      <c r="R83" s="1">
        <v>2</v>
      </c>
      <c r="S83" s="1">
        <v>3</v>
      </c>
      <c r="T83" s="1">
        <f>data[[#This Row],[Nilai Kepentingan Dimensi Prosedur]]-data[[#This Row],[Nilai Kepuasan Dimensi Prosedur]]</f>
        <v>1</v>
      </c>
      <c r="U83" s="1">
        <v>2</v>
      </c>
      <c r="V83" s="1">
        <v>3</v>
      </c>
      <c r="W83" s="1">
        <f>data[[#This Row],[Nilai Kepentingan Dimensi Waktu Pelayanan/Penyelesaian]]-data[[#This Row],[Nilai Kepuasan Dimensi Waktu Pelayanan/Penyelesaian]]</f>
        <v>1</v>
      </c>
      <c r="X83" s="1">
        <v>3</v>
      </c>
      <c r="Y83" s="1">
        <v>3</v>
      </c>
      <c r="Z83" s="1">
        <f>data[[#This Row],[Nilai Kepentingan Dimensi Tarif/ Biaya]]-data[[#This Row],[Nilai Kepuasan Dimensi Tarif / Biaya]]</f>
        <v>0</v>
      </c>
      <c r="AA83" s="1">
        <v>3</v>
      </c>
      <c r="AB83" s="1">
        <v>3</v>
      </c>
      <c r="AC83" s="1">
        <f>data[[#This Row],[Nilai Kepentingan Dimensi Produk Spesifikasi Jenis Layanan]]-data[[#This Row],[Nilai Kepuasan Dimensi Produk Spesifikasi Jenis Layanan]]</f>
        <v>0</v>
      </c>
      <c r="AD83" s="1">
        <v>3</v>
      </c>
      <c r="AE83" s="1">
        <v>3</v>
      </c>
      <c r="AF83" s="1">
        <f>data[[#This Row],[Nilai Kepentingan Dimensi Kompetensi Pelaksana]]-data[[#This Row],[Nilai Kepuasan Dimensi Kompetensi Pelaksana]]</f>
        <v>0</v>
      </c>
      <c r="AG83" s="1">
        <v>2</v>
      </c>
      <c r="AH83" s="1">
        <v>3</v>
      </c>
      <c r="AI83" s="1">
        <f>data[[#This Row],[Nilai Kepentingan Dimensi Perilaku Pelaksana]]-data[[#This Row],[Nilai Kepuasan Dimensi Perilaku Pelaksana]]</f>
        <v>1</v>
      </c>
      <c r="AJ83" s="1">
        <v>3</v>
      </c>
      <c r="AK83" s="1">
        <v>3</v>
      </c>
      <c r="AL83" s="1">
        <f>data[[#This Row],[Nilai Kepentingan Dimensi Penanganan Pengaduan, Saran &amp; Masukan]]-data[[#This Row],[Nilai Kepuasan Dimensi Penanganan Pengaduan, Saran &amp; Masukan]]</f>
        <v>0</v>
      </c>
      <c r="AM83" s="1">
        <v>4</v>
      </c>
      <c r="AN83" s="1">
        <v>3</v>
      </c>
      <c r="AO83" s="1">
        <f>data[[#This Row],[Nilai Kepentingan Dimensi Kualitas Sarana dan Prasarana]]-data[[#This Row],[Nilai Kepuasan Dimensi Kualitas Sarana dan Prasarana]]</f>
        <v>-1</v>
      </c>
      <c r="AP83" s="1">
        <v>0</v>
      </c>
      <c r="AQ83" s="1" t="s">
        <v>69</v>
      </c>
      <c r="AR83" s="1">
        <v>0</v>
      </c>
      <c r="AS83" s="1" t="s">
        <v>69</v>
      </c>
      <c r="AT83" s="1">
        <v>3</v>
      </c>
      <c r="AU83" s="1" t="s">
        <v>75</v>
      </c>
      <c r="AV83" s="1" t="s">
        <v>83</v>
      </c>
      <c r="AW83" s="1" t="s">
        <v>96</v>
      </c>
      <c r="AX83" s="1">
        <v>0</v>
      </c>
      <c r="AY83" s="1">
        <v>0</v>
      </c>
      <c r="AZ83" s="1" t="s">
        <v>713</v>
      </c>
      <c r="BA83" s="1" t="s">
        <v>235</v>
      </c>
      <c r="BB83" s="1" t="s">
        <v>714</v>
      </c>
      <c r="BC83" s="1" t="s">
        <v>502</v>
      </c>
      <c r="BD83" s="1" t="s">
        <v>98</v>
      </c>
      <c r="BE83" s="1" t="s">
        <v>99</v>
      </c>
      <c r="BF83" s="5" t="s">
        <v>98</v>
      </c>
    </row>
    <row r="84" spans="1:58" x14ac:dyDescent="0.35">
      <c r="A84" s="4">
        <v>83</v>
      </c>
      <c r="B84" s="1" t="s">
        <v>715</v>
      </c>
      <c r="C84" s="1" t="s">
        <v>63</v>
      </c>
      <c r="D84" s="1" t="s">
        <v>338</v>
      </c>
      <c r="E84" s="1" t="s">
        <v>69</v>
      </c>
      <c r="F84" s="1" t="s">
        <v>69</v>
      </c>
      <c r="G84" s="1" t="s">
        <v>69</v>
      </c>
      <c r="H84" s="1" t="s">
        <v>69</v>
      </c>
      <c r="I84" s="1" t="s">
        <v>106</v>
      </c>
      <c r="J84" s="1" t="s">
        <v>71</v>
      </c>
      <c r="K84" s="1">
        <v>18</v>
      </c>
      <c r="L84" s="1" t="s">
        <v>131</v>
      </c>
      <c r="M84" s="1" t="s">
        <v>73</v>
      </c>
      <c r="N84" s="1" t="s">
        <v>95</v>
      </c>
      <c r="O84" s="1">
        <v>4</v>
      </c>
      <c r="P84" s="1">
        <v>4</v>
      </c>
      <c r="Q84" s="1">
        <f>data[[#This Row],[Nilai Kepentingan Dimensi Persyaratan]]-data[[#This Row],[Nilai Kepuasan Dimensi Persyaratan]]</f>
        <v>0</v>
      </c>
      <c r="R84" s="1">
        <v>4</v>
      </c>
      <c r="S84" s="1">
        <v>4</v>
      </c>
      <c r="T84" s="1">
        <f>data[[#This Row],[Nilai Kepentingan Dimensi Prosedur]]-data[[#This Row],[Nilai Kepuasan Dimensi Prosedur]]</f>
        <v>0</v>
      </c>
      <c r="U84" s="1">
        <v>4</v>
      </c>
      <c r="V84" s="1">
        <v>4</v>
      </c>
      <c r="W84" s="1">
        <f>data[[#This Row],[Nilai Kepentingan Dimensi Waktu Pelayanan/Penyelesaian]]-data[[#This Row],[Nilai Kepuasan Dimensi Waktu Pelayanan/Penyelesaian]]</f>
        <v>0</v>
      </c>
      <c r="X84" s="1">
        <v>4</v>
      </c>
      <c r="Y84" s="1">
        <v>4</v>
      </c>
      <c r="Z84" s="1">
        <f>data[[#This Row],[Nilai Kepentingan Dimensi Tarif/ Biaya]]-data[[#This Row],[Nilai Kepuasan Dimensi Tarif / Biaya]]</f>
        <v>0</v>
      </c>
      <c r="AA84" s="1">
        <v>4</v>
      </c>
      <c r="AB84" s="1">
        <v>4</v>
      </c>
      <c r="AC84" s="1">
        <f>data[[#This Row],[Nilai Kepentingan Dimensi Produk Spesifikasi Jenis Layanan]]-data[[#This Row],[Nilai Kepuasan Dimensi Produk Spesifikasi Jenis Layanan]]</f>
        <v>0</v>
      </c>
      <c r="AD84" s="1">
        <v>4</v>
      </c>
      <c r="AE84" s="1">
        <v>4</v>
      </c>
      <c r="AF84" s="1">
        <f>data[[#This Row],[Nilai Kepentingan Dimensi Kompetensi Pelaksana]]-data[[#This Row],[Nilai Kepuasan Dimensi Kompetensi Pelaksana]]</f>
        <v>0</v>
      </c>
      <c r="AG84" s="1">
        <v>4</v>
      </c>
      <c r="AH84" s="1">
        <v>4</v>
      </c>
      <c r="AI84" s="1">
        <f>data[[#This Row],[Nilai Kepentingan Dimensi Perilaku Pelaksana]]-data[[#This Row],[Nilai Kepuasan Dimensi Perilaku Pelaksana]]</f>
        <v>0</v>
      </c>
      <c r="AJ84" s="1">
        <v>4</v>
      </c>
      <c r="AK84" s="1">
        <v>4</v>
      </c>
      <c r="AL84" s="1">
        <f>data[[#This Row],[Nilai Kepentingan Dimensi Penanganan Pengaduan, Saran &amp; Masukan]]-data[[#This Row],[Nilai Kepuasan Dimensi Penanganan Pengaduan, Saran &amp; Masukan]]</f>
        <v>0</v>
      </c>
      <c r="AM84" s="1">
        <v>4</v>
      </c>
      <c r="AN84" s="1">
        <v>4</v>
      </c>
      <c r="AO84" s="1">
        <f>data[[#This Row],[Nilai Kepentingan Dimensi Kualitas Sarana dan Prasarana]]-data[[#This Row],[Nilai Kepuasan Dimensi Kualitas Sarana dan Prasarana]]</f>
        <v>0</v>
      </c>
      <c r="AP84" s="1">
        <v>3</v>
      </c>
      <c r="AQ84" s="1" t="s">
        <v>75</v>
      </c>
      <c r="AR84" s="1">
        <v>0</v>
      </c>
      <c r="AS84" s="1" t="s">
        <v>69</v>
      </c>
      <c r="AT84" s="1">
        <v>0</v>
      </c>
      <c r="AU84" s="1" t="s">
        <v>69</v>
      </c>
      <c r="AV84" s="1" t="s">
        <v>83</v>
      </c>
      <c r="AW84" s="1" t="s">
        <v>96</v>
      </c>
      <c r="AX84" s="1">
        <v>0</v>
      </c>
      <c r="AY84" s="1">
        <v>0</v>
      </c>
      <c r="AZ84" s="1" t="s">
        <v>720</v>
      </c>
      <c r="BA84" s="1" t="s">
        <v>79</v>
      </c>
      <c r="BB84" s="1" t="s">
        <v>98</v>
      </c>
      <c r="BC84" s="1" t="s">
        <v>99</v>
      </c>
      <c r="BD84" s="1" t="s">
        <v>98</v>
      </c>
      <c r="BE84" s="1" t="s">
        <v>99</v>
      </c>
      <c r="BF84" s="5" t="s">
        <v>98</v>
      </c>
    </row>
    <row r="85" spans="1:58" x14ac:dyDescent="0.35">
      <c r="A85" s="4">
        <v>84</v>
      </c>
      <c r="B85" s="1" t="s">
        <v>721</v>
      </c>
      <c r="C85" s="1" t="s">
        <v>63</v>
      </c>
      <c r="D85" s="1" t="s">
        <v>312</v>
      </c>
      <c r="E85" s="1" t="s">
        <v>69</v>
      </c>
      <c r="F85" s="1" t="s">
        <v>69</v>
      </c>
      <c r="G85" s="1" t="s">
        <v>69</v>
      </c>
      <c r="H85" s="1" t="s">
        <v>69</v>
      </c>
      <c r="I85" s="1" t="s">
        <v>106</v>
      </c>
      <c r="J85" s="1" t="s">
        <v>71</v>
      </c>
      <c r="K85" s="1">
        <v>22</v>
      </c>
      <c r="L85" s="1" t="s">
        <v>72</v>
      </c>
      <c r="M85" s="1" t="s">
        <v>254</v>
      </c>
      <c r="N85" s="1" t="s">
        <v>95</v>
      </c>
      <c r="O85" s="1">
        <v>3</v>
      </c>
      <c r="P85" s="1">
        <v>4</v>
      </c>
      <c r="Q85" s="1">
        <f>data[[#This Row],[Nilai Kepentingan Dimensi Persyaratan]]-data[[#This Row],[Nilai Kepuasan Dimensi Persyaratan]]</f>
        <v>1</v>
      </c>
      <c r="R85" s="1">
        <v>4</v>
      </c>
      <c r="S85" s="1">
        <v>4</v>
      </c>
      <c r="T85" s="1">
        <f>data[[#This Row],[Nilai Kepentingan Dimensi Prosedur]]-data[[#This Row],[Nilai Kepuasan Dimensi Prosedur]]</f>
        <v>0</v>
      </c>
      <c r="U85" s="1">
        <v>4</v>
      </c>
      <c r="V85" s="1">
        <v>4</v>
      </c>
      <c r="W85" s="1">
        <f>data[[#This Row],[Nilai Kepentingan Dimensi Waktu Pelayanan/Penyelesaian]]-data[[#This Row],[Nilai Kepuasan Dimensi Waktu Pelayanan/Penyelesaian]]</f>
        <v>0</v>
      </c>
      <c r="X85" s="1">
        <v>4</v>
      </c>
      <c r="Y85" s="1">
        <v>4</v>
      </c>
      <c r="Z85" s="1">
        <f>data[[#This Row],[Nilai Kepentingan Dimensi Tarif/ Biaya]]-data[[#This Row],[Nilai Kepuasan Dimensi Tarif / Biaya]]</f>
        <v>0</v>
      </c>
      <c r="AA85" s="1">
        <v>4</v>
      </c>
      <c r="AB85" s="1">
        <v>4</v>
      </c>
      <c r="AC85" s="1">
        <f>data[[#This Row],[Nilai Kepentingan Dimensi Produk Spesifikasi Jenis Layanan]]-data[[#This Row],[Nilai Kepuasan Dimensi Produk Spesifikasi Jenis Layanan]]</f>
        <v>0</v>
      </c>
      <c r="AD85" s="1">
        <v>4</v>
      </c>
      <c r="AE85" s="1">
        <v>4</v>
      </c>
      <c r="AF85" s="1">
        <f>data[[#This Row],[Nilai Kepentingan Dimensi Kompetensi Pelaksana]]-data[[#This Row],[Nilai Kepuasan Dimensi Kompetensi Pelaksana]]</f>
        <v>0</v>
      </c>
      <c r="AG85" s="1">
        <v>4</v>
      </c>
      <c r="AH85" s="1">
        <v>4</v>
      </c>
      <c r="AI85" s="1">
        <f>data[[#This Row],[Nilai Kepentingan Dimensi Perilaku Pelaksana]]-data[[#This Row],[Nilai Kepuasan Dimensi Perilaku Pelaksana]]</f>
        <v>0</v>
      </c>
      <c r="AJ85" s="1">
        <v>4</v>
      </c>
      <c r="AK85" s="1">
        <v>4</v>
      </c>
      <c r="AL85" s="1">
        <f>data[[#This Row],[Nilai Kepentingan Dimensi Penanganan Pengaduan, Saran &amp; Masukan]]-data[[#This Row],[Nilai Kepuasan Dimensi Penanganan Pengaduan, Saran &amp; Masukan]]</f>
        <v>0</v>
      </c>
      <c r="AM85" s="1">
        <v>3</v>
      </c>
      <c r="AN85" s="1">
        <v>3</v>
      </c>
      <c r="AO85" s="1">
        <f>data[[#This Row],[Nilai Kepentingan Dimensi Kualitas Sarana dan Prasarana]]-data[[#This Row],[Nilai Kepuasan Dimensi Kualitas Sarana dan Prasarana]]</f>
        <v>0</v>
      </c>
      <c r="AP85" s="1">
        <v>0</v>
      </c>
      <c r="AQ85" s="1" t="s">
        <v>69</v>
      </c>
      <c r="AR85" s="1">
        <v>3</v>
      </c>
      <c r="AS85" s="1" t="s">
        <v>75</v>
      </c>
      <c r="AT85" s="1">
        <v>0</v>
      </c>
      <c r="AU85" s="1" t="s">
        <v>69</v>
      </c>
      <c r="AV85" s="1" t="s">
        <v>83</v>
      </c>
      <c r="AW85" s="1" t="s">
        <v>96</v>
      </c>
      <c r="AX85" s="1">
        <v>0</v>
      </c>
      <c r="AY85" s="1">
        <v>0</v>
      </c>
      <c r="AZ85" s="1" t="s">
        <v>98</v>
      </c>
      <c r="BA85" s="1" t="s">
        <v>99</v>
      </c>
      <c r="BB85" s="1" t="s">
        <v>98</v>
      </c>
      <c r="BC85" s="1" t="s">
        <v>99</v>
      </c>
      <c r="BD85" s="1" t="s">
        <v>725</v>
      </c>
      <c r="BE85" s="1" t="s">
        <v>146</v>
      </c>
      <c r="BF85" s="5" t="s">
        <v>98</v>
      </c>
    </row>
    <row r="86" spans="1:58" x14ac:dyDescent="0.35">
      <c r="A86" s="4">
        <v>85</v>
      </c>
      <c r="B86" s="1" t="s">
        <v>726</v>
      </c>
      <c r="C86" s="1" t="s">
        <v>63</v>
      </c>
      <c r="D86" s="1" t="s">
        <v>416</v>
      </c>
      <c r="E86" s="1" t="s">
        <v>69</v>
      </c>
      <c r="F86" s="1" t="s">
        <v>69</v>
      </c>
      <c r="G86" s="1" t="s">
        <v>69</v>
      </c>
      <c r="H86" s="1" t="s">
        <v>69</v>
      </c>
      <c r="I86" s="1" t="s">
        <v>106</v>
      </c>
      <c r="J86" s="1" t="s">
        <v>71</v>
      </c>
      <c r="K86" s="1">
        <v>18</v>
      </c>
      <c r="L86" s="1" t="s">
        <v>131</v>
      </c>
      <c r="M86" s="1" t="s">
        <v>73</v>
      </c>
      <c r="N86" s="1" t="s">
        <v>133</v>
      </c>
      <c r="O86" s="1">
        <v>4</v>
      </c>
      <c r="P86" s="1">
        <v>4</v>
      </c>
      <c r="Q86" s="1">
        <f>data[[#This Row],[Nilai Kepentingan Dimensi Persyaratan]]-data[[#This Row],[Nilai Kepuasan Dimensi Persyaratan]]</f>
        <v>0</v>
      </c>
      <c r="R86" s="1">
        <v>4</v>
      </c>
      <c r="S86" s="1">
        <v>4</v>
      </c>
      <c r="T86" s="1">
        <f>data[[#This Row],[Nilai Kepentingan Dimensi Prosedur]]-data[[#This Row],[Nilai Kepuasan Dimensi Prosedur]]</f>
        <v>0</v>
      </c>
      <c r="U86" s="1">
        <v>4</v>
      </c>
      <c r="V86" s="1">
        <v>4</v>
      </c>
      <c r="W86" s="1">
        <f>data[[#This Row],[Nilai Kepentingan Dimensi Waktu Pelayanan/Penyelesaian]]-data[[#This Row],[Nilai Kepuasan Dimensi Waktu Pelayanan/Penyelesaian]]</f>
        <v>0</v>
      </c>
      <c r="X86" s="1">
        <v>4</v>
      </c>
      <c r="Y86" s="1">
        <v>4</v>
      </c>
      <c r="Z86" s="1">
        <f>data[[#This Row],[Nilai Kepentingan Dimensi Tarif/ Biaya]]-data[[#This Row],[Nilai Kepuasan Dimensi Tarif / Biaya]]</f>
        <v>0</v>
      </c>
      <c r="AA86" s="1">
        <v>4</v>
      </c>
      <c r="AB86" s="1">
        <v>4</v>
      </c>
      <c r="AC86" s="1">
        <f>data[[#This Row],[Nilai Kepentingan Dimensi Produk Spesifikasi Jenis Layanan]]-data[[#This Row],[Nilai Kepuasan Dimensi Produk Spesifikasi Jenis Layanan]]</f>
        <v>0</v>
      </c>
      <c r="AD86" s="1">
        <v>4</v>
      </c>
      <c r="AE86" s="1">
        <v>4</v>
      </c>
      <c r="AF86" s="1">
        <f>data[[#This Row],[Nilai Kepentingan Dimensi Kompetensi Pelaksana]]-data[[#This Row],[Nilai Kepuasan Dimensi Kompetensi Pelaksana]]</f>
        <v>0</v>
      </c>
      <c r="AG86" s="1">
        <v>4</v>
      </c>
      <c r="AH86" s="1">
        <v>4</v>
      </c>
      <c r="AI86" s="1">
        <f>data[[#This Row],[Nilai Kepentingan Dimensi Perilaku Pelaksana]]-data[[#This Row],[Nilai Kepuasan Dimensi Perilaku Pelaksana]]</f>
        <v>0</v>
      </c>
      <c r="AJ86" s="1">
        <v>4</v>
      </c>
      <c r="AK86" s="1">
        <v>4</v>
      </c>
      <c r="AL86" s="1">
        <f>data[[#This Row],[Nilai Kepentingan Dimensi Penanganan Pengaduan, Saran &amp; Masukan]]-data[[#This Row],[Nilai Kepuasan Dimensi Penanganan Pengaduan, Saran &amp; Masukan]]</f>
        <v>0</v>
      </c>
      <c r="AM86" s="1">
        <v>4</v>
      </c>
      <c r="AN86" s="1">
        <v>4</v>
      </c>
      <c r="AO86" s="1">
        <f>data[[#This Row],[Nilai Kepentingan Dimensi Kualitas Sarana dan Prasarana]]-data[[#This Row],[Nilai Kepuasan Dimensi Kualitas Sarana dan Prasarana]]</f>
        <v>0</v>
      </c>
      <c r="AP86" s="1">
        <v>0</v>
      </c>
      <c r="AQ86" s="1" t="s">
        <v>69</v>
      </c>
      <c r="AR86" s="1">
        <v>4</v>
      </c>
      <c r="AS86" s="1" t="s">
        <v>75</v>
      </c>
      <c r="AT86" s="1">
        <v>0</v>
      </c>
      <c r="AU86" s="1" t="s">
        <v>69</v>
      </c>
      <c r="AV86" s="1" t="s">
        <v>83</v>
      </c>
      <c r="AW86" s="1" t="s">
        <v>96</v>
      </c>
      <c r="AX86" s="1">
        <v>0</v>
      </c>
      <c r="AY86" s="1">
        <v>0</v>
      </c>
      <c r="AZ86" s="1" t="s">
        <v>98</v>
      </c>
      <c r="BA86" s="1" t="s">
        <v>99</v>
      </c>
      <c r="BB86" s="1" t="s">
        <v>98</v>
      </c>
      <c r="BC86" s="1" t="s">
        <v>99</v>
      </c>
      <c r="BD86" s="1" t="s">
        <v>98</v>
      </c>
      <c r="BE86" s="1" t="s">
        <v>99</v>
      </c>
      <c r="BF86" s="5" t="s">
        <v>98</v>
      </c>
    </row>
    <row r="87" spans="1:58" x14ac:dyDescent="0.35">
      <c r="A87" s="4">
        <v>86</v>
      </c>
      <c r="B87" s="1" t="s">
        <v>730</v>
      </c>
      <c r="C87" s="1" t="s">
        <v>63</v>
      </c>
      <c r="D87" s="1" t="s">
        <v>63</v>
      </c>
      <c r="E87" s="1" t="s">
        <v>69</v>
      </c>
      <c r="F87" s="1" t="s">
        <v>69</v>
      </c>
      <c r="G87" s="1" t="s">
        <v>69</v>
      </c>
      <c r="H87" s="1" t="s">
        <v>69</v>
      </c>
      <c r="I87" s="1" t="s">
        <v>70</v>
      </c>
      <c r="J87" s="1" t="s">
        <v>71</v>
      </c>
      <c r="K87" s="1">
        <v>40</v>
      </c>
      <c r="L87" s="1" t="s">
        <v>153</v>
      </c>
      <c r="M87" s="1" t="s">
        <v>73</v>
      </c>
      <c r="N87" s="1" t="s">
        <v>110</v>
      </c>
      <c r="O87" s="1">
        <v>3</v>
      </c>
      <c r="P87" s="1">
        <v>4</v>
      </c>
      <c r="Q87" s="1">
        <f>data[[#This Row],[Nilai Kepentingan Dimensi Persyaratan]]-data[[#This Row],[Nilai Kepuasan Dimensi Persyaratan]]</f>
        <v>1</v>
      </c>
      <c r="R87" s="1">
        <v>3</v>
      </c>
      <c r="S87" s="1">
        <v>4</v>
      </c>
      <c r="T87" s="1">
        <f>data[[#This Row],[Nilai Kepentingan Dimensi Prosedur]]-data[[#This Row],[Nilai Kepuasan Dimensi Prosedur]]</f>
        <v>1</v>
      </c>
      <c r="U87" s="1">
        <v>4</v>
      </c>
      <c r="V87" s="1">
        <v>4</v>
      </c>
      <c r="W87" s="1">
        <f>data[[#This Row],[Nilai Kepentingan Dimensi Waktu Pelayanan/Penyelesaian]]-data[[#This Row],[Nilai Kepuasan Dimensi Waktu Pelayanan/Penyelesaian]]</f>
        <v>0</v>
      </c>
      <c r="X87" s="1">
        <v>3</v>
      </c>
      <c r="Y87" s="1">
        <v>4</v>
      </c>
      <c r="Z87" s="1">
        <f>data[[#This Row],[Nilai Kepentingan Dimensi Tarif/ Biaya]]-data[[#This Row],[Nilai Kepuasan Dimensi Tarif / Biaya]]</f>
        <v>1</v>
      </c>
      <c r="AA87" s="1">
        <v>4</v>
      </c>
      <c r="AB87" s="1">
        <v>4</v>
      </c>
      <c r="AC87" s="1">
        <f>data[[#This Row],[Nilai Kepentingan Dimensi Produk Spesifikasi Jenis Layanan]]-data[[#This Row],[Nilai Kepuasan Dimensi Produk Spesifikasi Jenis Layanan]]</f>
        <v>0</v>
      </c>
      <c r="AD87" s="1">
        <v>4</v>
      </c>
      <c r="AE87" s="1">
        <v>4</v>
      </c>
      <c r="AF87" s="1">
        <f>data[[#This Row],[Nilai Kepentingan Dimensi Kompetensi Pelaksana]]-data[[#This Row],[Nilai Kepuasan Dimensi Kompetensi Pelaksana]]</f>
        <v>0</v>
      </c>
      <c r="AG87" s="1">
        <v>4</v>
      </c>
      <c r="AH87" s="1">
        <v>4</v>
      </c>
      <c r="AI87" s="1">
        <f>data[[#This Row],[Nilai Kepentingan Dimensi Perilaku Pelaksana]]-data[[#This Row],[Nilai Kepuasan Dimensi Perilaku Pelaksana]]</f>
        <v>0</v>
      </c>
      <c r="AJ87" s="1">
        <v>4</v>
      </c>
      <c r="AK87" s="1">
        <v>4</v>
      </c>
      <c r="AL87" s="1">
        <f>data[[#This Row],[Nilai Kepentingan Dimensi Penanganan Pengaduan, Saran &amp; Masukan]]-data[[#This Row],[Nilai Kepuasan Dimensi Penanganan Pengaduan, Saran &amp; Masukan]]</f>
        <v>0</v>
      </c>
      <c r="AM87" s="1">
        <v>4</v>
      </c>
      <c r="AN87" s="1">
        <v>4</v>
      </c>
      <c r="AO87" s="1">
        <f>data[[#This Row],[Nilai Kepentingan Dimensi Kualitas Sarana dan Prasarana]]-data[[#This Row],[Nilai Kepuasan Dimensi Kualitas Sarana dan Prasarana]]</f>
        <v>0</v>
      </c>
      <c r="AP87" s="1">
        <v>0</v>
      </c>
      <c r="AQ87" s="1" t="s">
        <v>69</v>
      </c>
      <c r="AR87" s="1">
        <v>0</v>
      </c>
      <c r="AS87" s="1" t="s">
        <v>69</v>
      </c>
      <c r="AT87" s="1">
        <v>0</v>
      </c>
      <c r="AU87" s="1" t="s">
        <v>69</v>
      </c>
      <c r="AV87" s="1" t="s">
        <v>734</v>
      </c>
      <c r="AW87" s="1" t="s">
        <v>77</v>
      </c>
      <c r="AX87" s="1">
        <v>2</v>
      </c>
      <c r="AY87" s="1">
        <v>3</v>
      </c>
      <c r="AZ87" s="1" t="s">
        <v>98</v>
      </c>
      <c r="BA87" s="1" t="s">
        <v>99</v>
      </c>
      <c r="BB87" s="1" t="s">
        <v>98</v>
      </c>
      <c r="BC87" s="1" t="s">
        <v>99</v>
      </c>
      <c r="BD87" s="1" t="s">
        <v>98</v>
      </c>
      <c r="BE87" s="1" t="s">
        <v>99</v>
      </c>
      <c r="BF87" s="5" t="s">
        <v>98</v>
      </c>
    </row>
    <row r="88" spans="1:58" x14ac:dyDescent="0.35">
      <c r="A88" s="4">
        <v>87</v>
      </c>
      <c r="B88" s="1" t="s">
        <v>735</v>
      </c>
      <c r="C88" s="1" t="s">
        <v>63</v>
      </c>
      <c r="D88" s="1" t="s">
        <v>63</v>
      </c>
      <c r="E88" s="1" t="s">
        <v>69</v>
      </c>
      <c r="F88" s="1" t="s">
        <v>69</v>
      </c>
      <c r="G88" s="1" t="s">
        <v>69</v>
      </c>
      <c r="H88" s="1" t="s">
        <v>69</v>
      </c>
      <c r="I88" s="1" t="s">
        <v>70</v>
      </c>
      <c r="J88" s="1" t="s">
        <v>71</v>
      </c>
      <c r="K88" s="1">
        <v>19</v>
      </c>
      <c r="L88" s="1" t="s">
        <v>131</v>
      </c>
      <c r="M88" s="1" t="s">
        <v>73</v>
      </c>
      <c r="N88" s="1" t="s">
        <v>74</v>
      </c>
      <c r="O88" s="1">
        <v>3</v>
      </c>
      <c r="P88" s="1">
        <v>4</v>
      </c>
      <c r="Q88" s="1">
        <f>data[[#This Row],[Nilai Kepentingan Dimensi Persyaratan]]-data[[#This Row],[Nilai Kepuasan Dimensi Persyaratan]]</f>
        <v>1</v>
      </c>
      <c r="R88" s="1">
        <v>3</v>
      </c>
      <c r="S88" s="1">
        <v>3</v>
      </c>
      <c r="T88" s="1">
        <f>data[[#This Row],[Nilai Kepentingan Dimensi Prosedur]]-data[[#This Row],[Nilai Kepuasan Dimensi Prosedur]]</f>
        <v>0</v>
      </c>
      <c r="U88" s="1">
        <v>4</v>
      </c>
      <c r="V88" s="1">
        <v>4</v>
      </c>
      <c r="W88" s="1">
        <f>data[[#This Row],[Nilai Kepentingan Dimensi Waktu Pelayanan/Penyelesaian]]-data[[#This Row],[Nilai Kepuasan Dimensi Waktu Pelayanan/Penyelesaian]]</f>
        <v>0</v>
      </c>
      <c r="X88" s="1">
        <v>3</v>
      </c>
      <c r="Y88" s="1">
        <v>3</v>
      </c>
      <c r="Z88" s="1">
        <f>data[[#This Row],[Nilai Kepentingan Dimensi Tarif/ Biaya]]-data[[#This Row],[Nilai Kepuasan Dimensi Tarif / Biaya]]</f>
        <v>0</v>
      </c>
      <c r="AA88" s="1">
        <v>4</v>
      </c>
      <c r="AB88" s="1">
        <v>3</v>
      </c>
      <c r="AC88" s="1">
        <f>data[[#This Row],[Nilai Kepentingan Dimensi Produk Spesifikasi Jenis Layanan]]-data[[#This Row],[Nilai Kepuasan Dimensi Produk Spesifikasi Jenis Layanan]]</f>
        <v>-1</v>
      </c>
      <c r="AD88" s="1">
        <v>4</v>
      </c>
      <c r="AE88" s="1">
        <v>4</v>
      </c>
      <c r="AF88" s="1">
        <f>data[[#This Row],[Nilai Kepentingan Dimensi Kompetensi Pelaksana]]-data[[#This Row],[Nilai Kepuasan Dimensi Kompetensi Pelaksana]]</f>
        <v>0</v>
      </c>
      <c r="AG88" s="1">
        <v>3</v>
      </c>
      <c r="AH88" s="1">
        <v>3</v>
      </c>
      <c r="AI88" s="1">
        <f>data[[#This Row],[Nilai Kepentingan Dimensi Perilaku Pelaksana]]-data[[#This Row],[Nilai Kepuasan Dimensi Perilaku Pelaksana]]</f>
        <v>0</v>
      </c>
      <c r="AJ88" s="1">
        <v>3</v>
      </c>
      <c r="AK88" s="1">
        <v>3</v>
      </c>
      <c r="AL88" s="1">
        <f>data[[#This Row],[Nilai Kepentingan Dimensi Penanganan Pengaduan, Saran &amp; Masukan]]-data[[#This Row],[Nilai Kepuasan Dimensi Penanganan Pengaduan, Saran &amp; Masukan]]</f>
        <v>0</v>
      </c>
      <c r="AM88" s="1">
        <v>3</v>
      </c>
      <c r="AN88" s="1">
        <v>3</v>
      </c>
      <c r="AO88" s="1">
        <f>data[[#This Row],[Nilai Kepentingan Dimensi Kualitas Sarana dan Prasarana]]-data[[#This Row],[Nilai Kepuasan Dimensi Kualitas Sarana dan Prasarana]]</f>
        <v>0</v>
      </c>
      <c r="AP88" s="1">
        <v>0</v>
      </c>
      <c r="AQ88" s="1" t="s">
        <v>69</v>
      </c>
      <c r="AR88" s="1">
        <v>0</v>
      </c>
      <c r="AS88" s="1" t="s">
        <v>69</v>
      </c>
      <c r="AT88" s="1">
        <v>0</v>
      </c>
      <c r="AU88" s="1" t="s">
        <v>69</v>
      </c>
      <c r="AV88" s="1" t="s">
        <v>144</v>
      </c>
      <c r="AW88" s="1" t="s">
        <v>144</v>
      </c>
      <c r="AX88" s="1">
        <v>2</v>
      </c>
      <c r="AY88" s="1">
        <v>3</v>
      </c>
      <c r="AZ88" s="1" t="s">
        <v>98</v>
      </c>
      <c r="BA88" s="1" t="s">
        <v>99</v>
      </c>
      <c r="BB88" s="1" t="s">
        <v>98</v>
      </c>
      <c r="BC88" s="1" t="s">
        <v>99</v>
      </c>
      <c r="BD88" s="1" t="s">
        <v>739</v>
      </c>
      <c r="BE88" s="1" t="s">
        <v>190</v>
      </c>
      <c r="BF88" s="5" t="s">
        <v>98</v>
      </c>
    </row>
    <row r="89" spans="1:58" x14ac:dyDescent="0.35">
      <c r="A89" s="4">
        <v>88</v>
      </c>
      <c r="B89" s="1" t="s">
        <v>740</v>
      </c>
      <c r="C89" s="1" t="s">
        <v>63</v>
      </c>
      <c r="D89" s="1" t="s">
        <v>742</v>
      </c>
      <c r="E89" s="1" t="s">
        <v>69</v>
      </c>
      <c r="F89" s="1" t="s">
        <v>69</v>
      </c>
      <c r="G89" s="1" t="s">
        <v>69</v>
      </c>
      <c r="H89" s="1" t="s">
        <v>69</v>
      </c>
      <c r="I89" s="1" t="s">
        <v>70</v>
      </c>
      <c r="J89" s="1" t="s">
        <v>71</v>
      </c>
      <c r="K89" s="1">
        <v>20</v>
      </c>
      <c r="L89" s="1" t="s">
        <v>131</v>
      </c>
      <c r="M89" s="1" t="s">
        <v>73</v>
      </c>
      <c r="N89" s="1" t="s">
        <v>95</v>
      </c>
      <c r="O89" s="1">
        <v>4</v>
      </c>
      <c r="P89" s="1">
        <v>4</v>
      </c>
      <c r="Q89" s="1">
        <f>data[[#This Row],[Nilai Kepentingan Dimensi Persyaratan]]-data[[#This Row],[Nilai Kepuasan Dimensi Persyaratan]]</f>
        <v>0</v>
      </c>
      <c r="R89" s="1">
        <v>4</v>
      </c>
      <c r="S89" s="1">
        <v>4</v>
      </c>
      <c r="T89" s="1">
        <f>data[[#This Row],[Nilai Kepentingan Dimensi Prosedur]]-data[[#This Row],[Nilai Kepuasan Dimensi Prosedur]]</f>
        <v>0</v>
      </c>
      <c r="U89" s="1">
        <v>3</v>
      </c>
      <c r="V89" s="1">
        <v>4</v>
      </c>
      <c r="W89" s="1">
        <f>data[[#This Row],[Nilai Kepentingan Dimensi Waktu Pelayanan/Penyelesaian]]-data[[#This Row],[Nilai Kepuasan Dimensi Waktu Pelayanan/Penyelesaian]]</f>
        <v>1</v>
      </c>
      <c r="X89" s="1">
        <v>4</v>
      </c>
      <c r="Y89" s="1">
        <v>4</v>
      </c>
      <c r="Z89" s="1">
        <f>data[[#This Row],[Nilai Kepentingan Dimensi Tarif/ Biaya]]-data[[#This Row],[Nilai Kepuasan Dimensi Tarif / Biaya]]</f>
        <v>0</v>
      </c>
      <c r="AA89" s="1">
        <v>4</v>
      </c>
      <c r="AB89" s="1">
        <v>4</v>
      </c>
      <c r="AC89" s="1">
        <f>data[[#This Row],[Nilai Kepentingan Dimensi Produk Spesifikasi Jenis Layanan]]-data[[#This Row],[Nilai Kepuasan Dimensi Produk Spesifikasi Jenis Layanan]]</f>
        <v>0</v>
      </c>
      <c r="AD89" s="1">
        <v>4</v>
      </c>
      <c r="AE89" s="1">
        <v>4</v>
      </c>
      <c r="AF89" s="1">
        <f>data[[#This Row],[Nilai Kepentingan Dimensi Kompetensi Pelaksana]]-data[[#This Row],[Nilai Kepuasan Dimensi Kompetensi Pelaksana]]</f>
        <v>0</v>
      </c>
      <c r="AG89" s="1">
        <v>4</v>
      </c>
      <c r="AH89" s="1">
        <v>4</v>
      </c>
      <c r="AI89" s="1">
        <f>data[[#This Row],[Nilai Kepentingan Dimensi Perilaku Pelaksana]]-data[[#This Row],[Nilai Kepuasan Dimensi Perilaku Pelaksana]]</f>
        <v>0</v>
      </c>
      <c r="AJ89" s="1">
        <v>4</v>
      </c>
      <c r="AK89" s="1">
        <v>4</v>
      </c>
      <c r="AL89" s="1">
        <f>data[[#This Row],[Nilai Kepentingan Dimensi Penanganan Pengaduan, Saran &amp; Masukan]]-data[[#This Row],[Nilai Kepuasan Dimensi Penanganan Pengaduan, Saran &amp; Masukan]]</f>
        <v>0</v>
      </c>
      <c r="AM89" s="1">
        <v>4</v>
      </c>
      <c r="AN89" s="1">
        <v>4</v>
      </c>
      <c r="AO89" s="1">
        <f>data[[#This Row],[Nilai Kepentingan Dimensi Kualitas Sarana dan Prasarana]]-data[[#This Row],[Nilai Kepuasan Dimensi Kualitas Sarana dan Prasarana]]</f>
        <v>0</v>
      </c>
      <c r="AP89" s="1">
        <v>4</v>
      </c>
      <c r="AQ89" s="1" t="s">
        <v>75</v>
      </c>
      <c r="AR89" s="1">
        <v>0</v>
      </c>
      <c r="AS89" s="1" t="s">
        <v>69</v>
      </c>
      <c r="AT89" s="1">
        <v>0</v>
      </c>
      <c r="AU89" s="1" t="s">
        <v>69</v>
      </c>
      <c r="AV89" s="1" t="s">
        <v>83</v>
      </c>
      <c r="AW89" s="1" t="s">
        <v>96</v>
      </c>
      <c r="AX89" s="1">
        <v>0</v>
      </c>
      <c r="AY89" s="1">
        <v>0</v>
      </c>
      <c r="AZ89" s="1" t="s">
        <v>98</v>
      </c>
      <c r="BA89" s="1" t="s">
        <v>99</v>
      </c>
      <c r="BB89" s="1" t="s">
        <v>745</v>
      </c>
      <c r="BC89" s="1" t="s">
        <v>112</v>
      </c>
      <c r="BD89" s="1" t="s">
        <v>98</v>
      </c>
      <c r="BE89" s="1" t="s">
        <v>99</v>
      </c>
      <c r="BF89" s="5" t="s">
        <v>98</v>
      </c>
    </row>
    <row r="90" spans="1:58" x14ac:dyDescent="0.35">
      <c r="A90" s="4">
        <v>89</v>
      </c>
      <c r="B90" s="1" t="s">
        <v>746</v>
      </c>
      <c r="C90" s="1" t="s">
        <v>63</v>
      </c>
      <c r="D90" s="1" t="s">
        <v>63</v>
      </c>
      <c r="E90" s="1" t="s">
        <v>69</v>
      </c>
      <c r="F90" s="1" t="s">
        <v>69</v>
      </c>
      <c r="G90" s="1" t="s">
        <v>69</v>
      </c>
      <c r="H90" s="1" t="s">
        <v>69</v>
      </c>
      <c r="I90" s="1" t="s">
        <v>70</v>
      </c>
      <c r="J90" s="1" t="s">
        <v>71</v>
      </c>
      <c r="K90" s="1">
        <v>27</v>
      </c>
      <c r="L90" s="1" t="s">
        <v>92</v>
      </c>
      <c r="M90" s="1" t="s">
        <v>73</v>
      </c>
      <c r="N90" s="1" t="s">
        <v>74</v>
      </c>
      <c r="O90" s="1">
        <v>4</v>
      </c>
      <c r="P90" s="1">
        <v>4</v>
      </c>
      <c r="Q90" s="1">
        <f>data[[#This Row],[Nilai Kepentingan Dimensi Persyaratan]]-data[[#This Row],[Nilai Kepuasan Dimensi Persyaratan]]</f>
        <v>0</v>
      </c>
      <c r="R90" s="1">
        <v>4</v>
      </c>
      <c r="S90" s="1">
        <v>4</v>
      </c>
      <c r="T90" s="1">
        <f>data[[#This Row],[Nilai Kepentingan Dimensi Prosedur]]-data[[#This Row],[Nilai Kepuasan Dimensi Prosedur]]</f>
        <v>0</v>
      </c>
      <c r="U90" s="1">
        <v>4</v>
      </c>
      <c r="V90" s="1">
        <v>4</v>
      </c>
      <c r="W90" s="1">
        <f>data[[#This Row],[Nilai Kepentingan Dimensi Waktu Pelayanan/Penyelesaian]]-data[[#This Row],[Nilai Kepuasan Dimensi Waktu Pelayanan/Penyelesaian]]</f>
        <v>0</v>
      </c>
      <c r="X90" s="1">
        <v>4</v>
      </c>
      <c r="Y90" s="1">
        <v>4</v>
      </c>
      <c r="Z90" s="1">
        <f>data[[#This Row],[Nilai Kepentingan Dimensi Tarif/ Biaya]]-data[[#This Row],[Nilai Kepuasan Dimensi Tarif / Biaya]]</f>
        <v>0</v>
      </c>
      <c r="AA90" s="1">
        <v>4</v>
      </c>
      <c r="AB90" s="1">
        <v>4</v>
      </c>
      <c r="AC90" s="1">
        <f>data[[#This Row],[Nilai Kepentingan Dimensi Produk Spesifikasi Jenis Layanan]]-data[[#This Row],[Nilai Kepuasan Dimensi Produk Spesifikasi Jenis Layanan]]</f>
        <v>0</v>
      </c>
      <c r="AD90" s="1">
        <v>4</v>
      </c>
      <c r="AE90" s="1">
        <v>4</v>
      </c>
      <c r="AF90" s="1">
        <f>data[[#This Row],[Nilai Kepentingan Dimensi Kompetensi Pelaksana]]-data[[#This Row],[Nilai Kepuasan Dimensi Kompetensi Pelaksana]]</f>
        <v>0</v>
      </c>
      <c r="AG90" s="1">
        <v>4</v>
      </c>
      <c r="AH90" s="1">
        <v>4</v>
      </c>
      <c r="AI90" s="1">
        <f>data[[#This Row],[Nilai Kepentingan Dimensi Perilaku Pelaksana]]-data[[#This Row],[Nilai Kepuasan Dimensi Perilaku Pelaksana]]</f>
        <v>0</v>
      </c>
      <c r="AJ90" s="1">
        <v>4</v>
      </c>
      <c r="AK90" s="1">
        <v>4</v>
      </c>
      <c r="AL90" s="1">
        <f>data[[#This Row],[Nilai Kepentingan Dimensi Penanganan Pengaduan, Saran &amp; Masukan]]-data[[#This Row],[Nilai Kepuasan Dimensi Penanganan Pengaduan, Saran &amp; Masukan]]</f>
        <v>0</v>
      </c>
      <c r="AM90" s="1">
        <v>3</v>
      </c>
      <c r="AN90" s="1">
        <v>3</v>
      </c>
      <c r="AO90" s="1">
        <f>data[[#This Row],[Nilai Kepentingan Dimensi Kualitas Sarana dan Prasarana]]-data[[#This Row],[Nilai Kepuasan Dimensi Kualitas Sarana dan Prasarana]]</f>
        <v>0</v>
      </c>
      <c r="AP90" s="1">
        <v>0</v>
      </c>
      <c r="AQ90" s="1" t="s">
        <v>69</v>
      </c>
      <c r="AR90" s="1">
        <v>0</v>
      </c>
      <c r="AS90" s="1" t="s">
        <v>69</v>
      </c>
      <c r="AT90" s="1">
        <v>0</v>
      </c>
      <c r="AU90" s="1" t="s">
        <v>69</v>
      </c>
      <c r="AV90" s="1" t="s">
        <v>379</v>
      </c>
      <c r="AW90" s="1" t="s">
        <v>77</v>
      </c>
      <c r="AX90" s="1">
        <v>2</v>
      </c>
      <c r="AY90" s="1">
        <v>3</v>
      </c>
      <c r="AZ90" s="1" t="s">
        <v>98</v>
      </c>
      <c r="BA90" s="1" t="s">
        <v>99</v>
      </c>
      <c r="BB90" s="1" t="s">
        <v>98</v>
      </c>
      <c r="BC90" s="1" t="s">
        <v>99</v>
      </c>
      <c r="BD90" s="1" t="s">
        <v>98</v>
      </c>
      <c r="BE90" s="1" t="s">
        <v>99</v>
      </c>
      <c r="BF90" s="5" t="s">
        <v>98</v>
      </c>
    </row>
    <row r="91" spans="1:58" x14ac:dyDescent="0.35">
      <c r="A91" s="4">
        <v>90</v>
      </c>
      <c r="B91" s="1" t="s">
        <v>750</v>
      </c>
      <c r="C91" s="1" t="s">
        <v>63</v>
      </c>
      <c r="D91" s="1" t="s">
        <v>312</v>
      </c>
      <c r="E91" s="1" t="s">
        <v>69</v>
      </c>
      <c r="F91" s="1" t="s">
        <v>69</v>
      </c>
      <c r="G91" s="1" t="s">
        <v>69</v>
      </c>
      <c r="H91" s="1" t="s">
        <v>69</v>
      </c>
      <c r="I91" s="1" t="s">
        <v>70</v>
      </c>
      <c r="J91" s="1" t="s">
        <v>71</v>
      </c>
      <c r="K91" s="1">
        <v>33</v>
      </c>
      <c r="L91" s="1" t="s">
        <v>109</v>
      </c>
      <c r="M91" s="1" t="s">
        <v>73</v>
      </c>
      <c r="N91" s="1" t="s">
        <v>232</v>
      </c>
      <c r="O91" s="1">
        <v>3</v>
      </c>
      <c r="P91" s="1">
        <v>3</v>
      </c>
      <c r="Q91" s="1">
        <f>data[[#This Row],[Nilai Kepentingan Dimensi Persyaratan]]-data[[#This Row],[Nilai Kepuasan Dimensi Persyaratan]]</f>
        <v>0</v>
      </c>
      <c r="R91" s="1">
        <v>3</v>
      </c>
      <c r="S91" s="1">
        <v>3</v>
      </c>
      <c r="T91" s="1">
        <f>data[[#This Row],[Nilai Kepentingan Dimensi Prosedur]]-data[[#This Row],[Nilai Kepuasan Dimensi Prosedur]]</f>
        <v>0</v>
      </c>
      <c r="U91" s="1">
        <v>3</v>
      </c>
      <c r="V91" s="1">
        <v>3</v>
      </c>
      <c r="W91" s="1">
        <f>data[[#This Row],[Nilai Kepentingan Dimensi Waktu Pelayanan/Penyelesaian]]-data[[#This Row],[Nilai Kepuasan Dimensi Waktu Pelayanan/Penyelesaian]]</f>
        <v>0</v>
      </c>
      <c r="X91" s="1">
        <v>3</v>
      </c>
      <c r="Y91" s="1">
        <v>3</v>
      </c>
      <c r="Z91" s="1">
        <f>data[[#This Row],[Nilai Kepentingan Dimensi Tarif/ Biaya]]-data[[#This Row],[Nilai Kepuasan Dimensi Tarif / Biaya]]</f>
        <v>0</v>
      </c>
      <c r="AA91" s="1">
        <v>3</v>
      </c>
      <c r="AB91" s="1">
        <v>3</v>
      </c>
      <c r="AC91" s="1">
        <f>data[[#This Row],[Nilai Kepentingan Dimensi Produk Spesifikasi Jenis Layanan]]-data[[#This Row],[Nilai Kepuasan Dimensi Produk Spesifikasi Jenis Layanan]]</f>
        <v>0</v>
      </c>
      <c r="AD91" s="1">
        <v>3</v>
      </c>
      <c r="AE91" s="1">
        <v>3</v>
      </c>
      <c r="AF91" s="1">
        <f>data[[#This Row],[Nilai Kepentingan Dimensi Kompetensi Pelaksana]]-data[[#This Row],[Nilai Kepuasan Dimensi Kompetensi Pelaksana]]</f>
        <v>0</v>
      </c>
      <c r="AG91" s="1">
        <v>4</v>
      </c>
      <c r="AH91" s="1">
        <v>4</v>
      </c>
      <c r="AI91" s="1">
        <f>data[[#This Row],[Nilai Kepentingan Dimensi Perilaku Pelaksana]]-data[[#This Row],[Nilai Kepuasan Dimensi Perilaku Pelaksana]]</f>
        <v>0</v>
      </c>
      <c r="AJ91" s="1">
        <v>3</v>
      </c>
      <c r="AK91" s="1">
        <v>3</v>
      </c>
      <c r="AL91" s="1">
        <f>data[[#This Row],[Nilai Kepentingan Dimensi Penanganan Pengaduan, Saran &amp; Masukan]]-data[[#This Row],[Nilai Kepuasan Dimensi Penanganan Pengaduan, Saran &amp; Masukan]]</f>
        <v>0</v>
      </c>
      <c r="AM91" s="1">
        <v>3</v>
      </c>
      <c r="AN91" s="1">
        <v>3</v>
      </c>
      <c r="AO91" s="1">
        <f>data[[#This Row],[Nilai Kepentingan Dimensi Kualitas Sarana dan Prasarana]]-data[[#This Row],[Nilai Kepuasan Dimensi Kualitas Sarana dan Prasarana]]</f>
        <v>0</v>
      </c>
      <c r="AP91" s="1">
        <v>0</v>
      </c>
      <c r="AQ91" s="1" t="s">
        <v>69</v>
      </c>
      <c r="AR91" s="1">
        <v>0</v>
      </c>
      <c r="AS91" s="1" t="s">
        <v>69</v>
      </c>
      <c r="AT91" s="1">
        <v>3</v>
      </c>
      <c r="AU91" s="1" t="s">
        <v>75</v>
      </c>
      <c r="AV91" s="1" t="s">
        <v>83</v>
      </c>
      <c r="AW91" s="1" t="s">
        <v>96</v>
      </c>
      <c r="AX91" s="1">
        <v>0</v>
      </c>
      <c r="AY91" s="1">
        <v>0</v>
      </c>
      <c r="AZ91" s="1" t="s">
        <v>278</v>
      </c>
      <c r="BA91" s="1" t="s">
        <v>79</v>
      </c>
      <c r="BB91" s="1" t="s">
        <v>278</v>
      </c>
      <c r="BC91" s="1" t="s">
        <v>79</v>
      </c>
      <c r="BD91" s="1" t="s">
        <v>754</v>
      </c>
      <c r="BE91" s="1" t="s">
        <v>146</v>
      </c>
      <c r="BF91" s="5" t="s">
        <v>98</v>
      </c>
    </row>
    <row r="92" spans="1:58" x14ac:dyDescent="0.35">
      <c r="A92" s="4">
        <v>91</v>
      </c>
      <c r="B92" s="1" t="s">
        <v>755</v>
      </c>
      <c r="C92" s="1" t="s">
        <v>63</v>
      </c>
      <c r="D92" s="1" t="s">
        <v>757</v>
      </c>
      <c r="E92" s="1" t="s">
        <v>69</v>
      </c>
      <c r="F92" s="1" t="s">
        <v>69</v>
      </c>
      <c r="G92" s="1" t="s">
        <v>69</v>
      </c>
      <c r="H92" s="1" t="s">
        <v>69</v>
      </c>
      <c r="I92" s="1" t="s">
        <v>106</v>
      </c>
      <c r="J92" s="1" t="s">
        <v>292</v>
      </c>
      <c r="K92" s="1">
        <v>18</v>
      </c>
      <c r="L92" s="1" t="s">
        <v>131</v>
      </c>
      <c r="M92" s="1" t="s">
        <v>73</v>
      </c>
      <c r="N92" s="1" t="s">
        <v>95</v>
      </c>
      <c r="O92" s="1">
        <v>3</v>
      </c>
      <c r="P92" s="1">
        <v>3</v>
      </c>
      <c r="Q92" s="1">
        <f>data[[#This Row],[Nilai Kepentingan Dimensi Persyaratan]]-data[[#This Row],[Nilai Kepuasan Dimensi Persyaratan]]</f>
        <v>0</v>
      </c>
      <c r="R92" s="1">
        <v>3</v>
      </c>
      <c r="S92" s="1">
        <v>3</v>
      </c>
      <c r="T92" s="1">
        <f>data[[#This Row],[Nilai Kepentingan Dimensi Prosedur]]-data[[#This Row],[Nilai Kepuasan Dimensi Prosedur]]</f>
        <v>0</v>
      </c>
      <c r="U92" s="1">
        <v>3</v>
      </c>
      <c r="V92" s="1">
        <v>3</v>
      </c>
      <c r="W92" s="1">
        <f>data[[#This Row],[Nilai Kepentingan Dimensi Waktu Pelayanan/Penyelesaian]]-data[[#This Row],[Nilai Kepuasan Dimensi Waktu Pelayanan/Penyelesaian]]</f>
        <v>0</v>
      </c>
      <c r="X92" s="1">
        <v>3</v>
      </c>
      <c r="Y92" s="1">
        <v>3</v>
      </c>
      <c r="Z92" s="1">
        <f>data[[#This Row],[Nilai Kepentingan Dimensi Tarif/ Biaya]]-data[[#This Row],[Nilai Kepuasan Dimensi Tarif / Biaya]]</f>
        <v>0</v>
      </c>
      <c r="AA92" s="1">
        <v>3</v>
      </c>
      <c r="AB92" s="1">
        <v>3</v>
      </c>
      <c r="AC92" s="1">
        <f>data[[#This Row],[Nilai Kepentingan Dimensi Produk Spesifikasi Jenis Layanan]]-data[[#This Row],[Nilai Kepuasan Dimensi Produk Spesifikasi Jenis Layanan]]</f>
        <v>0</v>
      </c>
      <c r="AD92" s="1">
        <v>3</v>
      </c>
      <c r="AE92" s="1">
        <v>4</v>
      </c>
      <c r="AF92" s="1">
        <f>data[[#This Row],[Nilai Kepentingan Dimensi Kompetensi Pelaksana]]-data[[#This Row],[Nilai Kepuasan Dimensi Kompetensi Pelaksana]]</f>
        <v>1</v>
      </c>
      <c r="AG92" s="1">
        <v>3</v>
      </c>
      <c r="AH92" s="1">
        <v>3</v>
      </c>
      <c r="AI92" s="1">
        <f>data[[#This Row],[Nilai Kepentingan Dimensi Perilaku Pelaksana]]-data[[#This Row],[Nilai Kepuasan Dimensi Perilaku Pelaksana]]</f>
        <v>0</v>
      </c>
      <c r="AJ92" s="1">
        <v>3</v>
      </c>
      <c r="AK92" s="1">
        <v>3</v>
      </c>
      <c r="AL92" s="1">
        <f>data[[#This Row],[Nilai Kepentingan Dimensi Penanganan Pengaduan, Saran &amp; Masukan]]-data[[#This Row],[Nilai Kepuasan Dimensi Penanganan Pengaduan, Saran &amp; Masukan]]</f>
        <v>0</v>
      </c>
      <c r="AM92" s="1">
        <v>4</v>
      </c>
      <c r="AN92" s="1">
        <v>3</v>
      </c>
      <c r="AO92" s="1">
        <f>data[[#This Row],[Nilai Kepentingan Dimensi Kualitas Sarana dan Prasarana]]-data[[#This Row],[Nilai Kepuasan Dimensi Kualitas Sarana dan Prasarana]]</f>
        <v>-1</v>
      </c>
      <c r="AP92" s="1">
        <v>3</v>
      </c>
      <c r="AQ92" s="1" t="s">
        <v>75</v>
      </c>
      <c r="AR92" s="1">
        <v>3</v>
      </c>
      <c r="AS92" s="1" t="s">
        <v>75</v>
      </c>
      <c r="AT92" s="1">
        <v>3</v>
      </c>
      <c r="AU92" s="1" t="s">
        <v>75</v>
      </c>
      <c r="AV92" s="1" t="s">
        <v>83</v>
      </c>
      <c r="AW92" s="1" t="s">
        <v>96</v>
      </c>
      <c r="AX92" s="1">
        <v>2</v>
      </c>
      <c r="AY92" s="1">
        <v>3</v>
      </c>
      <c r="AZ92" s="1" t="s">
        <v>503</v>
      </c>
      <c r="BA92" s="1" t="s">
        <v>79</v>
      </c>
      <c r="BB92" s="1" t="s">
        <v>528</v>
      </c>
      <c r="BC92" s="1" t="s">
        <v>79</v>
      </c>
      <c r="BD92" s="1" t="s">
        <v>528</v>
      </c>
      <c r="BE92" s="1" t="s">
        <v>79</v>
      </c>
      <c r="BF92" s="5" t="s">
        <v>83</v>
      </c>
    </row>
    <row r="93" spans="1:58" x14ac:dyDescent="0.35">
      <c r="A93" s="4">
        <v>92</v>
      </c>
      <c r="B93" s="1" t="s">
        <v>760</v>
      </c>
      <c r="C93" s="1" t="s">
        <v>63</v>
      </c>
      <c r="D93" s="1" t="s">
        <v>125</v>
      </c>
      <c r="E93" s="1" t="s">
        <v>69</v>
      </c>
      <c r="F93" s="1" t="s">
        <v>69</v>
      </c>
      <c r="G93" s="1" t="s">
        <v>69</v>
      </c>
      <c r="H93" s="1" t="s">
        <v>69</v>
      </c>
      <c r="I93" s="1" t="s">
        <v>70</v>
      </c>
      <c r="J93" s="1" t="s">
        <v>292</v>
      </c>
      <c r="K93" s="1">
        <v>18</v>
      </c>
      <c r="L93" s="1" t="s">
        <v>131</v>
      </c>
      <c r="M93" s="1" t="s">
        <v>73</v>
      </c>
      <c r="N93" s="1" t="s">
        <v>133</v>
      </c>
      <c r="O93" s="1">
        <v>4</v>
      </c>
      <c r="P93" s="1">
        <v>4</v>
      </c>
      <c r="Q93" s="1">
        <f>data[[#This Row],[Nilai Kepentingan Dimensi Persyaratan]]-data[[#This Row],[Nilai Kepuasan Dimensi Persyaratan]]</f>
        <v>0</v>
      </c>
      <c r="R93" s="1">
        <v>3</v>
      </c>
      <c r="S93" s="1">
        <v>3</v>
      </c>
      <c r="T93" s="1">
        <f>data[[#This Row],[Nilai Kepentingan Dimensi Prosedur]]-data[[#This Row],[Nilai Kepuasan Dimensi Prosedur]]</f>
        <v>0</v>
      </c>
      <c r="U93" s="1">
        <v>4</v>
      </c>
      <c r="V93" s="1">
        <v>4</v>
      </c>
      <c r="W93" s="1">
        <f>data[[#This Row],[Nilai Kepentingan Dimensi Waktu Pelayanan/Penyelesaian]]-data[[#This Row],[Nilai Kepuasan Dimensi Waktu Pelayanan/Penyelesaian]]</f>
        <v>0</v>
      </c>
      <c r="X93" s="1">
        <v>3</v>
      </c>
      <c r="Y93" s="1">
        <v>3</v>
      </c>
      <c r="Z93" s="1">
        <f>data[[#This Row],[Nilai Kepentingan Dimensi Tarif/ Biaya]]-data[[#This Row],[Nilai Kepuasan Dimensi Tarif / Biaya]]</f>
        <v>0</v>
      </c>
      <c r="AA93" s="1">
        <v>3</v>
      </c>
      <c r="AB93" s="1">
        <v>4</v>
      </c>
      <c r="AC93" s="1">
        <f>data[[#This Row],[Nilai Kepentingan Dimensi Produk Spesifikasi Jenis Layanan]]-data[[#This Row],[Nilai Kepuasan Dimensi Produk Spesifikasi Jenis Layanan]]</f>
        <v>1</v>
      </c>
      <c r="AD93" s="1">
        <v>4</v>
      </c>
      <c r="AE93" s="1">
        <v>4</v>
      </c>
      <c r="AF93" s="1">
        <f>data[[#This Row],[Nilai Kepentingan Dimensi Kompetensi Pelaksana]]-data[[#This Row],[Nilai Kepuasan Dimensi Kompetensi Pelaksana]]</f>
        <v>0</v>
      </c>
      <c r="AG93" s="1">
        <v>3</v>
      </c>
      <c r="AH93" s="1">
        <v>4</v>
      </c>
      <c r="AI93" s="1">
        <f>data[[#This Row],[Nilai Kepentingan Dimensi Perilaku Pelaksana]]-data[[#This Row],[Nilai Kepuasan Dimensi Perilaku Pelaksana]]</f>
        <v>1</v>
      </c>
      <c r="AJ93" s="1">
        <v>4</v>
      </c>
      <c r="AK93" s="1">
        <v>4</v>
      </c>
      <c r="AL93" s="1">
        <f>data[[#This Row],[Nilai Kepentingan Dimensi Penanganan Pengaduan, Saran &amp; Masukan]]-data[[#This Row],[Nilai Kepuasan Dimensi Penanganan Pengaduan, Saran &amp; Masukan]]</f>
        <v>0</v>
      </c>
      <c r="AM93" s="1">
        <v>3</v>
      </c>
      <c r="AN93" s="1">
        <v>4</v>
      </c>
      <c r="AO93" s="1">
        <f>data[[#This Row],[Nilai Kepentingan Dimensi Kualitas Sarana dan Prasarana]]-data[[#This Row],[Nilai Kepuasan Dimensi Kualitas Sarana dan Prasarana]]</f>
        <v>1</v>
      </c>
      <c r="AP93" s="1">
        <v>3</v>
      </c>
      <c r="AQ93" s="1" t="s">
        <v>75</v>
      </c>
      <c r="AR93" s="1">
        <v>3</v>
      </c>
      <c r="AS93" s="1" t="s">
        <v>75</v>
      </c>
      <c r="AT93" s="1">
        <v>3</v>
      </c>
      <c r="AU93" s="1" t="s">
        <v>75</v>
      </c>
      <c r="AV93" s="1" t="s">
        <v>532</v>
      </c>
      <c r="AW93" s="1" t="s">
        <v>77</v>
      </c>
      <c r="AX93" s="1">
        <v>2</v>
      </c>
      <c r="AY93" s="1">
        <v>3</v>
      </c>
      <c r="AZ93" s="1" t="s">
        <v>503</v>
      </c>
      <c r="BA93" s="1" t="s">
        <v>79</v>
      </c>
      <c r="BB93" s="1" t="s">
        <v>763</v>
      </c>
      <c r="BC93" s="1" t="s">
        <v>157</v>
      </c>
      <c r="BD93" s="1" t="s">
        <v>248</v>
      </c>
      <c r="BE93" s="1" t="s">
        <v>79</v>
      </c>
      <c r="BF93" s="5" t="s">
        <v>83</v>
      </c>
    </row>
    <row r="94" spans="1:58" x14ac:dyDescent="0.35">
      <c r="A94" s="4">
        <v>93</v>
      </c>
      <c r="B94" s="1" t="s">
        <v>115</v>
      </c>
      <c r="C94" s="1" t="s">
        <v>63</v>
      </c>
      <c r="D94" s="1" t="s">
        <v>765</v>
      </c>
      <c r="E94" s="1" t="s">
        <v>69</v>
      </c>
      <c r="F94" s="1" t="s">
        <v>69</v>
      </c>
      <c r="G94" s="1" t="s">
        <v>69</v>
      </c>
      <c r="H94" s="1" t="s">
        <v>69</v>
      </c>
      <c r="I94" s="1" t="s">
        <v>106</v>
      </c>
      <c r="J94" s="1" t="s">
        <v>292</v>
      </c>
      <c r="K94" s="1">
        <v>19</v>
      </c>
      <c r="L94" s="1" t="s">
        <v>131</v>
      </c>
      <c r="M94" s="1" t="s">
        <v>73</v>
      </c>
      <c r="N94" s="1" t="s">
        <v>95</v>
      </c>
      <c r="O94" s="1">
        <v>3</v>
      </c>
      <c r="P94" s="1">
        <v>3</v>
      </c>
      <c r="Q94" s="1">
        <f>data[[#This Row],[Nilai Kepentingan Dimensi Persyaratan]]-data[[#This Row],[Nilai Kepuasan Dimensi Persyaratan]]</f>
        <v>0</v>
      </c>
      <c r="R94" s="1">
        <v>3</v>
      </c>
      <c r="S94" s="1">
        <v>4</v>
      </c>
      <c r="T94" s="1">
        <f>data[[#This Row],[Nilai Kepentingan Dimensi Prosedur]]-data[[#This Row],[Nilai Kepuasan Dimensi Prosedur]]</f>
        <v>1</v>
      </c>
      <c r="U94" s="1">
        <v>2</v>
      </c>
      <c r="V94" s="1">
        <v>3</v>
      </c>
      <c r="W94" s="1">
        <f>data[[#This Row],[Nilai Kepentingan Dimensi Waktu Pelayanan/Penyelesaian]]-data[[#This Row],[Nilai Kepuasan Dimensi Waktu Pelayanan/Penyelesaian]]</f>
        <v>1</v>
      </c>
      <c r="X94" s="1">
        <v>3</v>
      </c>
      <c r="Y94" s="1">
        <v>3</v>
      </c>
      <c r="Z94" s="1">
        <f>data[[#This Row],[Nilai Kepentingan Dimensi Tarif/ Biaya]]-data[[#This Row],[Nilai Kepuasan Dimensi Tarif / Biaya]]</f>
        <v>0</v>
      </c>
      <c r="AA94" s="1">
        <v>3</v>
      </c>
      <c r="AB94" s="1">
        <v>3</v>
      </c>
      <c r="AC94" s="1">
        <f>data[[#This Row],[Nilai Kepentingan Dimensi Produk Spesifikasi Jenis Layanan]]-data[[#This Row],[Nilai Kepuasan Dimensi Produk Spesifikasi Jenis Layanan]]</f>
        <v>0</v>
      </c>
      <c r="AD94" s="1">
        <v>3</v>
      </c>
      <c r="AE94" s="1">
        <v>3</v>
      </c>
      <c r="AF94" s="1">
        <f>data[[#This Row],[Nilai Kepentingan Dimensi Kompetensi Pelaksana]]-data[[#This Row],[Nilai Kepuasan Dimensi Kompetensi Pelaksana]]</f>
        <v>0</v>
      </c>
      <c r="AG94" s="1">
        <v>3</v>
      </c>
      <c r="AH94" s="1">
        <v>3</v>
      </c>
      <c r="AI94" s="1">
        <f>data[[#This Row],[Nilai Kepentingan Dimensi Perilaku Pelaksana]]-data[[#This Row],[Nilai Kepuasan Dimensi Perilaku Pelaksana]]</f>
        <v>0</v>
      </c>
      <c r="AJ94" s="1">
        <v>3</v>
      </c>
      <c r="AK94" s="1">
        <v>3</v>
      </c>
      <c r="AL94" s="1">
        <f>data[[#This Row],[Nilai Kepentingan Dimensi Penanganan Pengaduan, Saran &amp; Masukan]]-data[[#This Row],[Nilai Kepuasan Dimensi Penanganan Pengaduan, Saran &amp; Masukan]]</f>
        <v>0</v>
      </c>
      <c r="AM94" s="1">
        <v>3</v>
      </c>
      <c r="AN94" s="1">
        <v>3</v>
      </c>
      <c r="AO94" s="1">
        <f>data[[#This Row],[Nilai Kepentingan Dimensi Kualitas Sarana dan Prasarana]]-data[[#This Row],[Nilai Kepuasan Dimensi Kualitas Sarana dan Prasarana]]</f>
        <v>0</v>
      </c>
      <c r="AP94" s="1">
        <v>3</v>
      </c>
      <c r="AQ94" s="1" t="s">
        <v>75</v>
      </c>
      <c r="AR94" s="1">
        <v>3</v>
      </c>
      <c r="AS94" s="1" t="s">
        <v>75</v>
      </c>
      <c r="AT94" s="1">
        <v>3</v>
      </c>
      <c r="AU94" s="1" t="s">
        <v>75</v>
      </c>
      <c r="AV94" s="1" t="s">
        <v>77</v>
      </c>
      <c r="AW94" s="1" t="s">
        <v>77</v>
      </c>
      <c r="AX94" s="1">
        <v>2</v>
      </c>
      <c r="AY94" s="1">
        <v>3</v>
      </c>
      <c r="AZ94" s="1" t="s">
        <v>768</v>
      </c>
      <c r="BA94" s="1" t="s">
        <v>433</v>
      </c>
      <c r="BB94" s="1" t="s">
        <v>769</v>
      </c>
      <c r="BC94" s="1" t="s">
        <v>157</v>
      </c>
      <c r="BD94" s="1" t="s">
        <v>503</v>
      </c>
      <c r="BE94" s="1" t="s">
        <v>79</v>
      </c>
      <c r="BF94" s="5" t="s">
        <v>83</v>
      </c>
    </row>
    <row r="95" spans="1:58" x14ac:dyDescent="0.35">
      <c r="A95" s="4">
        <v>94</v>
      </c>
      <c r="B95" s="1" t="s">
        <v>770</v>
      </c>
      <c r="C95" s="1" t="s">
        <v>772</v>
      </c>
      <c r="D95" s="1" t="s">
        <v>773</v>
      </c>
      <c r="E95" s="1" t="s">
        <v>69</v>
      </c>
      <c r="F95" s="1" t="s">
        <v>69</v>
      </c>
      <c r="G95" s="1" t="s">
        <v>69</v>
      </c>
      <c r="H95" s="1" t="s">
        <v>69</v>
      </c>
      <c r="I95" s="1" t="s">
        <v>70</v>
      </c>
      <c r="J95" s="1" t="s">
        <v>292</v>
      </c>
      <c r="K95" s="1">
        <v>19</v>
      </c>
      <c r="L95" s="1" t="s">
        <v>131</v>
      </c>
      <c r="M95" s="1" t="s">
        <v>73</v>
      </c>
      <c r="N95" s="1" t="s">
        <v>95</v>
      </c>
      <c r="O95" s="1">
        <v>4</v>
      </c>
      <c r="P95" s="1">
        <v>3</v>
      </c>
      <c r="Q95" s="1">
        <f>data[[#This Row],[Nilai Kepentingan Dimensi Persyaratan]]-data[[#This Row],[Nilai Kepuasan Dimensi Persyaratan]]</f>
        <v>-1</v>
      </c>
      <c r="R95" s="1">
        <v>3</v>
      </c>
      <c r="S95" s="1">
        <v>3</v>
      </c>
      <c r="T95" s="1">
        <f>data[[#This Row],[Nilai Kepentingan Dimensi Prosedur]]-data[[#This Row],[Nilai Kepuasan Dimensi Prosedur]]</f>
        <v>0</v>
      </c>
      <c r="U95" s="1">
        <v>4</v>
      </c>
      <c r="V95" s="1">
        <v>4</v>
      </c>
      <c r="W95" s="1">
        <f>data[[#This Row],[Nilai Kepentingan Dimensi Waktu Pelayanan/Penyelesaian]]-data[[#This Row],[Nilai Kepuasan Dimensi Waktu Pelayanan/Penyelesaian]]</f>
        <v>0</v>
      </c>
      <c r="X95" s="1">
        <v>3</v>
      </c>
      <c r="Y95" s="1">
        <v>3</v>
      </c>
      <c r="Z95" s="1">
        <f>data[[#This Row],[Nilai Kepentingan Dimensi Tarif/ Biaya]]-data[[#This Row],[Nilai Kepuasan Dimensi Tarif / Biaya]]</f>
        <v>0</v>
      </c>
      <c r="AA95" s="1">
        <v>3</v>
      </c>
      <c r="AB95" s="1">
        <v>4</v>
      </c>
      <c r="AC95" s="1">
        <f>data[[#This Row],[Nilai Kepentingan Dimensi Produk Spesifikasi Jenis Layanan]]-data[[#This Row],[Nilai Kepuasan Dimensi Produk Spesifikasi Jenis Layanan]]</f>
        <v>1</v>
      </c>
      <c r="AD95" s="1">
        <v>4</v>
      </c>
      <c r="AE95" s="1">
        <v>4</v>
      </c>
      <c r="AF95" s="1">
        <f>data[[#This Row],[Nilai Kepentingan Dimensi Kompetensi Pelaksana]]-data[[#This Row],[Nilai Kepuasan Dimensi Kompetensi Pelaksana]]</f>
        <v>0</v>
      </c>
      <c r="AG95" s="1">
        <v>4</v>
      </c>
      <c r="AH95" s="1">
        <v>3</v>
      </c>
      <c r="AI95" s="1">
        <f>data[[#This Row],[Nilai Kepentingan Dimensi Perilaku Pelaksana]]-data[[#This Row],[Nilai Kepuasan Dimensi Perilaku Pelaksana]]</f>
        <v>-1</v>
      </c>
      <c r="AJ95" s="1">
        <v>3</v>
      </c>
      <c r="AK95" s="1">
        <v>3</v>
      </c>
      <c r="AL95" s="1">
        <f>data[[#This Row],[Nilai Kepentingan Dimensi Penanganan Pengaduan, Saran &amp; Masukan]]-data[[#This Row],[Nilai Kepuasan Dimensi Penanganan Pengaduan, Saran &amp; Masukan]]</f>
        <v>0</v>
      </c>
      <c r="AM95" s="1">
        <v>3</v>
      </c>
      <c r="AN95" s="1">
        <v>4</v>
      </c>
      <c r="AO95" s="1">
        <f>data[[#This Row],[Nilai Kepentingan Dimensi Kualitas Sarana dan Prasarana]]-data[[#This Row],[Nilai Kepuasan Dimensi Kualitas Sarana dan Prasarana]]</f>
        <v>1</v>
      </c>
      <c r="AP95" s="1">
        <v>3</v>
      </c>
      <c r="AQ95" s="1" t="s">
        <v>75</v>
      </c>
      <c r="AR95" s="1">
        <v>3</v>
      </c>
      <c r="AS95" s="1" t="s">
        <v>75</v>
      </c>
      <c r="AT95" s="1">
        <v>3</v>
      </c>
      <c r="AU95" s="1" t="s">
        <v>75</v>
      </c>
      <c r="AV95" s="1" t="s">
        <v>631</v>
      </c>
      <c r="AW95" s="1" t="s">
        <v>77</v>
      </c>
      <c r="AX95" s="1">
        <v>2</v>
      </c>
      <c r="AY95" s="1">
        <v>3</v>
      </c>
      <c r="AZ95" s="1" t="s">
        <v>503</v>
      </c>
      <c r="BA95" s="1" t="s">
        <v>79</v>
      </c>
      <c r="BB95" s="1" t="s">
        <v>503</v>
      </c>
      <c r="BC95" s="1" t="s">
        <v>79</v>
      </c>
      <c r="BD95" s="1" t="s">
        <v>776</v>
      </c>
      <c r="BE95" s="1" t="s">
        <v>146</v>
      </c>
      <c r="BF95" s="5" t="s">
        <v>83</v>
      </c>
    </row>
    <row r="96" spans="1:58" x14ac:dyDescent="0.35">
      <c r="A96" s="4">
        <v>95</v>
      </c>
      <c r="B96" s="1" t="s">
        <v>777</v>
      </c>
      <c r="C96" s="1" t="s">
        <v>63</v>
      </c>
      <c r="D96" s="1" t="s">
        <v>63</v>
      </c>
      <c r="E96" s="1" t="s">
        <v>69</v>
      </c>
      <c r="F96" s="1" t="s">
        <v>69</v>
      </c>
      <c r="G96" s="1" t="s">
        <v>69</v>
      </c>
      <c r="H96" s="1" t="s">
        <v>69</v>
      </c>
      <c r="I96" s="1" t="s">
        <v>106</v>
      </c>
      <c r="J96" s="1" t="s">
        <v>271</v>
      </c>
      <c r="K96" s="1">
        <v>24</v>
      </c>
      <c r="L96" s="1" t="s">
        <v>72</v>
      </c>
      <c r="M96" s="1" t="s">
        <v>254</v>
      </c>
      <c r="N96" s="1" t="s">
        <v>74</v>
      </c>
      <c r="O96" s="1">
        <v>3</v>
      </c>
      <c r="P96" s="1">
        <v>4</v>
      </c>
      <c r="Q96" s="1">
        <f>data[[#This Row],[Nilai Kepentingan Dimensi Persyaratan]]-data[[#This Row],[Nilai Kepuasan Dimensi Persyaratan]]</f>
        <v>1</v>
      </c>
      <c r="R96" s="1">
        <v>3</v>
      </c>
      <c r="S96" s="1">
        <v>3</v>
      </c>
      <c r="T96" s="1">
        <f>data[[#This Row],[Nilai Kepentingan Dimensi Prosedur]]-data[[#This Row],[Nilai Kepuasan Dimensi Prosedur]]</f>
        <v>0</v>
      </c>
      <c r="U96" s="1">
        <v>3</v>
      </c>
      <c r="V96" s="1">
        <v>3</v>
      </c>
      <c r="W96" s="1">
        <f>data[[#This Row],[Nilai Kepentingan Dimensi Waktu Pelayanan/Penyelesaian]]-data[[#This Row],[Nilai Kepuasan Dimensi Waktu Pelayanan/Penyelesaian]]</f>
        <v>0</v>
      </c>
      <c r="X96" s="1">
        <v>3</v>
      </c>
      <c r="Y96" s="1">
        <v>3</v>
      </c>
      <c r="Z96" s="1">
        <f>data[[#This Row],[Nilai Kepentingan Dimensi Tarif/ Biaya]]-data[[#This Row],[Nilai Kepuasan Dimensi Tarif / Biaya]]</f>
        <v>0</v>
      </c>
      <c r="AA96" s="1">
        <v>3</v>
      </c>
      <c r="AB96" s="1">
        <v>3</v>
      </c>
      <c r="AC96" s="1">
        <f>data[[#This Row],[Nilai Kepentingan Dimensi Produk Spesifikasi Jenis Layanan]]-data[[#This Row],[Nilai Kepuasan Dimensi Produk Spesifikasi Jenis Layanan]]</f>
        <v>0</v>
      </c>
      <c r="AD96" s="1">
        <v>4</v>
      </c>
      <c r="AE96" s="1">
        <v>4</v>
      </c>
      <c r="AF96" s="1">
        <f>data[[#This Row],[Nilai Kepentingan Dimensi Kompetensi Pelaksana]]-data[[#This Row],[Nilai Kepuasan Dimensi Kompetensi Pelaksana]]</f>
        <v>0</v>
      </c>
      <c r="AG96" s="1">
        <v>3</v>
      </c>
      <c r="AH96" s="1">
        <v>4</v>
      </c>
      <c r="AI96" s="1">
        <f>data[[#This Row],[Nilai Kepentingan Dimensi Perilaku Pelaksana]]-data[[#This Row],[Nilai Kepuasan Dimensi Perilaku Pelaksana]]</f>
        <v>1</v>
      </c>
      <c r="AJ96" s="1">
        <v>3</v>
      </c>
      <c r="AK96" s="1">
        <v>4</v>
      </c>
      <c r="AL96" s="1">
        <f>data[[#This Row],[Nilai Kepentingan Dimensi Penanganan Pengaduan, Saran &amp; Masukan]]-data[[#This Row],[Nilai Kepuasan Dimensi Penanganan Pengaduan, Saran &amp; Masukan]]</f>
        <v>1</v>
      </c>
      <c r="AM96" s="1">
        <v>4</v>
      </c>
      <c r="AN96" s="1">
        <v>4</v>
      </c>
      <c r="AO96" s="1">
        <f>data[[#This Row],[Nilai Kepentingan Dimensi Kualitas Sarana dan Prasarana]]-data[[#This Row],[Nilai Kepuasan Dimensi Kualitas Sarana dan Prasarana]]</f>
        <v>0</v>
      </c>
      <c r="AP96" s="1">
        <v>3</v>
      </c>
      <c r="AQ96" s="1" t="s">
        <v>75</v>
      </c>
      <c r="AR96" s="1">
        <v>3</v>
      </c>
      <c r="AS96" s="1" t="s">
        <v>75</v>
      </c>
      <c r="AT96" s="1">
        <v>3</v>
      </c>
      <c r="AU96" s="1" t="s">
        <v>75</v>
      </c>
      <c r="AV96" s="1" t="s">
        <v>77</v>
      </c>
      <c r="AW96" s="1" t="s">
        <v>77</v>
      </c>
      <c r="AX96" s="1">
        <v>2</v>
      </c>
      <c r="AY96" s="1">
        <v>3</v>
      </c>
      <c r="AZ96" s="1" t="s">
        <v>781</v>
      </c>
      <c r="BA96" s="1" t="s">
        <v>227</v>
      </c>
      <c r="BB96" s="1" t="s">
        <v>503</v>
      </c>
      <c r="BC96" s="1" t="s">
        <v>79</v>
      </c>
      <c r="BD96" s="1" t="s">
        <v>528</v>
      </c>
      <c r="BE96" s="1" t="s">
        <v>79</v>
      </c>
      <c r="BF96" s="5" t="s">
        <v>83</v>
      </c>
    </row>
    <row r="97" spans="1:58" x14ac:dyDescent="0.35">
      <c r="A97" s="4">
        <v>96</v>
      </c>
      <c r="B97" s="1" t="s">
        <v>782</v>
      </c>
      <c r="C97" s="1" t="s">
        <v>63</v>
      </c>
      <c r="D97" s="1" t="s">
        <v>558</v>
      </c>
      <c r="E97" s="1" t="s">
        <v>69</v>
      </c>
      <c r="F97" s="1" t="s">
        <v>69</v>
      </c>
      <c r="G97" s="1" t="s">
        <v>69</v>
      </c>
      <c r="H97" s="1" t="s">
        <v>69</v>
      </c>
      <c r="I97" s="1" t="s">
        <v>70</v>
      </c>
      <c r="J97" s="1" t="s">
        <v>271</v>
      </c>
      <c r="K97" s="1">
        <v>45</v>
      </c>
      <c r="L97" s="1" t="s">
        <v>197</v>
      </c>
      <c r="M97" s="1" t="s">
        <v>273</v>
      </c>
      <c r="N97" s="1" t="s">
        <v>110</v>
      </c>
      <c r="O97" s="1">
        <v>4</v>
      </c>
      <c r="P97" s="1">
        <v>4</v>
      </c>
      <c r="Q97" s="1">
        <f>data[[#This Row],[Nilai Kepentingan Dimensi Persyaratan]]-data[[#This Row],[Nilai Kepuasan Dimensi Persyaratan]]</f>
        <v>0</v>
      </c>
      <c r="R97" s="1">
        <v>3</v>
      </c>
      <c r="S97" s="1">
        <v>3</v>
      </c>
      <c r="T97" s="1">
        <f>data[[#This Row],[Nilai Kepentingan Dimensi Prosedur]]-data[[#This Row],[Nilai Kepuasan Dimensi Prosedur]]</f>
        <v>0</v>
      </c>
      <c r="U97" s="1">
        <v>3</v>
      </c>
      <c r="V97" s="1">
        <v>3</v>
      </c>
      <c r="W97" s="1">
        <f>data[[#This Row],[Nilai Kepentingan Dimensi Waktu Pelayanan/Penyelesaian]]-data[[#This Row],[Nilai Kepuasan Dimensi Waktu Pelayanan/Penyelesaian]]</f>
        <v>0</v>
      </c>
      <c r="X97" s="1">
        <v>4</v>
      </c>
      <c r="Y97" s="1">
        <v>4</v>
      </c>
      <c r="Z97" s="1">
        <f>data[[#This Row],[Nilai Kepentingan Dimensi Tarif/ Biaya]]-data[[#This Row],[Nilai Kepuasan Dimensi Tarif / Biaya]]</f>
        <v>0</v>
      </c>
      <c r="AA97" s="1">
        <v>4</v>
      </c>
      <c r="AB97" s="1">
        <v>4</v>
      </c>
      <c r="AC97" s="1">
        <f>data[[#This Row],[Nilai Kepentingan Dimensi Produk Spesifikasi Jenis Layanan]]-data[[#This Row],[Nilai Kepuasan Dimensi Produk Spesifikasi Jenis Layanan]]</f>
        <v>0</v>
      </c>
      <c r="AD97" s="1">
        <v>3</v>
      </c>
      <c r="AE97" s="1">
        <v>4</v>
      </c>
      <c r="AF97" s="1">
        <f>data[[#This Row],[Nilai Kepentingan Dimensi Kompetensi Pelaksana]]-data[[#This Row],[Nilai Kepuasan Dimensi Kompetensi Pelaksana]]</f>
        <v>1</v>
      </c>
      <c r="AG97" s="1">
        <v>4</v>
      </c>
      <c r="AH97" s="1">
        <v>4</v>
      </c>
      <c r="AI97" s="1">
        <f>data[[#This Row],[Nilai Kepentingan Dimensi Perilaku Pelaksana]]-data[[#This Row],[Nilai Kepuasan Dimensi Perilaku Pelaksana]]</f>
        <v>0</v>
      </c>
      <c r="AJ97" s="1">
        <v>3</v>
      </c>
      <c r="AK97" s="1">
        <v>4</v>
      </c>
      <c r="AL97" s="1">
        <f>data[[#This Row],[Nilai Kepentingan Dimensi Penanganan Pengaduan, Saran &amp; Masukan]]-data[[#This Row],[Nilai Kepuasan Dimensi Penanganan Pengaduan, Saran &amp; Masukan]]</f>
        <v>1</v>
      </c>
      <c r="AM97" s="1">
        <v>4</v>
      </c>
      <c r="AN97" s="1">
        <v>4</v>
      </c>
      <c r="AO97" s="1">
        <f>data[[#This Row],[Nilai Kepentingan Dimensi Kualitas Sarana dan Prasarana]]-data[[#This Row],[Nilai Kepuasan Dimensi Kualitas Sarana dan Prasarana]]</f>
        <v>0</v>
      </c>
      <c r="AP97" s="1">
        <v>3</v>
      </c>
      <c r="AQ97" s="1" t="s">
        <v>75</v>
      </c>
      <c r="AR97" s="1">
        <v>3</v>
      </c>
      <c r="AS97" s="1" t="s">
        <v>75</v>
      </c>
      <c r="AT97" s="1">
        <v>3</v>
      </c>
      <c r="AU97" s="1" t="s">
        <v>75</v>
      </c>
      <c r="AV97" s="1" t="s">
        <v>276</v>
      </c>
      <c r="AW97" s="1" t="s">
        <v>276</v>
      </c>
      <c r="AX97" s="1">
        <v>2</v>
      </c>
      <c r="AY97" s="1">
        <v>3</v>
      </c>
      <c r="AZ97" s="1" t="s">
        <v>786</v>
      </c>
      <c r="BA97" s="1" t="s">
        <v>452</v>
      </c>
      <c r="BB97" s="1" t="s">
        <v>503</v>
      </c>
      <c r="BC97" s="1" t="s">
        <v>79</v>
      </c>
      <c r="BD97" s="1" t="s">
        <v>503</v>
      </c>
      <c r="BE97" s="1" t="s">
        <v>79</v>
      </c>
      <c r="BF97" s="5" t="s">
        <v>83</v>
      </c>
    </row>
    <row r="98" spans="1:58" x14ac:dyDescent="0.35">
      <c r="A98" s="4">
        <v>97</v>
      </c>
      <c r="B98" s="1" t="s">
        <v>787</v>
      </c>
      <c r="C98" s="1" t="s">
        <v>63</v>
      </c>
      <c r="D98" s="1" t="s">
        <v>240</v>
      </c>
      <c r="E98" s="1" t="s">
        <v>69</v>
      </c>
      <c r="F98" s="1" t="s">
        <v>69</v>
      </c>
      <c r="G98" s="1" t="s">
        <v>69</v>
      </c>
      <c r="H98" s="1" t="s">
        <v>69</v>
      </c>
      <c r="I98" s="1" t="s">
        <v>106</v>
      </c>
      <c r="J98" s="1" t="s">
        <v>292</v>
      </c>
      <c r="K98" s="1">
        <v>19</v>
      </c>
      <c r="L98" s="1" t="s">
        <v>131</v>
      </c>
      <c r="M98" s="1" t="s">
        <v>73</v>
      </c>
      <c r="N98" s="1" t="s">
        <v>95</v>
      </c>
      <c r="O98" s="1">
        <v>3</v>
      </c>
      <c r="P98" s="1">
        <v>3</v>
      </c>
      <c r="Q98" s="1">
        <f>data[[#This Row],[Nilai Kepentingan Dimensi Persyaratan]]-data[[#This Row],[Nilai Kepuasan Dimensi Persyaratan]]</f>
        <v>0</v>
      </c>
      <c r="R98" s="1">
        <v>4</v>
      </c>
      <c r="S98" s="1">
        <v>3</v>
      </c>
      <c r="T98" s="1">
        <f>data[[#This Row],[Nilai Kepentingan Dimensi Prosedur]]-data[[#This Row],[Nilai Kepuasan Dimensi Prosedur]]</f>
        <v>-1</v>
      </c>
      <c r="U98" s="1">
        <v>3</v>
      </c>
      <c r="V98" s="1">
        <v>3</v>
      </c>
      <c r="W98" s="1">
        <f>data[[#This Row],[Nilai Kepentingan Dimensi Waktu Pelayanan/Penyelesaian]]-data[[#This Row],[Nilai Kepuasan Dimensi Waktu Pelayanan/Penyelesaian]]</f>
        <v>0</v>
      </c>
      <c r="X98" s="1">
        <v>4</v>
      </c>
      <c r="Y98" s="1">
        <v>4</v>
      </c>
      <c r="Z98" s="1">
        <f>data[[#This Row],[Nilai Kepentingan Dimensi Tarif/ Biaya]]-data[[#This Row],[Nilai Kepuasan Dimensi Tarif / Biaya]]</f>
        <v>0</v>
      </c>
      <c r="AA98" s="1">
        <v>4</v>
      </c>
      <c r="AB98" s="1">
        <v>4</v>
      </c>
      <c r="AC98" s="1">
        <f>data[[#This Row],[Nilai Kepentingan Dimensi Produk Spesifikasi Jenis Layanan]]-data[[#This Row],[Nilai Kepuasan Dimensi Produk Spesifikasi Jenis Layanan]]</f>
        <v>0</v>
      </c>
      <c r="AD98" s="1">
        <v>4</v>
      </c>
      <c r="AE98" s="1">
        <v>3</v>
      </c>
      <c r="AF98" s="1">
        <f>data[[#This Row],[Nilai Kepentingan Dimensi Kompetensi Pelaksana]]-data[[#This Row],[Nilai Kepuasan Dimensi Kompetensi Pelaksana]]</f>
        <v>-1</v>
      </c>
      <c r="AG98" s="1">
        <v>4</v>
      </c>
      <c r="AH98" s="1">
        <v>4</v>
      </c>
      <c r="AI98" s="1">
        <f>data[[#This Row],[Nilai Kepentingan Dimensi Perilaku Pelaksana]]-data[[#This Row],[Nilai Kepuasan Dimensi Perilaku Pelaksana]]</f>
        <v>0</v>
      </c>
      <c r="AJ98" s="1">
        <v>4</v>
      </c>
      <c r="AK98" s="1">
        <v>4</v>
      </c>
      <c r="AL98" s="1">
        <f>data[[#This Row],[Nilai Kepentingan Dimensi Penanganan Pengaduan, Saran &amp; Masukan]]-data[[#This Row],[Nilai Kepuasan Dimensi Penanganan Pengaduan, Saran &amp; Masukan]]</f>
        <v>0</v>
      </c>
      <c r="AM98" s="1">
        <v>4</v>
      </c>
      <c r="AN98" s="1">
        <v>3</v>
      </c>
      <c r="AO98" s="1">
        <f>data[[#This Row],[Nilai Kepentingan Dimensi Kualitas Sarana dan Prasarana]]-data[[#This Row],[Nilai Kepuasan Dimensi Kualitas Sarana dan Prasarana]]</f>
        <v>-1</v>
      </c>
      <c r="AP98" s="1">
        <v>3</v>
      </c>
      <c r="AQ98" s="1" t="s">
        <v>75</v>
      </c>
      <c r="AR98" s="1">
        <v>3</v>
      </c>
      <c r="AS98" s="1" t="s">
        <v>75</v>
      </c>
      <c r="AT98" s="1">
        <v>3</v>
      </c>
      <c r="AU98" s="1" t="s">
        <v>75</v>
      </c>
      <c r="AV98" s="1" t="s">
        <v>77</v>
      </c>
      <c r="AW98" s="1" t="s">
        <v>77</v>
      </c>
      <c r="AX98" s="1">
        <v>1</v>
      </c>
      <c r="AY98" s="1">
        <v>4</v>
      </c>
      <c r="AZ98" s="1" t="s">
        <v>503</v>
      </c>
      <c r="BA98" s="1" t="s">
        <v>79</v>
      </c>
      <c r="BB98" s="1" t="s">
        <v>503</v>
      </c>
      <c r="BC98" s="1" t="s">
        <v>79</v>
      </c>
      <c r="BD98" s="1" t="s">
        <v>503</v>
      </c>
      <c r="BE98" s="1" t="s">
        <v>79</v>
      </c>
      <c r="BF98" s="5" t="s">
        <v>83</v>
      </c>
    </row>
    <row r="99" spans="1:58" x14ac:dyDescent="0.35">
      <c r="A99" s="4">
        <v>98</v>
      </c>
      <c r="B99" s="1" t="s">
        <v>791</v>
      </c>
      <c r="C99" s="1" t="s">
        <v>63</v>
      </c>
      <c r="D99" s="1" t="s">
        <v>63</v>
      </c>
      <c r="E99" s="1" t="s">
        <v>69</v>
      </c>
      <c r="F99" s="1" t="s">
        <v>69</v>
      </c>
      <c r="G99" s="1" t="s">
        <v>69</v>
      </c>
      <c r="H99" s="1" t="s">
        <v>69</v>
      </c>
      <c r="I99" s="1" t="s">
        <v>106</v>
      </c>
      <c r="J99" s="1" t="s">
        <v>271</v>
      </c>
      <c r="K99" s="1">
        <v>18</v>
      </c>
      <c r="L99" s="1" t="s">
        <v>131</v>
      </c>
      <c r="M99" s="1" t="s">
        <v>73</v>
      </c>
      <c r="N99" s="1" t="s">
        <v>95</v>
      </c>
      <c r="O99" s="1">
        <v>4</v>
      </c>
      <c r="P99" s="1">
        <v>4</v>
      </c>
      <c r="Q99" s="1">
        <f>data[[#This Row],[Nilai Kepentingan Dimensi Persyaratan]]-data[[#This Row],[Nilai Kepuasan Dimensi Persyaratan]]</f>
        <v>0</v>
      </c>
      <c r="R99" s="1">
        <v>4</v>
      </c>
      <c r="S99" s="1">
        <v>4</v>
      </c>
      <c r="T99" s="1">
        <f>data[[#This Row],[Nilai Kepentingan Dimensi Prosedur]]-data[[#This Row],[Nilai Kepuasan Dimensi Prosedur]]</f>
        <v>0</v>
      </c>
      <c r="U99" s="1">
        <v>3</v>
      </c>
      <c r="V99" s="1">
        <v>4</v>
      </c>
      <c r="W99" s="1">
        <f>data[[#This Row],[Nilai Kepentingan Dimensi Waktu Pelayanan/Penyelesaian]]-data[[#This Row],[Nilai Kepuasan Dimensi Waktu Pelayanan/Penyelesaian]]</f>
        <v>1</v>
      </c>
      <c r="X99" s="1">
        <v>4</v>
      </c>
      <c r="Y99" s="1">
        <v>4</v>
      </c>
      <c r="Z99" s="1">
        <f>data[[#This Row],[Nilai Kepentingan Dimensi Tarif/ Biaya]]-data[[#This Row],[Nilai Kepuasan Dimensi Tarif / Biaya]]</f>
        <v>0</v>
      </c>
      <c r="AA99" s="1">
        <v>4</v>
      </c>
      <c r="AB99" s="1">
        <v>4</v>
      </c>
      <c r="AC99" s="1">
        <f>data[[#This Row],[Nilai Kepentingan Dimensi Produk Spesifikasi Jenis Layanan]]-data[[#This Row],[Nilai Kepuasan Dimensi Produk Spesifikasi Jenis Layanan]]</f>
        <v>0</v>
      </c>
      <c r="AD99" s="1">
        <v>3</v>
      </c>
      <c r="AE99" s="1">
        <v>4</v>
      </c>
      <c r="AF99" s="1">
        <f>data[[#This Row],[Nilai Kepentingan Dimensi Kompetensi Pelaksana]]-data[[#This Row],[Nilai Kepuasan Dimensi Kompetensi Pelaksana]]</f>
        <v>1</v>
      </c>
      <c r="AG99" s="1">
        <v>4</v>
      </c>
      <c r="AH99" s="1">
        <v>4</v>
      </c>
      <c r="AI99" s="1">
        <f>data[[#This Row],[Nilai Kepentingan Dimensi Perilaku Pelaksana]]-data[[#This Row],[Nilai Kepuasan Dimensi Perilaku Pelaksana]]</f>
        <v>0</v>
      </c>
      <c r="AJ99" s="1">
        <v>4</v>
      </c>
      <c r="AK99" s="1">
        <v>4</v>
      </c>
      <c r="AL99" s="1">
        <f>data[[#This Row],[Nilai Kepentingan Dimensi Penanganan Pengaduan, Saran &amp; Masukan]]-data[[#This Row],[Nilai Kepuasan Dimensi Penanganan Pengaduan, Saran &amp; Masukan]]</f>
        <v>0</v>
      </c>
      <c r="AM99" s="1">
        <v>3</v>
      </c>
      <c r="AN99" s="1">
        <v>4</v>
      </c>
      <c r="AO99" s="1">
        <f>data[[#This Row],[Nilai Kepentingan Dimensi Kualitas Sarana dan Prasarana]]-data[[#This Row],[Nilai Kepuasan Dimensi Kualitas Sarana dan Prasarana]]</f>
        <v>1</v>
      </c>
      <c r="AP99" s="1">
        <v>3</v>
      </c>
      <c r="AQ99" s="1" t="s">
        <v>75</v>
      </c>
      <c r="AR99" s="1">
        <v>3</v>
      </c>
      <c r="AS99" s="1" t="s">
        <v>75</v>
      </c>
      <c r="AT99" s="1">
        <v>3</v>
      </c>
      <c r="AU99" s="1" t="s">
        <v>75</v>
      </c>
      <c r="AV99" s="1" t="s">
        <v>795</v>
      </c>
      <c r="AW99" s="1" t="s">
        <v>77</v>
      </c>
      <c r="AX99" s="1">
        <v>1</v>
      </c>
      <c r="AY99" s="1">
        <v>4</v>
      </c>
      <c r="AZ99" s="1" t="s">
        <v>503</v>
      </c>
      <c r="BA99" s="1" t="s">
        <v>79</v>
      </c>
      <c r="BB99" s="1" t="s">
        <v>503</v>
      </c>
      <c r="BC99" s="1" t="s">
        <v>79</v>
      </c>
      <c r="BD99" s="1" t="s">
        <v>796</v>
      </c>
      <c r="BE99" s="1" t="s">
        <v>146</v>
      </c>
      <c r="BF99" s="5" t="s">
        <v>83</v>
      </c>
    </row>
    <row r="100" spans="1:58" x14ac:dyDescent="0.35">
      <c r="A100" s="4">
        <v>99</v>
      </c>
      <c r="B100" s="1" t="s">
        <v>797</v>
      </c>
      <c r="C100" s="1" t="s">
        <v>63</v>
      </c>
      <c r="D100" s="1" t="s">
        <v>179</v>
      </c>
      <c r="E100" s="1" t="s">
        <v>69</v>
      </c>
      <c r="F100" s="1" t="s">
        <v>69</v>
      </c>
      <c r="G100" s="1" t="s">
        <v>69</v>
      </c>
      <c r="H100" s="1" t="s">
        <v>69</v>
      </c>
      <c r="I100" s="1" t="s">
        <v>106</v>
      </c>
      <c r="J100" s="1" t="s">
        <v>107</v>
      </c>
      <c r="K100" s="1">
        <v>43</v>
      </c>
      <c r="L100" s="1" t="s">
        <v>197</v>
      </c>
      <c r="M100" s="1" t="s">
        <v>254</v>
      </c>
      <c r="N100" s="1" t="s">
        <v>110</v>
      </c>
      <c r="O100" s="1">
        <v>3</v>
      </c>
      <c r="P100" s="1">
        <v>4</v>
      </c>
      <c r="Q100" s="1">
        <f>data[[#This Row],[Nilai Kepentingan Dimensi Persyaratan]]-data[[#This Row],[Nilai Kepuasan Dimensi Persyaratan]]</f>
        <v>1</v>
      </c>
      <c r="R100" s="1">
        <v>4</v>
      </c>
      <c r="S100" s="1">
        <v>4</v>
      </c>
      <c r="T100" s="1">
        <f>data[[#This Row],[Nilai Kepentingan Dimensi Prosedur]]-data[[#This Row],[Nilai Kepuasan Dimensi Prosedur]]</f>
        <v>0</v>
      </c>
      <c r="U100" s="1">
        <v>3</v>
      </c>
      <c r="V100" s="1">
        <v>3</v>
      </c>
      <c r="W100" s="1">
        <f>data[[#This Row],[Nilai Kepentingan Dimensi Waktu Pelayanan/Penyelesaian]]-data[[#This Row],[Nilai Kepuasan Dimensi Waktu Pelayanan/Penyelesaian]]</f>
        <v>0</v>
      </c>
      <c r="X100" s="1">
        <v>4</v>
      </c>
      <c r="Y100" s="1">
        <v>4</v>
      </c>
      <c r="Z100" s="1">
        <f>data[[#This Row],[Nilai Kepentingan Dimensi Tarif/ Biaya]]-data[[#This Row],[Nilai Kepuasan Dimensi Tarif / Biaya]]</f>
        <v>0</v>
      </c>
      <c r="AA100" s="1">
        <v>4</v>
      </c>
      <c r="AB100" s="1">
        <v>4</v>
      </c>
      <c r="AC100" s="1">
        <f>data[[#This Row],[Nilai Kepentingan Dimensi Produk Spesifikasi Jenis Layanan]]-data[[#This Row],[Nilai Kepuasan Dimensi Produk Spesifikasi Jenis Layanan]]</f>
        <v>0</v>
      </c>
      <c r="AD100" s="1">
        <v>4</v>
      </c>
      <c r="AE100" s="1">
        <v>4</v>
      </c>
      <c r="AF100" s="1">
        <f>data[[#This Row],[Nilai Kepentingan Dimensi Kompetensi Pelaksana]]-data[[#This Row],[Nilai Kepuasan Dimensi Kompetensi Pelaksana]]</f>
        <v>0</v>
      </c>
      <c r="AG100" s="1">
        <v>4</v>
      </c>
      <c r="AH100" s="1">
        <v>4</v>
      </c>
      <c r="AI100" s="1">
        <f>data[[#This Row],[Nilai Kepentingan Dimensi Perilaku Pelaksana]]-data[[#This Row],[Nilai Kepuasan Dimensi Perilaku Pelaksana]]</f>
        <v>0</v>
      </c>
      <c r="AJ100" s="1">
        <v>4</v>
      </c>
      <c r="AK100" s="1">
        <v>4</v>
      </c>
      <c r="AL100" s="1">
        <f>data[[#This Row],[Nilai Kepentingan Dimensi Penanganan Pengaduan, Saran &amp; Masukan]]-data[[#This Row],[Nilai Kepuasan Dimensi Penanganan Pengaduan, Saran &amp; Masukan]]</f>
        <v>0</v>
      </c>
      <c r="AM100" s="1">
        <v>3</v>
      </c>
      <c r="AN100" s="1">
        <v>4</v>
      </c>
      <c r="AO100" s="1">
        <f>data[[#This Row],[Nilai Kepentingan Dimensi Kualitas Sarana dan Prasarana]]-data[[#This Row],[Nilai Kepuasan Dimensi Kualitas Sarana dan Prasarana]]</f>
        <v>1</v>
      </c>
      <c r="AP100" s="1">
        <v>0</v>
      </c>
      <c r="AQ100" s="1" t="s">
        <v>69</v>
      </c>
      <c r="AR100" s="1">
        <v>0</v>
      </c>
      <c r="AS100" s="1" t="s">
        <v>69</v>
      </c>
      <c r="AT100" s="1">
        <v>3</v>
      </c>
      <c r="AU100" s="1" t="s">
        <v>69</v>
      </c>
      <c r="AV100" s="1" t="s">
        <v>83</v>
      </c>
      <c r="AW100" s="1" t="s">
        <v>96</v>
      </c>
      <c r="AX100" s="1">
        <v>0</v>
      </c>
      <c r="AY100" s="1">
        <v>0</v>
      </c>
      <c r="AZ100" s="1" t="s">
        <v>801</v>
      </c>
      <c r="BA100" s="1" t="s">
        <v>79</v>
      </c>
      <c r="BB100" s="1" t="s">
        <v>248</v>
      </c>
      <c r="BC100" s="1" t="s">
        <v>79</v>
      </c>
      <c r="BD100" s="1" t="s">
        <v>802</v>
      </c>
      <c r="BE100" s="1" t="s">
        <v>79</v>
      </c>
      <c r="BF100" s="5" t="s">
        <v>278</v>
      </c>
    </row>
    <row r="101" spans="1:58" x14ac:dyDescent="0.35">
      <c r="A101" s="4">
        <v>100</v>
      </c>
      <c r="B101" s="1" t="s">
        <v>803</v>
      </c>
      <c r="C101" s="1" t="s">
        <v>63</v>
      </c>
      <c r="D101" s="1" t="s">
        <v>63</v>
      </c>
      <c r="E101" s="1" t="s">
        <v>69</v>
      </c>
      <c r="F101" s="1" t="s">
        <v>69</v>
      </c>
      <c r="G101" s="1" t="s">
        <v>69</v>
      </c>
      <c r="H101" s="1" t="s">
        <v>69</v>
      </c>
      <c r="I101" s="1" t="s">
        <v>70</v>
      </c>
      <c r="J101" s="1" t="s">
        <v>107</v>
      </c>
      <c r="K101" s="1">
        <v>36</v>
      </c>
      <c r="L101" s="1" t="s">
        <v>153</v>
      </c>
      <c r="M101" s="1" t="s">
        <v>93</v>
      </c>
      <c r="N101" s="1" t="s">
        <v>74</v>
      </c>
      <c r="O101" s="1">
        <v>3</v>
      </c>
      <c r="P101" s="1">
        <v>3</v>
      </c>
      <c r="Q101" s="1">
        <f>data[[#This Row],[Nilai Kepentingan Dimensi Persyaratan]]-data[[#This Row],[Nilai Kepuasan Dimensi Persyaratan]]</f>
        <v>0</v>
      </c>
      <c r="R101" s="1">
        <v>3</v>
      </c>
      <c r="S101" s="1">
        <v>3</v>
      </c>
      <c r="T101" s="1">
        <f>data[[#This Row],[Nilai Kepentingan Dimensi Prosedur]]-data[[#This Row],[Nilai Kepuasan Dimensi Prosedur]]</f>
        <v>0</v>
      </c>
      <c r="U101" s="1">
        <v>3</v>
      </c>
      <c r="V101" s="1">
        <v>3</v>
      </c>
      <c r="W101" s="1">
        <f>data[[#This Row],[Nilai Kepentingan Dimensi Waktu Pelayanan/Penyelesaian]]-data[[#This Row],[Nilai Kepuasan Dimensi Waktu Pelayanan/Penyelesaian]]</f>
        <v>0</v>
      </c>
      <c r="X101" s="1">
        <v>0</v>
      </c>
      <c r="Y101" s="1">
        <v>0</v>
      </c>
      <c r="Z101" s="1">
        <f>data[[#This Row],[Nilai Kepentingan Dimensi Tarif/ Biaya]]-data[[#This Row],[Nilai Kepuasan Dimensi Tarif / Biaya]]</f>
        <v>0</v>
      </c>
      <c r="AA101" s="1">
        <v>3</v>
      </c>
      <c r="AB101" s="1">
        <v>3</v>
      </c>
      <c r="AC101" s="1">
        <f>data[[#This Row],[Nilai Kepentingan Dimensi Produk Spesifikasi Jenis Layanan]]-data[[#This Row],[Nilai Kepuasan Dimensi Produk Spesifikasi Jenis Layanan]]</f>
        <v>0</v>
      </c>
      <c r="AD101" s="1">
        <v>2</v>
      </c>
      <c r="AE101" s="1">
        <v>4</v>
      </c>
      <c r="AF101" s="1">
        <f>data[[#This Row],[Nilai Kepentingan Dimensi Kompetensi Pelaksana]]-data[[#This Row],[Nilai Kepuasan Dimensi Kompetensi Pelaksana]]</f>
        <v>2</v>
      </c>
      <c r="AG101" s="1">
        <v>3</v>
      </c>
      <c r="AH101" s="1">
        <v>3</v>
      </c>
      <c r="AI101" s="1">
        <f>data[[#This Row],[Nilai Kepentingan Dimensi Perilaku Pelaksana]]-data[[#This Row],[Nilai Kepuasan Dimensi Perilaku Pelaksana]]</f>
        <v>0</v>
      </c>
      <c r="AJ101" s="1">
        <v>1</v>
      </c>
      <c r="AK101" s="1">
        <v>3</v>
      </c>
      <c r="AL101" s="1">
        <f>data[[#This Row],[Nilai Kepentingan Dimensi Penanganan Pengaduan, Saran &amp; Masukan]]-data[[#This Row],[Nilai Kepuasan Dimensi Penanganan Pengaduan, Saran &amp; Masukan]]</f>
        <v>2</v>
      </c>
      <c r="AM101" s="1">
        <v>2</v>
      </c>
      <c r="AN101" s="1">
        <v>3</v>
      </c>
      <c r="AO101" s="1">
        <f>data[[#This Row],[Nilai Kepentingan Dimensi Kualitas Sarana dan Prasarana]]-data[[#This Row],[Nilai Kepuasan Dimensi Kualitas Sarana dan Prasarana]]</f>
        <v>1</v>
      </c>
      <c r="AP101" s="1">
        <v>0</v>
      </c>
      <c r="AQ101" s="1" t="s">
        <v>69</v>
      </c>
      <c r="AR101" s="1">
        <v>0</v>
      </c>
      <c r="AS101" s="1" t="s">
        <v>69</v>
      </c>
      <c r="AT101" s="1">
        <v>2</v>
      </c>
      <c r="AU101" s="1" t="s">
        <v>75</v>
      </c>
      <c r="AV101" s="1" t="s">
        <v>808</v>
      </c>
      <c r="AW101" s="1" t="s">
        <v>186</v>
      </c>
      <c r="AX101" s="1">
        <v>0</v>
      </c>
      <c r="AY101" s="1">
        <v>0</v>
      </c>
      <c r="AZ101" s="1" t="s">
        <v>809</v>
      </c>
      <c r="BA101" s="1" t="s">
        <v>452</v>
      </c>
      <c r="BB101" s="1" t="s">
        <v>810</v>
      </c>
      <c r="BC101" s="1" t="s">
        <v>811</v>
      </c>
      <c r="BD101" s="1" t="s">
        <v>812</v>
      </c>
      <c r="BE101" s="1" t="s">
        <v>813</v>
      </c>
      <c r="BF101" s="5" t="s">
        <v>814</v>
      </c>
    </row>
    <row r="102" spans="1:58" x14ac:dyDescent="0.35">
      <c r="A102" s="4">
        <v>101</v>
      </c>
      <c r="B102" s="1" t="s">
        <v>815</v>
      </c>
      <c r="C102" s="1" t="s">
        <v>63</v>
      </c>
      <c r="D102" s="1" t="s">
        <v>416</v>
      </c>
      <c r="E102" s="1" t="s">
        <v>69</v>
      </c>
      <c r="F102" s="1" t="s">
        <v>69</v>
      </c>
      <c r="G102" s="1" t="s">
        <v>69</v>
      </c>
      <c r="H102" s="1" t="s">
        <v>69</v>
      </c>
      <c r="I102" s="1" t="s">
        <v>70</v>
      </c>
      <c r="J102" s="1" t="s">
        <v>271</v>
      </c>
      <c r="K102" s="1">
        <v>22</v>
      </c>
      <c r="L102" s="1" t="s">
        <v>72</v>
      </c>
      <c r="M102" s="1" t="s">
        <v>93</v>
      </c>
      <c r="N102" s="1" t="s">
        <v>133</v>
      </c>
      <c r="O102" s="1">
        <v>3</v>
      </c>
      <c r="P102" s="1">
        <v>4</v>
      </c>
      <c r="Q102" s="1">
        <f>data[[#This Row],[Nilai Kepentingan Dimensi Persyaratan]]-data[[#This Row],[Nilai Kepuasan Dimensi Persyaratan]]</f>
        <v>1</v>
      </c>
      <c r="R102" s="1">
        <v>3</v>
      </c>
      <c r="S102" s="1">
        <v>4</v>
      </c>
      <c r="T102" s="1">
        <f>data[[#This Row],[Nilai Kepentingan Dimensi Prosedur]]-data[[#This Row],[Nilai Kepuasan Dimensi Prosedur]]</f>
        <v>1</v>
      </c>
      <c r="U102" s="1">
        <v>4</v>
      </c>
      <c r="V102" s="1">
        <v>4</v>
      </c>
      <c r="W102" s="1">
        <f>data[[#This Row],[Nilai Kepentingan Dimensi Waktu Pelayanan/Penyelesaian]]-data[[#This Row],[Nilai Kepuasan Dimensi Waktu Pelayanan/Penyelesaian]]</f>
        <v>0</v>
      </c>
      <c r="X102" s="1">
        <v>4</v>
      </c>
      <c r="Y102" s="1">
        <v>0</v>
      </c>
      <c r="Z102" s="1">
        <f>data[[#This Row],[Nilai Kepentingan Dimensi Tarif/ Biaya]]-data[[#This Row],[Nilai Kepuasan Dimensi Tarif / Biaya]]</f>
        <v>-4</v>
      </c>
      <c r="AA102" s="1">
        <v>3</v>
      </c>
      <c r="AB102" s="1">
        <v>4</v>
      </c>
      <c r="AC102" s="1">
        <f>data[[#This Row],[Nilai Kepentingan Dimensi Produk Spesifikasi Jenis Layanan]]-data[[#This Row],[Nilai Kepuasan Dimensi Produk Spesifikasi Jenis Layanan]]</f>
        <v>1</v>
      </c>
      <c r="AD102" s="1">
        <v>4</v>
      </c>
      <c r="AE102" s="1">
        <v>4</v>
      </c>
      <c r="AF102" s="1">
        <f>data[[#This Row],[Nilai Kepentingan Dimensi Kompetensi Pelaksana]]-data[[#This Row],[Nilai Kepuasan Dimensi Kompetensi Pelaksana]]</f>
        <v>0</v>
      </c>
      <c r="AG102" s="1">
        <v>4</v>
      </c>
      <c r="AH102" s="1">
        <v>4</v>
      </c>
      <c r="AI102" s="1">
        <f>data[[#This Row],[Nilai Kepentingan Dimensi Perilaku Pelaksana]]-data[[#This Row],[Nilai Kepuasan Dimensi Perilaku Pelaksana]]</f>
        <v>0</v>
      </c>
      <c r="AJ102" s="1">
        <v>3</v>
      </c>
      <c r="AK102" s="1">
        <v>4</v>
      </c>
      <c r="AL102" s="1">
        <f>data[[#This Row],[Nilai Kepentingan Dimensi Penanganan Pengaduan, Saran &amp; Masukan]]-data[[#This Row],[Nilai Kepuasan Dimensi Penanganan Pengaduan, Saran &amp; Masukan]]</f>
        <v>1</v>
      </c>
      <c r="AM102" s="1">
        <v>3</v>
      </c>
      <c r="AN102" s="1">
        <v>3</v>
      </c>
      <c r="AO102" s="1">
        <f>data[[#This Row],[Nilai Kepentingan Dimensi Kualitas Sarana dan Prasarana]]-data[[#This Row],[Nilai Kepuasan Dimensi Kualitas Sarana dan Prasarana]]</f>
        <v>0</v>
      </c>
      <c r="AP102" s="1">
        <v>4</v>
      </c>
      <c r="AQ102" s="1" t="s">
        <v>69</v>
      </c>
      <c r="AR102" s="1">
        <v>0</v>
      </c>
      <c r="AS102" s="1" t="s">
        <v>69</v>
      </c>
      <c r="AT102" s="1">
        <v>0</v>
      </c>
      <c r="AU102" s="1" t="s">
        <v>69</v>
      </c>
      <c r="AV102" s="1" t="s">
        <v>83</v>
      </c>
      <c r="AW102" s="1" t="s">
        <v>96</v>
      </c>
      <c r="AX102" s="1">
        <v>0</v>
      </c>
      <c r="AY102" s="1">
        <v>0</v>
      </c>
      <c r="AZ102" s="1" t="s">
        <v>820</v>
      </c>
      <c r="BA102" s="1" t="s">
        <v>227</v>
      </c>
      <c r="BB102" s="1" t="s">
        <v>98</v>
      </c>
      <c r="BC102" s="1" t="s">
        <v>99</v>
      </c>
      <c r="BD102" s="1" t="s">
        <v>821</v>
      </c>
      <c r="BE102" s="1" t="s">
        <v>146</v>
      </c>
      <c r="BF102" s="5" t="s">
        <v>98</v>
      </c>
    </row>
    <row r="103" spans="1:58" x14ac:dyDescent="0.35">
      <c r="A103" s="4">
        <v>102</v>
      </c>
      <c r="B103" s="1" t="s">
        <v>822</v>
      </c>
      <c r="C103" s="1" t="s">
        <v>63</v>
      </c>
      <c r="D103" s="1" t="s">
        <v>179</v>
      </c>
      <c r="E103" s="1" t="s">
        <v>69</v>
      </c>
      <c r="F103" s="1" t="s">
        <v>69</v>
      </c>
      <c r="G103" s="1" t="s">
        <v>69</v>
      </c>
      <c r="H103" s="1" t="s">
        <v>69</v>
      </c>
      <c r="I103" s="1" t="s">
        <v>106</v>
      </c>
      <c r="J103" s="1" t="s">
        <v>271</v>
      </c>
      <c r="K103" s="1">
        <v>44</v>
      </c>
      <c r="L103" s="1" t="s">
        <v>197</v>
      </c>
      <c r="M103" s="1" t="s">
        <v>273</v>
      </c>
      <c r="N103" s="1" t="s">
        <v>74</v>
      </c>
      <c r="O103" s="1">
        <v>3</v>
      </c>
      <c r="P103" s="1">
        <v>3</v>
      </c>
      <c r="Q103" s="1">
        <f>data[[#This Row],[Nilai Kepentingan Dimensi Persyaratan]]-data[[#This Row],[Nilai Kepuasan Dimensi Persyaratan]]</f>
        <v>0</v>
      </c>
      <c r="R103" s="1">
        <v>3</v>
      </c>
      <c r="S103" s="1">
        <v>3</v>
      </c>
      <c r="T103" s="1">
        <f>data[[#This Row],[Nilai Kepentingan Dimensi Prosedur]]-data[[#This Row],[Nilai Kepuasan Dimensi Prosedur]]</f>
        <v>0</v>
      </c>
      <c r="U103" s="1">
        <v>3</v>
      </c>
      <c r="V103" s="1">
        <v>3</v>
      </c>
      <c r="W103" s="1">
        <f>data[[#This Row],[Nilai Kepentingan Dimensi Waktu Pelayanan/Penyelesaian]]-data[[#This Row],[Nilai Kepuasan Dimensi Waktu Pelayanan/Penyelesaian]]</f>
        <v>0</v>
      </c>
      <c r="X103" s="1">
        <v>3</v>
      </c>
      <c r="Y103" s="1">
        <v>3</v>
      </c>
      <c r="Z103" s="1">
        <f>data[[#This Row],[Nilai Kepentingan Dimensi Tarif/ Biaya]]-data[[#This Row],[Nilai Kepuasan Dimensi Tarif / Biaya]]</f>
        <v>0</v>
      </c>
      <c r="AA103" s="1">
        <v>3</v>
      </c>
      <c r="AB103" s="1">
        <v>3</v>
      </c>
      <c r="AC103" s="1">
        <f>data[[#This Row],[Nilai Kepentingan Dimensi Produk Spesifikasi Jenis Layanan]]-data[[#This Row],[Nilai Kepuasan Dimensi Produk Spesifikasi Jenis Layanan]]</f>
        <v>0</v>
      </c>
      <c r="AD103" s="1">
        <v>3</v>
      </c>
      <c r="AE103" s="1">
        <v>3</v>
      </c>
      <c r="AF103" s="1">
        <f>data[[#This Row],[Nilai Kepentingan Dimensi Kompetensi Pelaksana]]-data[[#This Row],[Nilai Kepuasan Dimensi Kompetensi Pelaksana]]</f>
        <v>0</v>
      </c>
      <c r="AG103" s="1">
        <v>3</v>
      </c>
      <c r="AH103" s="1">
        <v>3</v>
      </c>
      <c r="AI103" s="1">
        <f>data[[#This Row],[Nilai Kepentingan Dimensi Perilaku Pelaksana]]-data[[#This Row],[Nilai Kepuasan Dimensi Perilaku Pelaksana]]</f>
        <v>0</v>
      </c>
      <c r="AJ103" s="1">
        <v>3</v>
      </c>
      <c r="AK103" s="1">
        <v>3</v>
      </c>
      <c r="AL103" s="1">
        <f>data[[#This Row],[Nilai Kepentingan Dimensi Penanganan Pengaduan, Saran &amp; Masukan]]-data[[#This Row],[Nilai Kepuasan Dimensi Penanganan Pengaduan, Saran &amp; Masukan]]</f>
        <v>0</v>
      </c>
      <c r="AM103" s="1">
        <v>3</v>
      </c>
      <c r="AN103" s="1">
        <v>3</v>
      </c>
      <c r="AO103" s="1">
        <f>data[[#This Row],[Nilai Kepentingan Dimensi Kualitas Sarana dan Prasarana]]-data[[#This Row],[Nilai Kepuasan Dimensi Kualitas Sarana dan Prasarana]]</f>
        <v>0</v>
      </c>
      <c r="AP103" s="1">
        <v>0</v>
      </c>
      <c r="AQ103" s="1" t="s">
        <v>69</v>
      </c>
      <c r="AR103" s="1">
        <v>0</v>
      </c>
      <c r="AS103" s="1" t="s">
        <v>69</v>
      </c>
      <c r="AT103" s="1">
        <v>3</v>
      </c>
      <c r="AU103" s="1" t="s">
        <v>69</v>
      </c>
      <c r="AV103" s="1" t="s">
        <v>83</v>
      </c>
      <c r="AW103" s="1" t="s">
        <v>96</v>
      </c>
      <c r="AX103" s="1">
        <v>0</v>
      </c>
      <c r="AY103" s="1">
        <v>0</v>
      </c>
      <c r="AZ103" s="1" t="s">
        <v>827</v>
      </c>
      <c r="BA103" s="1" t="s">
        <v>235</v>
      </c>
      <c r="BB103" s="1" t="s">
        <v>98</v>
      </c>
      <c r="BC103" s="1" t="s">
        <v>99</v>
      </c>
      <c r="BD103" s="1" t="s">
        <v>98</v>
      </c>
      <c r="BE103" s="1" t="s">
        <v>99</v>
      </c>
      <c r="BF103" s="5" t="s">
        <v>98</v>
      </c>
    </row>
    <row r="104" spans="1:58" x14ac:dyDescent="0.35">
      <c r="A104" s="4">
        <v>103</v>
      </c>
      <c r="B104" s="1" t="s">
        <v>828</v>
      </c>
      <c r="C104" s="1" t="s">
        <v>63</v>
      </c>
      <c r="D104" s="1" t="s">
        <v>179</v>
      </c>
      <c r="E104" s="1" t="s">
        <v>69</v>
      </c>
      <c r="F104" s="1" t="s">
        <v>69</v>
      </c>
      <c r="G104" s="1" t="s">
        <v>69</v>
      </c>
      <c r="H104" s="1" t="s">
        <v>69</v>
      </c>
      <c r="I104" s="1" t="s">
        <v>106</v>
      </c>
      <c r="J104" s="1" t="s">
        <v>107</v>
      </c>
      <c r="K104" s="1">
        <v>59</v>
      </c>
      <c r="L104" s="1" t="s">
        <v>182</v>
      </c>
      <c r="M104" s="1" t="s">
        <v>254</v>
      </c>
      <c r="N104" s="1" t="s">
        <v>110</v>
      </c>
      <c r="O104" s="1">
        <v>3</v>
      </c>
      <c r="P104" s="1">
        <v>3</v>
      </c>
      <c r="Q104" s="1">
        <f>data[[#This Row],[Nilai Kepentingan Dimensi Persyaratan]]-data[[#This Row],[Nilai Kepuasan Dimensi Persyaratan]]</f>
        <v>0</v>
      </c>
      <c r="R104" s="1">
        <v>3</v>
      </c>
      <c r="S104" s="1">
        <v>3</v>
      </c>
      <c r="T104" s="1">
        <f>data[[#This Row],[Nilai Kepentingan Dimensi Prosedur]]-data[[#This Row],[Nilai Kepuasan Dimensi Prosedur]]</f>
        <v>0</v>
      </c>
      <c r="U104" s="1">
        <v>3</v>
      </c>
      <c r="V104" s="1">
        <v>3</v>
      </c>
      <c r="W104" s="1">
        <f>data[[#This Row],[Nilai Kepentingan Dimensi Waktu Pelayanan/Penyelesaian]]-data[[#This Row],[Nilai Kepuasan Dimensi Waktu Pelayanan/Penyelesaian]]</f>
        <v>0</v>
      </c>
      <c r="X104" s="1">
        <v>0</v>
      </c>
      <c r="Y104" s="1">
        <v>0</v>
      </c>
      <c r="Z104" s="1">
        <f>data[[#This Row],[Nilai Kepentingan Dimensi Tarif/ Biaya]]-data[[#This Row],[Nilai Kepuasan Dimensi Tarif / Biaya]]</f>
        <v>0</v>
      </c>
      <c r="AA104" s="1">
        <v>3</v>
      </c>
      <c r="AB104" s="1">
        <v>4</v>
      </c>
      <c r="AC104" s="1">
        <f>data[[#This Row],[Nilai Kepentingan Dimensi Produk Spesifikasi Jenis Layanan]]-data[[#This Row],[Nilai Kepuasan Dimensi Produk Spesifikasi Jenis Layanan]]</f>
        <v>1</v>
      </c>
      <c r="AD104" s="1">
        <v>3</v>
      </c>
      <c r="AE104" s="1">
        <v>4</v>
      </c>
      <c r="AF104" s="1">
        <f>data[[#This Row],[Nilai Kepentingan Dimensi Kompetensi Pelaksana]]-data[[#This Row],[Nilai Kepuasan Dimensi Kompetensi Pelaksana]]</f>
        <v>1</v>
      </c>
      <c r="AG104" s="1">
        <v>3</v>
      </c>
      <c r="AH104" s="1">
        <v>4</v>
      </c>
      <c r="AI104" s="1">
        <f>data[[#This Row],[Nilai Kepentingan Dimensi Perilaku Pelaksana]]-data[[#This Row],[Nilai Kepuasan Dimensi Perilaku Pelaksana]]</f>
        <v>1</v>
      </c>
      <c r="AJ104" s="1">
        <v>3</v>
      </c>
      <c r="AK104" s="1">
        <v>4</v>
      </c>
      <c r="AL104" s="1">
        <f>data[[#This Row],[Nilai Kepentingan Dimensi Penanganan Pengaduan, Saran &amp; Masukan]]-data[[#This Row],[Nilai Kepuasan Dimensi Penanganan Pengaduan, Saran &amp; Masukan]]</f>
        <v>1</v>
      </c>
      <c r="AM104" s="1">
        <v>3</v>
      </c>
      <c r="AN104" s="1">
        <v>4</v>
      </c>
      <c r="AO104" s="1">
        <f>data[[#This Row],[Nilai Kepentingan Dimensi Kualitas Sarana dan Prasarana]]-data[[#This Row],[Nilai Kepuasan Dimensi Kualitas Sarana dan Prasarana]]</f>
        <v>1</v>
      </c>
      <c r="AP104" s="1">
        <v>0</v>
      </c>
      <c r="AQ104" s="1" t="s">
        <v>75</v>
      </c>
      <c r="AR104" s="1">
        <v>0</v>
      </c>
      <c r="AS104" s="1" t="s">
        <v>69</v>
      </c>
      <c r="AT104" s="1">
        <v>0</v>
      </c>
      <c r="AU104" s="1" t="s">
        <v>69</v>
      </c>
      <c r="AV104" s="1" t="s">
        <v>832</v>
      </c>
      <c r="AW104" s="1" t="s">
        <v>144</v>
      </c>
      <c r="AX104" s="1">
        <v>2</v>
      </c>
      <c r="AY104" s="1">
        <v>3</v>
      </c>
      <c r="AZ104" s="1" t="s">
        <v>833</v>
      </c>
      <c r="BA104" s="1" t="s">
        <v>235</v>
      </c>
      <c r="BB104" s="1" t="s">
        <v>278</v>
      </c>
      <c r="BC104" s="1" t="s">
        <v>79</v>
      </c>
      <c r="BD104" s="1" t="s">
        <v>802</v>
      </c>
      <c r="BE104" s="1" t="s">
        <v>79</v>
      </c>
      <c r="BF104" s="5" t="s">
        <v>834</v>
      </c>
    </row>
    <row r="105" spans="1:58" x14ac:dyDescent="0.35">
      <c r="A105" s="4">
        <v>104</v>
      </c>
      <c r="B105" s="1" t="s">
        <v>835</v>
      </c>
      <c r="C105" s="1" t="s">
        <v>63</v>
      </c>
      <c r="D105" s="1" t="s">
        <v>179</v>
      </c>
      <c r="E105" s="1" t="s">
        <v>69</v>
      </c>
      <c r="F105" s="1" t="s">
        <v>69</v>
      </c>
      <c r="G105" s="1" t="s">
        <v>69</v>
      </c>
      <c r="H105" s="1" t="s">
        <v>69</v>
      </c>
      <c r="I105" s="1" t="s">
        <v>106</v>
      </c>
      <c r="J105" s="1" t="s">
        <v>271</v>
      </c>
      <c r="K105" s="1">
        <v>19</v>
      </c>
      <c r="L105" s="1" t="s">
        <v>131</v>
      </c>
      <c r="M105" s="1" t="s">
        <v>73</v>
      </c>
      <c r="N105" s="1" t="s">
        <v>133</v>
      </c>
      <c r="O105" s="1">
        <v>4</v>
      </c>
      <c r="P105" s="1">
        <v>4</v>
      </c>
      <c r="Q105" s="1">
        <f>data[[#This Row],[Nilai Kepentingan Dimensi Persyaratan]]-data[[#This Row],[Nilai Kepuasan Dimensi Persyaratan]]</f>
        <v>0</v>
      </c>
      <c r="R105" s="1">
        <v>4</v>
      </c>
      <c r="S105" s="1">
        <v>4</v>
      </c>
      <c r="T105" s="1">
        <f>data[[#This Row],[Nilai Kepentingan Dimensi Prosedur]]-data[[#This Row],[Nilai Kepuasan Dimensi Prosedur]]</f>
        <v>0</v>
      </c>
      <c r="U105" s="1">
        <v>3</v>
      </c>
      <c r="V105" s="1">
        <v>4</v>
      </c>
      <c r="W105" s="1">
        <f>data[[#This Row],[Nilai Kepentingan Dimensi Waktu Pelayanan/Penyelesaian]]-data[[#This Row],[Nilai Kepuasan Dimensi Waktu Pelayanan/Penyelesaian]]</f>
        <v>1</v>
      </c>
      <c r="X105" s="1">
        <v>4</v>
      </c>
      <c r="Y105" s="1">
        <v>4</v>
      </c>
      <c r="Z105" s="1">
        <f>data[[#This Row],[Nilai Kepentingan Dimensi Tarif/ Biaya]]-data[[#This Row],[Nilai Kepuasan Dimensi Tarif / Biaya]]</f>
        <v>0</v>
      </c>
      <c r="AA105" s="1">
        <v>4</v>
      </c>
      <c r="AB105" s="1">
        <v>4</v>
      </c>
      <c r="AC105" s="1">
        <f>data[[#This Row],[Nilai Kepentingan Dimensi Produk Spesifikasi Jenis Layanan]]-data[[#This Row],[Nilai Kepuasan Dimensi Produk Spesifikasi Jenis Layanan]]</f>
        <v>0</v>
      </c>
      <c r="AD105" s="1">
        <v>3</v>
      </c>
      <c r="AE105" s="1">
        <v>4</v>
      </c>
      <c r="AF105" s="1">
        <f>data[[#This Row],[Nilai Kepentingan Dimensi Kompetensi Pelaksana]]-data[[#This Row],[Nilai Kepuasan Dimensi Kompetensi Pelaksana]]</f>
        <v>1</v>
      </c>
      <c r="AG105" s="1">
        <v>4</v>
      </c>
      <c r="AH105" s="1">
        <v>4</v>
      </c>
      <c r="AI105" s="1">
        <f>data[[#This Row],[Nilai Kepentingan Dimensi Perilaku Pelaksana]]-data[[#This Row],[Nilai Kepuasan Dimensi Perilaku Pelaksana]]</f>
        <v>0</v>
      </c>
      <c r="AJ105" s="1">
        <v>4</v>
      </c>
      <c r="AK105" s="1">
        <v>4</v>
      </c>
      <c r="AL105" s="1">
        <f>data[[#This Row],[Nilai Kepentingan Dimensi Penanganan Pengaduan, Saran &amp; Masukan]]-data[[#This Row],[Nilai Kepuasan Dimensi Penanganan Pengaduan, Saran &amp; Masukan]]</f>
        <v>0</v>
      </c>
      <c r="AM105" s="1">
        <v>4</v>
      </c>
      <c r="AN105" s="1">
        <v>4</v>
      </c>
      <c r="AO105" s="1">
        <f>data[[#This Row],[Nilai Kepentingan Dimensi Kualitas Sarana dan Prasarana]]-data[[#This Row],[Nilai Kepuasan Dimensi Kualitas Sarana dan Prasarana]]</f>
        <v>0</v>
      </c>
      <c r="AP105" s="1">
        <v>0</v>
      </c>
      <c r="AQ105" s="1" t="s">
        <v>69</v>
      </c>
      <c r="AR105" s="1">
        <v>0</v>
      </c>
      <c r="AS105" s="1" t="s">
        <v>69</v>
      </c>
      <c r="AT105" s="1">
        <v>0</v>
      </c>
      <c r="AU105" s="1" t="s">
        <v>75</v>
      </c>
      <c r="AV105" s="1" t="s">
        <v>840</v>
      </c>
      <c r="AW105" s="1" t="s">
        <v>77</v>
      </c>
      <c r="AX105" s="1">
        <v>1</v>
      </c>
      <c r="AY105" s="1">
        <v>4</v>
      </c>
      <c r="AZ105" s="1" t="s">
        <v>841</v>
      </c>
      <c r="BA105" s="1" t="s">
        <v>112</v>
      </c>
      <c r="BB105" s="1" t="s">
        <v>98</v>
      </c>
      <c r="BC105" s="1" t="s">
        <v>99</v>
      </c>
      <c r="BD105" s="1" t="s">
        <v>98</v>
      </c>
      <c r="BE105" s="1" t="s">
        <v>99</v>
      </c>
      <c r="BF105" s="5" t="s">
        <v>98</v>
      </c>
    </row>
    <row r="106" spans="1:58" x14ac:dyDescent="0.35">
      <c r="A106" s="4">
        <v>105</v>
      </c>
      <c r="B106" s="1" t="s">
        <v>842</v>
      </c>
      <c r="C106" s="1" t="s">
        <v>63</v>
      </c>
      <c r="D106" s="1" t="s">
        <v>240</v>
      </c>
      <c r="E106" s="1" t="s">
        <v>69</v>
      </c>
      <c r="F106" s="1" t="s">
        <v>69</v>
      </c>
      <c r="G106" s="1" t="s">
        <v>69</v>
      </c>
      <c r="H106" s="1" t="s">
        <v>69</v>
      </c>
      <c r="I106" s="1" t="s">
        <v>70</v>
      </c>
      <c r="J106" s="1" t="s">
        <v>107</v>
      </c>
      <c r="K106" s="1">
        <v>27</v>
      </c>
      <c r="L106" s="1" t="s">
        <v>92</v>
      </c>
      <c r="M106" s="1" t="s">
        <v>73</v>
      </c>
      <c r="N106" s="1" t="s">
        <v>110</v>
      </c>
      <c r="O106" s="1">
        <v>3</v>
      </c>
      <c r="P106" s="1">
        <v>4</v>
      </c>
      <c r="Q106" s="1">
        <f>data[[#This Row],[Nilai Kepentingan Dimensi Persyaratan]]-data[[#This Row],[Nilai Kepuasan Dimensi Persyaratan]]</f>
        <v>1</v>
      </c>
      <c r="R106" s="1">
        <v>3</v>
      </c>
      <c r="S106" s="1">
        <v>4</v>
      </c>
      <c r="T106" s="1">
        <f>data[[#This Row],[Nilai Kepentingan Dimensi Prosedur]]-data[[#This Row],[Nilai Kepuasan Dimensi Prosedur]]</f>
        <v>1</v>
      </c>
      <c r="U106" s="1">
        <v>4</v>
      </c>
      <c r="V106" s="1">
        <v>4</v>
      </c>
      <c r="W106" s="1">
        <f>data[[#This Row],[Nilai Kepentingan Dimensi Waktu Pelayanan/Penyelesaian]]-data[[#This Row],[Nilai Kepuasan Dimensi Waktu Pelayanan/Penyelesaian]]</f>
        <v>0</v>
      </c>
      <c r="X106" s="1">
        <v>0</v>
      </c>
      <c r="Y106" s="1">
        <v>0</v>
      </c>
      <c r="Z106" s="1">
        <f>data[[#This Row],[Nilai Kepentingan Dimensi Tarif/ Biaya]]-data[[#This Row],[Nilai Kepuasan Dimensi Tarif / Biaya]]</f>
        <v>0</v>
      </c>
      <c r="AA106" s="1">
        <v>4</v>
      </c>
      <c r="AB106" s="1">
        <v>4</v>
      </c>
      <c r="AC106" s="1">
        <f>data[[#This Row],[Nilai Kepentingan Dimensi Produk Spesifikasi Jenis Layanan]]-data[[#This Row],[Nilai Kepuasan Dimensi Produk Spesifikasi Jenis Layanan]]</f>
        <v>0</v>
      </c>
      <c r="AD106" s="1">
        <v>4</v>
      </c>
      <c r="AE106" s="1">
        <v>4</v>
      </c>
      <c r="AF106" s="1">
        <f>data[[#This Row],[Nilai Kepentingan Dimensi Kompetensi Pelaksana]]-data[[#This Row],[Nilai Kepuasan Dimensi Kompetensi Pelaksana]]</f>
        <v>0</v>
      </c>
      <c r="AG106" s="1">
        <v>3</v>
      </c>
      <c r="AH106" s="1">
        <v>4</v>
      </c>
      <c r="AI106" s="1">
        <f>data[[#This Row],[Nilai Kepentingan Dimensi Perilaku Pelaksana]]-data[[#This Row],[Nilai Kepuasan Dimensi Perilaku Pelaksana]]</f>
        <v>1</v>
      </c>
      <c r="AJ106" s="1">
        <v>2</v>
      </c>
      <c r="AK106" s="1">
        <v>2</v>
      </c>
      <c r="AL106" s="1">
        <f>data[[#This Row],[Nilai Kepentingan Dimensi Penanganan Pengaduan, Saran &amp; Masukan]]-data[[#This Row],[Nilai Kepuasan Dimensi Penanganan Pengaduan, Saran &amp; Masukan]]</f>
        <v>0</v>
      </c>
      <c r="AM106" s="1">
        <v>3</v>
      </c>
      <c r="AN106" s="1">
        <v>3</v>
      </c>
      <c r="AO106" s="1">
        <f>data[[#This Row],[Nilai Kepentingan Dimensi Kualitas Sarana dan Prasarana]]-data[[#This Row],[Nilai Kepuasan Dimensi Kualitas Sarana dan Prasarana]]</f>
        <v>0</v>
      </c>
      <c r="AP106" s="1">
        <v>0</v>
      </c>
      <c r="AQ106" s="1" t="s">
        <v>75</v>
      </c>
      <c r="AR106" s="1">
        <v>0</v>
      </c>
      <c r="AS106" s="1" t="s">
        <v>69</v>
      </c>
      <c r="AT106" s="1">
        <v>0</v>
      </c>
      <c r="AU106" s="1" t="s">
        <v>69</v>
      </c>
      <c r="AV106" s="1" t="s">
        <v>846</v>
      </c>
      <c r="AW106" s="1" t="s">
        <v>186</v>
      </c>
      <c r="AX106" s="1">
        <v>2</v>
      </c>
      <c r="AY106" s="1">
        <v>3</v>
      </c>
      <c r="AZ106" s="1" t="s">
        <v>847</v>
      </c>
      <c r="BA106" s="1" t="s">
        <v>433</v>
      </c>
      <c r="BB106" s="1" t="s">
        <v>503</v>
      </c>
      <c r="BC106" s="1" t="s">
        <v>79</v>
      </c>
      <c r="BD106" s="1" t="s">
        <v>503</v>
      </c>
      <c r="BE106" s="1" t="s">
        <v>79</v>
      </c>
      <c r="BF106" s="5" t="s">
        <v>83</v>
      </c>
    </row>
    <row r="107" spans="1:58" x14ac:dyDescent="0.35">
      <c r="A107" s="4">
        <v>106</v>
      </c>
      <c r="B107" s="1" t="s">
        <v>848</v>
      </c>
      <c r="C107" s="1" t="s">
        <v>63</v>
      </c>
      <c r="D107" s="1" t="s">
        <v>338</v>
      </c>
      <c r="E107" s="1" t="s">
        <v>69</v>
      </c>
      <c r="F107" s="1" t="s">
        <v>69</v>
      </c>
      <c r="G107" s="1" t="s">
        <v>69</v>
      </c>
      <c r="H107" s="1" t="s">
        <v>69</v>
      </c>
      <c r="I107" s="1" t="s">
        <v>106</v>
      </c>
      <c r="J107" s="1" t="s">
        <v>292</v>
      </c>
      <c r="K107" s="1">
        <v>18</v>
      </c>
      <c r="L107" s="1" t="s">
        <v>131</v>
      </c>
      <c r="M107" s="1" t="s">
        <v>73</v>
      </c>
      <c r="N107" s="1" t="s">
        <v>133</v>
      </c>
      <c r="O107" s="1">
        <v>4</v>
      </c>
      <c r="P107" s="1">
        <v>4</v>
      </c>
      <c r="Q107" s="1">
        <f>data[[#This Row],[Nilai Kepentingan Dimensi Persyaratan]]-data[[#This Row],[Nilai Kepuasan Dimensi Persyaratan]]</f>
        <v>0</v>
      </c>
      <c r="R107" s="1">
        <v>4</v>
      </c>
      <c r="S107" s="1">
        <v>3</v>
      </c>
      <c r="T107" s="1">
        <f>data[[#This Row],[Nilai Kepentingan Dimensi Prosedur]]-data[[#This Row],[Nilai Kepuasan Dimensi Prosedur]]</f>
        <v>-1</v>
      </c>
      <c r="U107" s="1">
        <v>3</v>
      </c>
      <c r="V107" s="1">
        <v>3</v>
      </c>
      <c r="W107" s="1">
        <f>data[[#This Row],[Nilai Kepentingan Dimensi Waktu Pelayanan/Penyelesaian]]-data[[#This Row],[Nilai Kepuasan Dimensi Waktu Pelayanan/Penyelesaian]]</f>
        <v>0</v>
      </c>
      <c r="X107" s="1">
        <v>3</v>
      </c>
      <c r="Y107" s="1">
        <v>3</v>
      </c>
      <c r="Z107" s="1">
        <f>data[[#This Row],[Nilai Kepentingan Dimensi Tarif/ Biaya]]-data[[#This Row],[Nilai Kepuasan Dimensi Tarif / Biaya]]</f>
        <v>0</v>
      </c>
      <c r="AA107" s="1">
        <v>3</v>
      </c>
      <c r="AB107" s="1">
        <v>4</v>
      </c>
      <c r="AC107" s="1">
        <f>data[[#This Row],[Nilai Kepentingan Dimensi Produk Spesifikasi Jenis Layanan]]-data[[#This Row],[Nilai Kepuasan Dimensi Produk Spesifikasi Jenis Layanan]]</f>
        <v>1</v>
      </c>
      <c r="AD107" s="1">
        <v>4</v>
      </c>
      <c r="AE107" s="1">
        <v>3</v>
      </c>
      <c r="AF107" s="1">
        <f>data[[#This Row],[Nilai Kepentingan Dimensi Kompetensi Pelaksana]]-data[[#This Row],[Nilai Kepuasan Dimensi Kompetensi Pelaksana]]</f>
        <v>-1</v>
      </c>
      <c r="AG107" s="1">
        <v>4</v>
      </c>
      <c r="AH107" s="1">
        <v>4</v>
      </c>
      <c r="AI107" s="1">
        <f>data[[#This Row],[Nilai Kepentingan Dimensi Perilaku Pelaksana]]-data[[#This Row],[Nilai Kepuasan Dimensi Perilaku Pelaksana]]</f>
        <v>0</v>
      </c>
      <c r="AJ107" s="1">
        <v>3</v>
      </c>
      <c r="AK107" s="1">
        <v>3</v>
      </c>
      <c r="AL107" s="1">
        <f>data[[#This Row],[Nilai Kepentingan Dimensi Penanganan Pengaduan, Saran &amp; Masukan]]-data[[#This Row],[Nilai Kepuasan Dimensi Penanganan Pengaduan, Saran &amp; Masukan]]</f>
        <v>0</v>
      </c>
      <c r="AM107" s="1">
        <v>3</v>
      </c>
      <c r="AN107" s="1">
        <v>3</v>
      </c>
      <c r="AO107" s="1">
        <f>data[[#This Row],[Nilai Kepentingan Dimensi Kualitas Sarana dan Prasarana]]-data[[#This Row],[Nilai Kepuasan Dimensi Kualitas Sarana dan Prasarana]]</f>
        <v>0</v>
      </c>
      <c r="AP107" s="1">
        <v>0</v>
      </c>
      <c r="AQ107" s="1" t="s">
        <v>69</v>
      </c>
      <c r="AR107" s="1">
        <v>0</v>
      </c>
      <c r="AS107" s="1" t="s">
        <v>69</v>
      </c>
      <c r="AT107" s="1">
        <v>4</v>
      </c>
      <c r="AU107" s="1" t="s">
        <v>69</v>
      </c>
      <c r="AV107" s="1" t="s">
        <v>83</v>
      </c>
      <c r="AW107" s="1" t="s">
        <v>96</v>
      </c>
      <c r="AX107" s="1">
        <v>0</v>
      </c>
      <c r="AY107" s="1">
        <v>0</v>
      </c>
      <c r="AZ107" s="1" t="s">
        <v>98</v>
      </c>
      <c r="BA107" s="1" t="s">
        <v>99</v>
      </c>
      <c r="BB107" s="1" t="s">
        <v>98</v>
      </c>
      <c r="BC107" s="1" t="s">
        <v>99</v>
      </c>
      <c r="BD107" s="1" t="s">
        <v>98</v>
      </c>
      <c r="BE107" s="1" t="s">
        <v>99</v>
      </c>
      <c r="BF107" s="5" t="s">
        <v>98</v>
      </c>
    </row>
    <row r="108" spans="1:58" x14ac:dyDescent="0.35">
      <c r="A108" s="4">
        <v>107</v>
      </c>
      <c r="B108" s="1" t="s">
        <v>852</v>
      </c>
      <c r="C108" s="1" t="s">
        <v>63</v>
      </c>
      <c r="D108" s="1" t="s">
        <v>125</v>
      </c>
      <c r="E108" s="1" t="s">
        <v>69</v>
      </c>
      <c r="F108" s="1" t="s">
        <v>69</v>
      </c>
      <c r="G108" s="1" t="s">
        <v>69</v>
      </c>
      <c r="H108" s="1" t="s">
        <v>69</v>
      </c>
      <c r="I108" s="1" t="s">
        <v>106</v>
      </c>
      <c r="J108" s="1" t="s">
        <v>107</v>
      </c>
      <c r="K108" s="1">
        <v>24</v>
      </c>
      <c r="L108" s="1" t="s">
        <v>72</v>
      </c>
      <c r="M108" s="1" t="s">
        <v>73</v>
      </c>
      <c r="N108" s="1" t="s">
        <v>74</v>
      </c>
      <c r="O108" s="1">
        <v>4</v>
      </c>
      <c r="P108" s="1">
        <v>3</v>
      </c>
      <c r="Q108" s="1">
        <f>data[[#This Row],[Nilai Kepentingan Dimensi Persyaratan]]-data[[#This Row],[Nilai Kepuasan Dimensi Persyaratan]]</f>
        <v>-1</v>
      </c>
      <c r="R108" s="1">
        <v>3</v>
      </c>
      <c r="S108" s="1">
        <v>3</v>
      </c>
      <c r="T108" s="1">
        <f>data[[#This Row],[Nilai Kepentingan Dimensi Prosedur]]-data[[#This Row],[Nilai Kepuasan Dimensi Prosedur]]</f>
        <v>0</v>
      </c>
      <c r="U108" s="1">
        <v>4</v>
      </c>
      <c r="V108" s="1">
        <v>4</v>
      </c>
      <c r="W108" s="1">
        <f>data[[#This Row],[Nilai Kepentingan Dimensi Waktu Pelayanan/Penyelesaian]]-data[[#This Row],[Nilai Kepuasan Dimensi Waktu Pelayanan/Penyelesaian]]</f>
        <v>0</v>
      </c>
      <c r="X108" s="1">
        <v>0</v>
      </c>
      <c r="Y108" s="1">
        <v>0</v>
      </c>
      <c r="Z108" s="1">
        <f>data[[#This Row],[Nilai Kepentingan Dimensi Tarif/ Biaya]]-data[[#This Row],[Nilai Kepuasan Dimensi Tarif / Biaya]]</f>
        <v>0</v>
      </c>
      <c r="AA108" s="1">
        <v>4</v>
      </c>
      <c r="AB108" s="1">
        <v>4</v>
      </c>
      <c r="AC108" s="1">
        <f>data[[#This Row],[Nilai Kepentingan Dimensi Produk Spesifikasi Jenis Layanan]]-data[[#This Row],[Nilai Kepuasan Dimensi Produk Spesifikasi Jenis Layanan]]</f>
        <v>0</v>
      </c>
      <c r="AD108" s="1">
        <v>4</v>
      </c>
      <c r="AE108" s="1">
        <v>4</v>
      </c>
      <c r="AF108" s="1">
        <f>data[[#This Row],[Nilai Kepentingan Dimensi Kompetensi Pelaksana]]-data[[#This Row],[Nilai Kepuasan Dimensi Kompetensi Pelaksana]]</f>
        <v>0</v>
      </c>
      <c r="AG108" s="1">
        <v>4</v>
      </c>
      <c r="AH108" s="1">
        <v>4</v>
      </c>
      <c r="AI108" s="1">
        <f>data[[#This Row],[Nilai Kepentingan Dimensi Perilaku Pelaksana]]-data[[#This Row],[Nilai Kepuasan Dimensi Perilaku Pelaksana]]</f>
        <v>0</v>
      </c>
      <c r="AJ108" s="1">
        <v>4</v>
      </c>
      <c r="AK108" s="1">
        <v>4</v>
      </c>
      <c r="AL108" s="1">
        <f>data[[#This Row],[Nilai Kepentingan Dimensi Penanganan Pengaduan, Saran &amp; Masukan]]-data[[#This Row],[Nilai Kepuasan Dimensi Penanganan Pengaduan, Saran &amp; Masukan]]</f>
        <v>0</v>
      </c>
      <c r="AM108" s="1">
        <v>4</v>
      </c>
      <c r="AN108" s="1">
        <v>4</v>
      </c>
      <c r="AO108" s="1">
        <f>data[[#This Row],[Nilai Kepentingan Dimensi Kualitas Sarana dan Prasarana]]-data[[#This Row],[Nilai Kepuasan Dimensi Kualitas Sarana dan Prasarana]]</f>
        <v>0</v>
      </c>
      <c r="AP108" s="1">
        <v>0</v>
      </c>
      <c r="AQ108" s="1" t="s">
        <v>69</v>
      </c>
      <c r="AR108" s="1">
        <v>3</v>
      </c>
      <c r="AS108" s="1" t="s">
        <v>69</v>
      </c>
      <c r="AT108" s="1">
        <v>0</v>
      </c>
      <c r="AU108" s="1" t="s">
        <v>69</v>
      </c>
      <c r="AV108" s="1" t="s">
        <v>83</v>
      </c>
      <c r="AW108" s="1" t="s">
        <v>96</v>
      </c>
      <c r="AX108" s="1">
        <v>0</v>
      </c>
      <c r="AY108" s="1">
        <v>0</v>
      </c>
      <c r="AZ108" s="1" t="s">
        <v>503</v>
      </c>
      <c r="BA108" s="1" t="s">
        <v>79</v>
      </c>
      <c r="BB108" s="1" t="s">
        <v>856</v>
      </c>
      <c r="BC108" s="1" t="s">
        <v>112</v>
      </c>
      <c r="BD108" s="1" t="s">
        <v>857</v>
      </c>
      <c r="BE108" s="1" t="s">
        <v>79</v>
      </c>
      <c r="BF108" s="5" t="s">
        <v>83</v>
      </c>
    </row>
    <row r="109" spans="1:58" x14ac:dyDescent="0.35">
      <c r="A109" s="4">
        <v>108</v>
      </c>
      <c r="B109" s="1" t="s">
        <v>858</v>
      </c>
      <c r="C109" s="1" t="s">
        <v>63</v>
      </c>
      <c r="D109" s="1" t="s">
        <v>63</v>
      </c>
      <c r="E109" s="1" t="s">
        <v>69</v>
      </c>
      <c r="F109" s="1" t="s">
        <v>69</v>
      </c>
      <c r="G109" s="1" t="s">
        <v>69</v>
      </c>
      <c r="H109" s="1" t="s">
        <v>69</v>
      </c>
      <c r="I109" s="1" t="s">
        <v>106</v>
      </c>
      <c r="J109" s="1" t="s">
        <v>292</v>
      </c>
      <c r="K109" s="1">
        <v>19</v>
      </c>
      <c r="L109" s="1" t="s">
        <v>131</v>
      </c>
      <c r="M109" s="1" t="s">
        <v>73</v>
      </c>
      <c r="N109" s="1" t="s">
        <v>95</v>
      </c>
      <c r="O109" s="1">
        <v>3</v>
      </c>
      <c r="P109" s="1">
        <v>3</v>
      </c>
      <c r="Q109" s="1">
        <f>data[[#This Row],[Nilai Kepentingan Dimensi Persyaratan]]-data[[#This Row],[Nilai Kepuasan Dimensi Persyaratan]]</f>
        <v>0</v>
      </c>
      <c r="R109" s="1">
        <v>3</v>
      </c>
      <c r="S109" s="1">
        <v>3</v>
      </c>
      <c r="T109" s="1">
        <f>data[[#This Row],[Nilai Kepentingan Dimensi Prosedur]]-data[[#This Row],[Nilai Kepuasan Dimensi Prosedur]]</f>
        <v>0</v>
      </c>
      <c r="U109" s="1">
        <v>3</v>
      </c>
      <c r="V109" s="1">
        <v>3</v>
      </c>
      <c r="W109" s="1">
        <f>data[[#This Row],[Nilai Kepentingan Dimensi Waktu Pelayanan/Penyelesaian]]-data[[#This Row],[Nilai Kepuasan Dimensi Waktu Pelayanan/Penyelesaian]]</f>
        <v>0</v>
      </c>
      <c r="X109" s="1">
        <v>3</v>
      </c>
      <c r="Y109" s="1">
        <v>3</v>
      </c>
      <c r="Z109" s="1">
        <f>data[[#This Row],[Nilai Kepentingan Dimensi Tarif/ Biaya]]-data[[#This Row],[Nilai Kepuasan Dimensi Tarif / Biaya]]</f>
        <v>0</v>
      </c>
      <c r="AA109" s="1">
        <v>3</v>
      </c>
      <c r="AB109" s="1">
        <v>3</v>
      </c>
      <c r="AC109" s="1">
        <f>data[[#This Row],[Nilai Kepentingan Dimensi Produk Spesifikasi Jenis Layanan]]-data[[#This Row],[Nilai Kepuasan Dimensi Produk Spesifikasi Jenis Layanan]]</f>
        <v>0</v>
      </c>
      <c r="AD109" s="1">
        <v>3</v>
      </c>
      <c r="AE109" s="1">
        <v>3</v>
      </c>
      <c r="AF109" s="1">
        <f>data[[#This Row],[Nilai Kepentingan Dimensi Kompetensi Pelaksana]]-data[[#This Row],[Nilai Kepuasan Dimensi Kompetensi Pelaksana]]</f>
        <v>0</v>
      </c>
      <c r="AG109" s="1">
        <v>3</v>
      </c>
      <c r="AH109" s="1">
        <v>3</v>
      </c>
      <c r="AI109" s="1">
        <f>data[[#This Row],[Nilai Kepentingan Dimensi Perilaku Pelaksana]]-data[[#This Row],[Nilai Kepuasan Dimensi Perilaku Pelaksana]]</f>
        <v>0</v>
      </c>
      <c r="AJ109" s="1">
        <v>3</v>
      </c>
      <c r="AK109" s="1">
        <v>3</v>
      </c>
      <c r="AL109" s="1">
        <f>data[[#This Row],[Nilai Kepentingan Dimensi Penanganan Pengaduan, Saran &amp; Masukan]]-data[[#This Row],[Nilai Kepuasan Dimensi Penanganan Pengaduan, Saran &amp; Masukan]]</f>
        <v>0</v>
      </c>
      <c r="AM109" s="1">
        <v>3</v>
      </c>
      <c r="AN109" s="1">
        <v>3</v>
      </c>
      <c r="AO109" s="1">
        <f>data[[#This Row],[Nilai Kepentingan Dimensi Kualitas Sarana dan Prasarana]]-data[[#This Row],[Nilai Kepuasan Dimensi Kualitas Sarana dan Prasarana]]</f>
        <v>0</v>
      </c>
      <c r="AP109" s="1">
        <v>0</v>
      </c>
      <c r="AQ109" s="1" t="s">
        <v>69</v>
      </c>
      <c r="AR109" s="1">
        <v>0</v>
      </c>
      <c r="AS109" s="1" t="s">
        <v>69</v>
      </c>
      <c r="AT109" s="1">
        <v>0</v>
      </c>
      <c r="AU109" s="1" t="s">
        <v>69</v>
      </c>
      <c r="AV109" s="1" t="s">
        <v>144</v>
      </c>
      <c r="AW109" s="1" t="s">
        <v>144</v>
      </c>
      <c r="AX109" s="1">
        <v>2</v>
      </c>
      <c r="AY109" s="1">
        <v>3</v>
      </c>
      <c r="AZ109" s="1" t="s">
        <v>98</v>
      </c>
      <c r="BA109" s="1" t="s">
        <v>99</v>
      </c>
      <c r="BB109" s="1" t="s">
        <v>98</v>
      </c>
      <c r="BC109" s="1" t="s">
        <v>99</v>
      </c>
      <c r="BD109" s="1" t="s">
        <v>863</v>
      </c>
      <c r="BE109" s="1" t="s">
        <v>146</v>
      </c>
      <c r="BF109" s="5" t="s">
        <v>98</v>
      </c>
    </row>
    <row r="110" spans="1:58" x14ac:dyDescent="0.35">
      <c r="A110" s="4">
        <v>109</v>
      </c>
      <c r="B110" s="1" t="s">
        <v>864</v>
      </c>
      <c r="C110" s="1" t="s">
        <v>63</v>
      </c>
      <c r="D110" s="1" t="s">
        <v>125</v>
      </c>
      <c r="E110" s="1" t="s">
        <v>69</v>
      </c>
      <c r="F110" s="1" t="s">
        <v>69</v>
      </c>
      <c r="G110" s="1" t="s">
        <v>69</v>
      </c>
      <c r="H110" s="1" t="s">
        <v>69</v>
      </c>
      <c r="I110" s="1" t="s">
        <v>106</v>
      </c>
      <c r="J110" s="1" t="s">
        <v>107</v>
      </c>
      <c r="K110" s="1">
        <v>33</v>
      </c>
      <c r="L110" s="1" t="s">
        <v>109</v>
      </c>
      <c r="M110" s="1" t="s">
        <v>73</v>
      </c>
      <c r="N110" s="1" t="s">
        <v>74</v>
      </c>
      <c r="O110" s="1">
        <v>3</v>
      </c>
      <c r="P110" s="1">
        <v>4</v>
      </c>
      <c r="Q110" s="1">
        <f>data[[#This Row],[Nilai Kepentingan Dimensi Persyaratan]]-data[[#This Row],[Nilai Kepuasan Dimensi Persyaratan]]</f>
        <v>1</v>
      </c>
      <c r="R110" s="1">
        <v>4</v>
      </c>
      <c r="S110" s="1">
        <v>4</v>
      </c>
      <c r="T110" s="1">
        <f>data[[#This Row],[Nilai Kepentingan Dimensi Prosedur]]-data[[#This Row],[Nilai Kepuasan Dimensi Prosedur]]</f>
        <v>0</v>
      </c>
      <c r="U110" s="1">
        <v>4</v>
      </c>
      <c r="V110" s="1">
        <v>4</v>
      </c>
      <c r="W110" s="1">
        <f>data[[#This Row],[Nilai Kepentingan Dimensi Waktu Pelayanan/Penyelesaian]]-data[[#This Row],[Nilai Kepuasan Dimensi Waktu Pelayanan/Penyelesaian]]</f>
        <v>0</v>
      </c>
      <c r="X110" s="1">
        <v>0</v>
      </c>
      <c r="Y110" s="1">
        <v>0</v>
      </c>
      <c r="Z110" s="1">
        <f>data[[#This Row],[Nilai Kepentingan Dimensi Tarif/ Biaya]]-data[[#This Row],[Nilai Kepuasan Dimensi Tarif / Biaya]]</f>
        <v>0</v>
      </c>
      <c r="AA110" s="1">
        <v>4</v>
      </c>
      <c r="AB110" s="1">
        <v>4</v>
      </c>
      <c r="AC110" s="1">
        <f>data[[#This Row],[Nilai Kepentingan Dimensi Produk Spesifikasi Jenis Layanan]]-data[[#This Row],[Nilai Kepuasan Dimensi Produk Spesifikasi Jenis Layanan]]</f>
        <v>0</v>
      </c>
      <c r="AD110" s="1">
        <v>4</v>
      </c>
      <c r="AE110" s="1">
        <v>4</v>
      </c>
      <c r="AF110" s="1">
        <f>data[[#This Row],[Nilai Kepentingan Dimensi Kompetensi Pelaksana]]-data[[#This Row],[Nilai Kepuasan Dimensi Kompetensi Pelaksana]]</f>
        <v>0</v>
      </c>
      <c r="AG110" s="1">
        <v>4</v>
      </c>
      <c r="AH110" s="1">
        <v>4</v>
      </c>
      <c r="AI110" s="1">
        <f>data[[#This Row],[Nilai Kepentingan Dimensi Perilaku Pelaksana]]-data[[#This Row],[Nilai Kepuasan Dimensi Perilaku Pelaksana]]</f>
        <v>0</v>
      </c>
      <c r="AJ110" s="1">
        <v>3</v>
      </c>
      <c r="AK110" s="1">
        <v>3</v>
      </c>
      <c r="AL110" s="1">
        <f>data[[#This Row],[Nilai Kepentingan Dimensi Penanganan Pengaduan, Saran &amp; Masukan]]-data[[#This Row],[Nilai Kepuasan Dimensi Penanganan Pengaduan, Saran &amp; Masukan]]</f>
        <v>0</v>
      </c>
      <c r="AM110" s="1">
        <v>3</v>
      </c>
      <c r="AN110" s="1">
        <v>3</v>
      </c>
      <c r="AO110" s="1">
        <f>data[[#This Row],[Nilai Kepentingan Dimensi Kualitas Sarana dan Prasarana]]-data[[#This Row],[Nilai Kepuasan Dimensi Kualitas Sarana dan Prasarana]]</f>
        <v>0</v>
      </c>
      <c r="AP110" s="1">
        <v>4</v>
      </c>
      <c r="AQ110" s="1" t="s">
        <v>69</v>
      </c>
      <c r="AR110" s="1">
        <v>0</v>
      </c>
      <c r="AS110" s="1" t="s">
        <v>69</v>
      </c>
      <c r="AT110" s="1">
        <v>0</v>
      </c>
      <c r="AU110" s="1" t="s">
        <v>75</v>
      </c>
      <c r="AV110" s="1" t="s">
        <v>83</v>
      </c>
      <c r="AW110" s="1" t="s">
        <v>96</v>
      </c>
      <c r="AX110" s="1">
        <v>0</v>
      </c>
      <c r="AY110" s="1">
        <v>0</v>
      </c>
      <c r="AZ110" s="1" t="s">
        <v>248</v>
      </c>
      <c r="BA110" s="1" t="s">
        <v>79</v>
      </c>
      <c r="BB110" s="1" t="s">
        <v>248</v>
      </c>
      <c r="BC110" s="1" t="s">
        <v>79</v>
      </c>
      <c r="BD110" s="1" t="s">
        <v>442</v>
      </c>
      <c r="BE110" s="1" t="s">
        <v>79</v>
      </c>
      <c r="BF110" s="5" t="s">
        <v>83</v>
      </c>
    </row>
    <row r="111" spans="1:58" x14ac:dyDescent="0.35">
      <c r="A111" s="4">
        <v>110</v>
      </c>
      <c r="B111" s="1" t="s">
        <v>869</v>
      </c>
      <c r="C111" s="1" t="s">
        <v>63</v>
      </c>
      <c r="D111" s="1" t="s">
        <v>86</v>
      </c>
      <c r="E111" s="1" t="s">
        <v>69</v>
      </c>
      <c r="F111" s="1" t="s">
        <v>69</v>
      </c>
      <c r="G111" s="1" t="s">
        <v>69</v>
      </c>
      <c r="H111" s="1" t="s">
        <v>69</v>
      </c>
      <c r="I111" s="1" t="s">
        <v>106</v>
      </c>
      <c r="J111" s="1" t="s">
        <v>292</v>
      </c>
      <c r="K111" s="1">
        <v>37</v>
      </c>
      <c r="L111" s="1" t="s">
        <v>153</v>
      </c>
      <c r="M111" s="1" t="s">
        <v>93</v>
      </c>
      <c r="N111" s="1" t="s">
        <v>74</v>
      </c>
      <c r="O111" s="1">
        <v>3</v>
      </c>
      <c r="P111" s="1">
        <v>3</v>
      </c>
      <c r="Q111" s="1">
        <f>data[[#This Row],[Nilai Kepentingan Dimensi Persyaratan]]-data[[#This Row],[Nilai Kepuasan Dimensi Persyaratan]]</f>
        <v>0</v>
      </c>
      <c r="R111" s="1">
        <v>3</v>
      </c>
      <c r="S111" s="1">
        <v>3</v>
      </c>
      <c r="T111" s="1">
        <f>data[[#This Row],[Nilai Kepentingan Dimensi Prosedur]]-data[[#This Row],[Nilai Kepuasan Dimensi Prosedur]]</f>
        <v>0</v>
      </c>
      <c r="U111" s="1">
        <v>3</v>
      </c>
      <c r="V111" s="1">
        <v>3</v>
      </c>
      <c r="W111" s="1">
        <f>data[[#This Row],[Nilai Kepentingan Dimensi Waktu Pelayanan/Penyelesaian]]-data[[#This Row],[Nilai Kepuasan Dimensi Waktu Pelayanan/Penyelesaian]]</f>
        <v>0</v>
      </c>
      <c r="X111" s="1">
        <v>3</v>
      </c>
      <c r="Y111" s="1">
        <v>3</v>
      </c>
      <c r="Z111" s="1">
        <f>data[[#This Row],[Nilai Kepentingan Dimensi Tarif/ Biaya]]-data[[#This Row],[Nilai Kepuasan Dimensi Tarif / Biaya]]</f>
        <v>0</v>
      </c>
      <c r="AA111" s="1">
        <v>3</v>
      </c>
      <c r="AB111" s="1">
        <v>3</v>
      </c>
      <c r="AC111" s="1">
        <f>data[[#This Row],[Nilai Kepentingan Dimensi Produk Spesifikasi Jenis Layanan]]-data[[#This Row],[Nilai Kepuasan Dimensi Produk Spesifikasi Jenis Layanan]]</f>
        <v>0</v>
      </c>
      <c r="AD111" s="1">
        <v>3</v>
      </c>
      <c r="AE111" s="1">
        <v>3</v>
      </c>
      <c r="AF111" s="1">
        <f>data[[#This Row],[Nilai Kepentingan Dimensi Kompetensi Pelaksana]]-data[[#This Row],[Nilai Kepuasan Dimensi Kompetensi Pelaksana]]</f>
        <v>0</v>
      </c>
      <c r="AG111" s="1">
        <v>3</v>
      </c>
      <c r="AH111" s="1">
        <v>3</v>
      </c>
      <c r="AI111" s="1">
        <f>data[[#This Row],[Nilai Kepentingan Dimensi Perilaku Pelaksana]]-data[[#This Row],[Nilai Kepuasan Dimensi Perilaku Pelaksana]]</f>
        <v>0</v>
      </c>
      <c r="AJ111" s="1">
        <v>3</v>
      </c>
      <c r="AK111" s="1">
        <v>3</v>
      </c>
      <c r="AL111" s="1">
        <f>data[[#This Row],[Nilai Kepentingan Dimensi Penanganan Pengaduan, Saran &amp; Masukan]]-data[[#This Row],[Nilai Kepuasan Dimensi Penanganan Pengaduan, Saran &amp; Masukan]]</f>
        <v>0</v>
      </c>
      <c r="AM111" s="1">
        <v>4</v>
      </c>
      <c r="AN111" s="1">
        <v>4</v>
      </c>
      <c r="AO111" s="1">
        <f>data[[#This Row],[Nilai Kepentingan Dimensi Kualitas Sarana dan Prasarana]]-data[[#This Row],[Nilai Kepuasan Dimensi Kualitas Sarana dan Prasarana]]</f>
        <v>0</v>
      </c>
      <c r="AP111" s="1">
        <v>3</v>
      </c>
      <c r="AQ111" s="1" t="s">
        <v>75</v>
      </c>
      <c r="AR111" s="1">
        <v>0</v>
      </c>
      <c r="AS111" s="1" t="s">
        <v>69</v>
      </c>
      <c r="AT111" s="1">
        <v>0</v>
      </c>
      <c r="AU111" s="1" t="s">
        <v>69</v>
      </c>
      <c r="AV111" s="1" t="s">
        <v>83</v>
      </c>
      <c r="AW111" s="1" t="s">
        <v>96</v>
      </c>
      <c r="AX111" s="1">
        <v>0</v>
      </c>
      <c r="AY111" s="1">
        <v>0</v>
      </c>
      <c r="AZ111" s="1" t="s">
        <v>874</v>
      </c>
      <c r="BA111" s="1" t="s">
        <v>112</v>
      </c>
      <c r="BB111" s="1" t="s">
        <v>98</v>
      </c>
      <c r="BC111" s="1" t="s">
        <v>99</v>
      </c>
      <c r="BD111" s="1" t="s">
        <v>98</v>
      </c>
      <c r="BE111" s="1" t="s">
        <v>99</v>
      </c>
      <c r="BF111" s="5" t="s">
        <v>875</v>
      </c>
    </row>
    <row r="112" spans="1:58" x14ac:dyDescent="0.35">
      <c r="A112" s="4">
        <v>111</v>
      </c>
      <c r="B112" s="1" t="s">
        <v>876</v>
      </c>
      <c r="C112" s="1" t="s">
        <v>63</v>
      </c>
      <c r="D112" s="1" t="s">
        <v>149</v>
      </c>
      <c r="E112" s="1" t="s">
        <v>69</v>
      </c>
      <c r="F112" s="1" t="s">
        <v>69</v>
      </c>
      <c r="G112" s="1" t="s">
        <v>69</v>
      </c>
      <c r="H112" s="1" t="s">
        <v>69</v>
      </c>
      <c r="I112" s="1" t="s">
        <v>70</v>
      </c>
      <c r="J112" s="1" t="s">
        <v>271</v>
      </c>
      <c r="K112" s="1">
        <v>41</v>
      </c>
      <c r="L112" s="1" t="s">
        <v>197</v>
      </c>
      <c r="M112" s="1" t="s">
        <v>73</v>
      </c>
      <c r="N112" s="1" t="s">
        <v>232</v>
      </c>
      <c r="O112" s="1">
        <v>3</v>
      </c>
      <c r="P112" s="1">
        <v>3</v>
      </c>
      <c r="Q112" s="1">
        <f>data[[#This Row],[Nilai Kepentingan Dimensi Persyaratan]]-data[[#This Row],[Nilai Kepuasan Dimensi Persyaratan]]</f>
        <v>0</v>
      </c>
      <c r="R112" s="1">
        <v>4</v>
      </c>
      <c r="S112" s="1">
        <v>3</v>
      </c>
      <c r="T112" s="1">
        <f>data[[#This Row],[Nilai Kepentingan Dimensi Prosedur]]-data[[#This Row],[Nilai Kepuasan Dimensi Prosedur]]</f>
        <v>-1</v>
      </c>
      <c r="U112" s="1">
        <v>3</v>
      </c>
      <c r="V112" s="1">
        <v>3</v>
      </c>
      <c r="W112" s="1">
        <f>data[[#This Row],[Nilai Kepentingan Dimensi Waktu Pelayanan/Penyelesaian]]-data[[#This Row],[Nilai Kepuasan Dimensi Waktu Pelayanan/Penyelesaian]]</f>
        <v>0</v>
      </c>
      <c r="X112" s="1">
        <v>3</v>
      </c>
      <c r="Y112" s="1">
        <v>3</v>
      </c>
      <c r="Z112" s="1">
        <f>data[[#This Row],[Nilai Kepentingan Dimensi Tarif/ Biaya]]-data[[#This Row],[Nilai Kepuasan Dimensi Tarif / Biaya]]</f>
        <v>0</v>
      </c>
      <c r="AA112" s="1">
        <v>3</v>
      </c>
      <c r="AB112" s="1">
        <v>3</v>
      </c>
      <c r="AC112" s="1">
        <f>data[[#This Row],[Nilai Kepentingan Dimensi Produk Spesifikasi Jenis Layanan]]-data[[#This Row],[Nilai Kepuasan Dimensi Produk Spesifikasi Jenis Layanan]]</f>
        <v>0</v>
      </c>
      <c r="AD112" s="1">
        <v>3</v>
      </c>
      <c r="AE112" s="1">
        <v>3</v>
      </c>
      <c r="AF112" s="1">
        <f>data[[#This Row],[Nilai Kepentingan Dimensi Kompetensi Pelaksana]]-data[[#This Row],[Nilai Kepuasan Dimensi Kompetensi Pelaksana]]</f>
        <v>0</v>
      </c>
      <c r="AG112" s="1">
        <v>3</v>
      </c>
      <c r="AH112" s="1">
        <v>3</v>
      </c>
      <c r="AI112" s="1">
        <f>data[[#This Row],[Nilai Kepentingan Dimensi Perilaku Pelaksana]]-data[[#This Row],[Nilai Kepuasan Dimensi Perilaku Pelaksana]]</f>
        <v>0</v>
      </c>
      <c r="AJ112" s="1">
        <v>3</v>
      </c>
      <c r="AK112" s="1">
        <v>3</v>
      </c>
      <c r="AL112" s="1">
        <f>data[[#This Row],[Nilai Kepentingan Dimensi Penanganan Pengaduan, Saran &amp; Masukan]]-data[[#This Row],[Nilai Kepuasan Dimensi Penanganan Pengaduan, Saran &amp; Masukan]]</f>
        <v>0</v>
      </c>
      <c r="AM112" s="1">
        <v>3</v>
      </c>
      <c r="AN112" s="1">
        <v>3</v>
      </c>
      <c r="AO112" s="1">
        <f>data[[#This Row],[Nilai Kepentingan Dimensi Kualitas Sarana dan Prasarana]]-data[[#This Row],[Nilai Kepuasan Dimensi Kualitas Sarana dan Prasarana]]</f>
        <v>0</v>
      </c>
      <c r="AP112" s="1">
        <v>0</v>
      </c>
      <c r="AQ112" s="1" t="s">
        <v>69</v>
      </c>
      <c r="AR112" s="1">
        <v>0</v>
      </c>
      <c r="AS112" s="1" t="s">
        <v>69</v>
      </c>
      <c r="AT112" s="1">
        <v>0</v>
      </c>
      <c r="AU112" s="1" t="s">
        <v>69</v>
      </c>
      <c r="AV112" s="1" t="s">
        <v>144</v>
      </c>
      <c r="AW112" s="1" t="s">
        <v>144</v>
      </c>
      <c r="AX112" s="1">
        <v>1</v>
      </c>
      <c r="AY112" s="1">
        <v>4</v>
      </c>
      <c r="AZ112" s="1" t="s">
        <v>98</v>
      </c>
      <c r="BA112" s="1" t="s">
        <v>99</v>
      </c>
      <c r="BB112" s="1" t="s">
        <v>98</v>
      </c>
      <c r="BC112" s="1" t="s">
        <v>99</v>
      </c>
      <c r="BD112" s="1" t="s">
        <v>98</v>
      </c>
      <c r="BE112" s="1" t="s">
        <v>99</v>
      </c>
      <c r="BF112" s="5" t="s">
        <v>98</v>
      </c>
    </row>
    <row r="113" spans="1:58" x14ac:dyDescent="0.35">
      <c r="A113" s="4">
        <v>112</v>
      </c>
      <c r="B113" s="1" t="s">
        <v>881</v>
      </c>
      <c r="C113" s="1" t="s">
        <v>63</v>
      </c>
      <c r="D113" s="1" t="s">
        <v>125</v>
      </c>
      <c r="E113" s="1" t="s">
        <v>69</v>
      </c>
      <c r="F113" s="1" t="s">
        <v>69</v>
      </c>
      <c r="G113" s="1" t="s">
        <v>69</v>
      </c>
      <c r="H113" s="1" t="s">
        <v>69</v>
      </c>
      <c r="I113" s="1" t="s">
        <v>70</v>
      </c>
      <c r="J113" s="1" t="s">
        <v>107</v>
      </c>
      <c r="K113" s="1">
        <v>38</v>
      </c>
      <c r="L113" s="1" t="s">
        <v>153</v>
      </c>
      <c r="M113" s="1" t="s">
        <v>93</v>
      </c>
      <c r="N113" s="1" t="s">
        <v>74</v>
      </c>
      <c r="O113" s="1">
        <v>4</v>
      </c>
      <c r="P113" s="1">
        <v>4</v>
      </c>
      <c r="Q113" s="1">
        <f>data[[#This Row],[Nilai Kepentingan Dimensi Persyaratan]]-data[[#This Row],[Nilai Kepuasan Dimensi Persyaratan]]</f>
        <v>0</v>
      </c>
      <c r="R113" s="1">
        <v>4</v>
      </c>
      <c r="S113" s="1">
        <v>4</v>
      </c>
      <c r="T113" s="1">
        <f>data[[#This Row],[Nilai Kepentingan Dimensi Prosedur]]-data[[#This Row],[Nilai Kepuasan Dimensi Prosedur]]</f>
        <v>0</v>
      </c>
      <c r="U113" s="1">
        <v>3</v>
      </c>
      <c r="V113" s="1">
        <v>3</v>
      </c>
      <c r="W113" s="1">
        <f>data[[#This Row],[Nilai Kepentingan Dimensi Waktu Pelayanan/Penyelesaian]]-data[[#This Row],[Nilai Kepuasan Dimensi Waktu Pelayanan/Penyelesaian]]</f>
        <v>0</v>
      </c>
      <c r="X113" s="1">
        <v>0</v>
      </c>
      <c r="Y113" s="1">
        <v>0</v>
      </c>
      <c r="Z113" s="1">
        <f>data[[#This Row],[Nilai Kepentingan Dimensi Tarif/ Biaya]]-data[[#This Row],[Nilai Kepuasan Dimensi Tarif / Biaya]]</f>
        <v>0</v>
      </c>
      <c r="AA113" s="1">
        <v>4</v>
      </c>
      <c r="AB113" s="1">
        <v>4</v>
      </c>
      <c r="AC113" s="1">
        <f>data[[#This Row],[Nilai Kepentingan Dimensi Produk Spesifikasi Jenis Layanan]]-data[[#This Row],[Nilai Kepuasan Dimensi Produk Spesifikasi Jenis Layanan]]</f>
        <v>0</v>
      </c>
      <c r="AD113" s="1">
        <v>3</v>
      </c>
      <c r="AE113" s="1">
        <v>3</v>
      </c>
      <c r="AF113" s="1">
        <f>data[[#This Row],[Nilai Kepentingan Dimensi Kompetensi Pelaksana]]-data[[#This Row],[Nilai Kepuasan Dimensi Kompetensi Pelaksana]]</f>
        <v>0</v>
      </c>
      <c r="AG113" s="1">
        <v>4</v>
      </c>
      <c r="AH113" s="1">
        <v>4</v>
      </c>
      <c r="AI113" s="1">
        <f>data[[#This Row],[Nilai Kepentingan Dimensi Perilaku Pelaksana]]-data[[#This Row],[Nilai Kepuasan Dimensi Perilaku Pelaksana]]</f>
        <v>0</v>
      </c>
      <c r="AJ113" s="1">
        <v>4</v>
      </c>
      <c r="AK113" s="1">
        <v>4</v>
      </c>
      <c r="AL113" s="1">
        <f>data[[#This Row],[Nilai Kepentingan Dimensi Penanganan Pengaduan, Saran &amp; Masukan]]-data[[#This Row],[Nilai Kepuasan Dimensi Penanganan Pengaduan, Saran &amp; Masukan]]</f>
        <v>0</v>
      </c>
      <c r="AM113" s="1">
        <v>3</v>
      </c>
      <c r="AN113" s="1">
        <v>3</v>
      </c>
      <c r="AO113" s="1">
        <f>data[[#This Row],[Nilai Kepentingan Dimensi Kualitas Sarana dan Prasarana]]-data[[#This Row],[Nilai Kepuasan Dimensi Kualitas Sarana dan Prasarana]]</f>
        <v>0</v>
      </c>
      <c r="AP113" s="1">
        <v>0</v>
      </c>
      <c r="AQ113" s="1" t="s">
        <v>69</v>
      </c>
      <c r="AR113" s="1">
        <v>0</v>
      </c>
      <c r="AS113" s="1" t="s">
        <v>69</v>
      </c>
      <c r="AT113" s="1">
        <v>0</v>
      </c>
      <c r="AU113" s="1" t="s">
        <v>69</v>
      </c>
      <c r="AV113" s="1" t="s">
        <v>144</v>
      </c>
      <c r="AW113" s="1" t="s">
        <v>144</v>
      </c>
      <c r="AX113" s="1">
        <v>2</v>
      </c>
      <c r="AY113" s="1">
        <v>3</v>
      </c>
      <c r="AZ113" s="1" t="s">
        <v>442</v>
      </c>
      <c r="BA113" s="1" t="s">
        <v>79</v>
      </c>
      <c r="BB113" s="1" t="s">
        <v>442</v>
      </c>
      <c r="BC113" s="1" t="s">
        <v>79</v>
      </c>
      <c r="BD113" s="1" t="s">
        <v>885</v>
      </c>
      <c r="BE113" s="1" t="s">
        <v>146</v>
      </c>
      <c r="BF113" s="5" t="s">
        <v>83</v>
      </c>
    </row>
    <row r="114" spans="1:58" x14ac:dyDescent="0.35">
      <c r="A114" s="4">
        <v>113</v>
      </c>
      <c r="B114" s="1" t="s">
        <v>886</v>
      </c>
      <c r="C114" s="1" t="s">
        <v>63</v>
      </c>
      <c r="D114" s="1" t="s">
        <v>125</v>
      </c>
      <c r="E114" s="1" t="s">
        <v>69</v>
      </c>
      <c r="F114" s="1" t="s">
        <v>69</v>
      </c>
      <c r="G114" s="1" t="s">
        <v>69</v>
      </c>
      <c r="H114" s="1" t="s">
        <v>69</v>
      </c>
      <c r="I114" s="1" t="s">
        <v>106</v>
      </c>
      <c r="J114" s="1" t="s">
        <v>107</v>
      </c>
      <c r="K114" s="1">
        <v>33</v>
      </c>
      <c r="L114" s="1" t="s">
        <v>109</v>
      </c>
      <c r="M114" s="1" t="s">
        <v>73</v>
      </c>
      <c r="N114" s="1" t="s">
        <v>74</v>
      </c>
      <c r="O114" s="1">
        <v>4</v>
      </c>
      <c r="P114" s="1">
        <v>4</v>
      </c>
      <c r="Q114" s="1">
        <f>data[[#This Row],[Nilai Kepentingan Dimensi Persyaratan]]-data[[#This Row],[Nilai Kepuasan Dimensi Persyaratan]]</f>
        <v>0</v>
      </c>
      <c r="R114" s="1">
        <v>3</v>
      </c>
      <c r="S114" s="1">
        <v>3</v>
      </c>
      <c r="T114" s="1">
        <f>data[[#This Row],[Nilai Kepentingan Dimensi Prosedur]]-data[[#This Row],[Nilai Kepuasan Dimensi Prosedur]]</f>
        <v>0</v>
      </c>
      <c r="U114" s="1">
        <v>3</v>
      </c>
      <c r="V114" s="1">
        <v>3</v>
      </c>
      <c r="W114" s="1">
        <f>data[[#This Row],[Nilai Kepentingan Dimensi Waktu Pelayanan/Penyelesaian]]-data[[#This Row],[Nilai Kepuasan Dimensi Waktu Pelayanan/Penyelesaian]]</f>
        <v>0</v>
      </c>
      <c r="X114" s="1">
        <v>0</v>
      </c>
      <c r="Y114" s="1">
        <v>0</v>
      </c>
      <c r="Z114" s="1">
        <f>data[[#This Row],[Nilai Kepentingan Dimensi Tarif/ Biaya]]-data[[#This Row],[Nilai Kepuasan Dimensi Tarif / Biaya]]</f>
        <v>0</v>
      </c>
      <c r="AA114" s="1">
        <v>3</v>
      </c>
      <c r="AB114" s="1">
        <v>3</v>
      </c>
      <c r="AC114" s="1">
        <f>data[[#This Row],[Nilai Kepentingan Dimensi Produk Spesifikasi Jenis Layanan]]-data[[#This Row],[Nilai Kepuasan Dimensi Produk Spesifikasi Jenis Layanan]]</f>
        <v>0</v>
      </c>
      <c r="AD114" s="1">
        <v>3</v>
      </c>
      <c r="AE114" s="1">
        <v>3</v>
      </c>
      <c r="AF114" s="1">
        <f>data[[#This Row],[Nilai Kepentingan Dimensi Kompetensi Pelaksana]]-data[[#This Row],[Nilai Kepuasan Dimensi Kompetensi Pelaksana]]</f>
        <v>0</v>
      </c>
      <c r="AG114" s="1">
        <v>4</v>
      </c>
      <c r="AH114" s="1">
        <v>4</v>
      </c>
      <c r="AI114" s="1">
        <f>data[[#This Row],[Nilai Kepentingan Dimensi Perilaku Pelaksana]]-data[[#This Row],[Nilai Kepuasan Dimensi Perilaku Pelaksana]]</f>
        <v>0</v>
      </c>
      <c r="AJ114" s="1">
        <v>4</v>
      </c>
      <c r="AK114" s="1">
        <v>4</v>
      </c>
      <c r="AL114" s="1">
        <f>data[[#This Row],[Nilai Kepentingan Dimensi Penanganan Pengaduan, Saran &amp; Masukan]]-data[[#This Row],[Nilai Kepuasan Dimensi Penanganan Pengaduan, Saran &amp; Masukan]]</f>
        <v>0</v>
      </c>
      <c r="AM114" s="1">
        <v>3</v>
      </c>
      <c r="AN114" s="1">
        <v>3</v>
      </c>
      <c r="AO114" s="1">
        <f>data[[#This Row],[Nilai Kepentingan Dimensi Kualitas Sarana dan Prasarana]]-data[[#This Row],[Nilai Kepuasan Dimensi Kualitas Sarana dan Prasarana]]</f>
        <v>0</v>
      </c>
      <c r="AP114" s="1">
        <v>0</v>
      </c>
      <c r="AQ114" s="1" t="s">
        <v>69</v>
      </c>
      <c r="AR114" s="1">
        <v>0</v>
      </c>
      <c r="AS114" s="1" t="s">
        <v>69</v>
      </c>
      <c r="AT114" s="1">
        <v>0</v>
      </c>
      <c r="AU114" s="1" t="s">
        <v>69</v>
      </c>
      <c r="AV114" s="1" t="s">
        <v>144</v>
      </c>
      <c r="AW114" s="1" t="s">
        <v>144</v>
      </c>
      <c r="AX114" s="1">
        <v>2</v>
      </c>
      <c r="AY114" s="1">
        <v>3</v>
      </c>
      <c r="AZ114" s="1" t="s">
        <v>442</v>
      </c>
      <c r="BA114" s="1" t="s">
        <v>79</v>
      </c>
      <c r="BB114" s="1" t="s">
        <v>442</v>
      </c>
      <c r="BC114" s="1" t="s">
        <v>79</v>
      </c>
      <c r="BD114" s="1" t="s">
        <v>891</v>
      </c>
      <c r="BE114" s="1" t="s">
        <v>190</v>
      </c>
      <c r="BF114" s="5" t="s">
        <v>83</v>
      </c>
    </row>
    <row r="115" spans="1:58" x14ac:dyDescent="0.35">
      <c r="A115" s="4">
        <v>114</v>
      </c>
      <c r="B115" s="1" t="s">
        <v>892</v>
      </c>
      <c r="C115" s="1" t="s">
        <v>63</v>
      </c>
      <c r="D115" s="1" t="s">
        <v>179</v>
      </c>
      <c r="E115" s="1" t="s">
        <v>69</v>
      </c>
      <c r="F115" s="1" t="s">
        <v>69</v>
      </c>
      <c r="G115" s="1" t="s">
        <v>69</v>
      </c>
      <c r="H115" s="1" t="s">
        <v>69</v>
      </c>
      <c r="I115" s="1" t="s">
        <v>70</v>
      </c>
      <c r="J115" s="1" t="s">
        <v>107</v>
      </c>
      <c r="K115" s="1">
        <v>27</v>
      </c>
      <c r="L115" s="1" t="s">
        <v>92</v>
      </c>
      <c r="M115" s="1" t="s">
        <v>93</v>
      </c>
      <c r="N115" s="1" t="s">
        <v>143</v>
      </c>
      <c r="O115" s="1">
        <v>4</v>
      </c>
      <c r="P115" s="1">
        <v>3</v>
      </c>
      <c r="Q115" s="1">
        <f>data[[#This Row],[Nilai Kepentingan Dimensi Persyaratan]]-data[[#This Row],[Nilai Kepuasan Dimensi Persyaratan]]</f>
        <v>-1</v>
      </c>
      <c r="R115" s="1">
        <v>4</v>
      </c>
      <c r="S115" s="1">
        <v>3</v>
      </c>
      <c r="T115" s="1">
        <f>data[[#This Row],[Nilai Kepentingan Dimensi Prosedur]]-data[[#This Row],[Nilai Kepuasan Dimensi Prosedur]]</f>
        <v>-1</v>
      </c>
      <c r="U115" s="1">
        <v>4</v>
      </c>
      <c r="V115" s="1">
        <v>4</v>
      </c>
      <c r="W115" s="1">
        <f>data[[#This Row],[Nilai Kepentingan Dimensi Waktu Pelayanan/Penyelesaian]]-data[[#This Row],[Nilai Kepuasan Dimensi Waktu Pelayanan/Penyelesaian]]</f>
        <v>0</v>
      </c>
      <c r="X115" s="1">
        <v>0</v>
      </c>
      <c r="Y115" s="1">
        <v>0</v>
      </c>
      <c r="Z115" s="1">
        <f>data[[#This Row],[Nilai Kepentingan Dimensi Tarif/ Biaya]]-data[[#This Row],[Nilai Kepuasan Dimensi Tarif / Biaya]]</f>
        <v>0</v>
      </c>
      <c r="AA115" s="1">
        <v>4</v>
      </c>
      <c r="AB115" s="1">
        <v>4</v>
      </c>
      <c r="AC115" s="1">
        <f>data[[#This Row],[Nilai Kepentingan Dimensi Produk Spesifikasi Jenis Layanan]]-data[[#This Row],[Nilai Kepuasan Dimensi Produk Spesifikasi Jenis Layanan]]</f>
        <v>0</v>
      </c>
      <c r="AD115" s="1">
        <v>4</v>
      </c>
      <c r="AE115" s="1">
        <v>4</v>
      </c>
      <c r="AF115" s="1">
        <f>data[[#This Row],[Nilai Kepentingan Dimensi Kompetensi Pelaksana]]-data[[#This Row],[Nilai Kepuasan Dimensi Kompetensi Pelaksana]]</f>
        <v>0</v>
      </c>
      <c r="AG115" s="1">
        <v>4</v>
      </c>
      <c r="AH115" s="1">
        <v>4</v>
      </c>
      <c r="AI115" s="1">
        <f>data[[#This Row],[Nilai Kepentingan Dimensi Perilaku Pelaksana]]-data[[#This Row],[Nilai Kepuasan Dimensi Perilaku Pelaksana]]</f>
        <v>0</v>
      </c>
      <c r="AJ115" s="1">
        <v>4</v>
      </c>
      <c r="AK115" s="1">
        <v>4</v>
      </c>
      <c r="AL115" s="1">
        <f>data[[#This Row],[Nilai Kepentingan Dimensi Penanganan Pengaduan, Saran &amp; Masukan]]-data[[#This Row],[Nilai Kepuasan Dimensi Penanganan Pengaduan, Saran &amp; Masukan]]</f>
        <v>0</v>
      </c>
      <c r="AM115" s="1">
        <v>3</v>
      </c>
      <c r="AN115" s="1">
        <v>4</v>
      </c>
      <c r="AO115" s="1">
        <f>data[[#This Row],[Nilai Kepentingan Dimensi Kualitas Sarana dan Prasarana]]-data[[#This Row],[Nilai Kepuasan Dimensi Kualitas Sarana dan Prasarana]]</f>
        <v>1</v>
      </c>
      <c r="AP115" s="1">
        <v>0</v>
      </c>
      <c r="AQ115" s="1" t="s">
        <v>69</v>
      </c>
      <c r="AR115" s="1">
        <v>0</v>
      </c>
      <c r="AS115" s="1" t="s">
        <v>69</v>
      </c>
      <c r="AT115" s="1">
        <v>0</v>
      </c>
      <c r="AU115" s="1" t="s">
        <v>69</v>
      </c>
      <c r="AV115" s="1" t="s">
        <v>144</v>
      </c>
      <c r="AW115" s="1" t="s">
        <v>144</v>
      </c>
      <c r="AX115" s="1">
        <v>1</v>
      </c>
      <c r="AY115" s="1">
        <v>4</v>
      </c>
      <c r="AZ115" s="1" t="s">
        <v>248</v>
      </c>
      <c r="BA115" s="1" t="s">
        <v>79</v>
      </c>
      <c r="BB115" s="1" t="s">
        <v>248</v>
      </c>
      <c r="BC115" s="1" t="s">
        <v>79</v>
      </c>
      <c r="BD115" s="1" t="s">
        <v>258</v>
      </c>
      <c r="BE115" s="1" t="s">
        <v>190</v>
      </c>
      <c r="BF115" s="5" t="s">
        <v>896</v>
      </c>
    </row>
    <row r="116" spans="1:58" x14ac:dyDescent="0.35">
      <c r="A116" s="4">
        <v>115</v>
      </c>
      <c r="B116" s="1" t="s">
        <v>897</v>
      </c>
      <c r="C116" s="1" t="s">
        <v>63</v>
      </c>
      <c r="D116" s="1" t="s">
        <v>179</v>
      </c>
      <c r="E116" s="1" t="s">
        <v>69</v>
      </c>
      <c r="F116" s="1" t="s">
        <v>69</v>
      </c>
      <c r="G116" s="1" t="s">
        <v>69</v>
      </c>
      <c r="H116" s="1" t="s">
        <v>69</v>
      </c>
      <c r="I116" s="1" t="s">
        <v>70</v>
      </c>
      <c r="J116" s="1" t="s">
        <v>107</v>
      </c>
      <c r="K116" s="1">
        <v>22</v>
      </c>
      <c r="L116" s="1" t="s">
        <v>72</v>
      </c>
      <c r="M116" s="1" t="s">
        <v>73</v>
      </c>
      <c r="N116" s="1" t="s">
        <v>74</v>
      </c>
      <c r="O116" s="1">
        <v>2</v>
      </c>
      <c r="P116" s="1">
        <v>3</v>
      </c>
      <c r="Q116" s="1">
        <f>data[[#This Row],[Nilai Kepentingan Dimensi Persyaratan]]-data[[#This Row],[Nilai Kepuasan Dimensi Persyaratan]]</f>
        <v>1</v>
      </c>
      <c r="R116" s="1">
        <v>3</v>
      </c>
      <c r="S116" s="1">
        <v>3</v>
      </c>
      <c r="T116" s="1">
        <f>data[[#This Row],[Nilai Kepentingan Dimensi Prosedur]]-data[[#This Row],[Nilai Kepuasan Dimensi Prosedur]]</f>
        <v>0</v>
      </c>
      <c r="U116" s="1">
        <v>3</v>
      </c>
      <c r="V116" s="1">
        <v>3</v>
      </c>
      <c r="W116" s="1">
        <f>data[[#This Row],[Nilai Kepentingan Dimensi Waktu Pelayanan/Penyelesaian]]-data[[#This Row],[Nilai Kepuasan Dimensi Waktu Pelayanan/Penyelesaian]]</f>
        <v>0</v>
      </c>
      <c r="X116" s="1">
        <v>0</v>
      </c>
      <c r="Y116" s="1">
        <v>0</v>
      </c>
      <c r="Z116" s="1">
        <f>data[[#This Row],[Nilai Kepentingan Dimensi Tarif/ Biaya]]-data[[#This Row],[Nilai Kepuasan Dimensi Tarif / Biaya]]</f>
        <v>0</v>
      </c>
      <c r="AA116" s="1">
        <v>2</v>
      </c>
      <c r="AB116" s="1">
        <v>4</v>
      </c>
      <c r="AC116" s="1">
        <f>data[[#This Row],[Nilai Kepentingan Dimensi Produk Spesifikasi Jenis Layanan]]-data[[#This Row],[Nilai Kepuasan Dimensi Produk Spesifikasi Jenis Layanan]]</f>
        <v>2</v>
      </c>
      <c r="AD116" s="1">
        <v>3</v>
      </c>
      <c r="AE116" s="1">
        <v>4</v>
      </c>
      <c r="AF116" s="1">
        <f>data[[#This Row],[Nilai Kepentingan Dimensi Kompetensi Pelaksana]]-data[[#This Row],[Nilai Kepuasan Dimensi Kompetensi Pelaksana]]</f>
        <v>1</v>
      </c>
      <c r="AG116" s="1">
        <v>3</v>
      </c>
      <c r="AH116" s="1">
        <v>4</v>
      </c>
      <c r="AI116" s="1">
        <f>data[[#This Row],[Nilai Kepentingan Dimensi Perilaku Pelaksana]]-data[[#This Row],[Nilai Kepuasan Dimensi Perilaku Pelaksana]]</f>
        <v>1</v>
      </c>
      <c r="AJ116" s="1">
        <v>4</v>
      </c>
      <c r="AK116" s="1">
        <v>4</v>
      </c>
      <c r="AL116" s="1">
        <f>data[[#This Row],[Nilai Kepentingan Dimensi Penanganan Pengaduan, Saran &amp; Masukan]]-data[[#This Row],[Nilai Kepuasan Dimensi Penanganan Pengaduan, Saran &amp; Masukan]]</f>
        <v>0</v>
      </c>
      <c r="AM116" s="1">
        <v>4</v>
      </c>
      <c r="AN116" s="1">
        <v>4</v>
      </c>
      <c r="AO116" s="1">
        <f>data[[#This Row],[Nilai Kepentingan Dimensi Kualitas Sarana dan Prasarana]]-data[[#This Row],[Nilai Kepuasan Dimensi Kualitas Sarana dan Prasarana]]</f>
        <v>0</v>
      </c>
      <c r="AP116" s="1">
        <v>3</v>
      </c>
      <c r="AQ116" s="1" t="s">
        <v>75</v>
      </c>
      <c r="AR116" s="1">
        <v>0</v>
      </c>
      <c r="AS116" s="1" t="s">
        <v>69</v>
      </c>
      <c r="AT116" s="1">
        <v>0</v>
      </c>
      <c r="AU116" s="1" t="s">
        <v>69</v>
      </c>
      <c r="AV116" s="1" t="s">
        <v>83</v>
      </c>
      <c r="AW116" s="1" t="s">
        <v>96</v>
      </c>
      <c r="AX116" s="1">
        <v>0</v>
      </c>
      <c r="AY116" s="1">
        <v>0</v>
      </c>
      <c r="AZ116" s="1" t="s">
        <v>901</v>
      </c>
      <c r="BA116" s="1" t="s">
        <v>79</v>
      </c>
      <c r="BB116" s="1" t="s">
        <v>278</v>
      </c>
      <c r="BC116" s="1" t="s">
        <v>79</v>
      </c>
      <c r="BD116" s="1" t="s">
        <v>248</v>
      </c>
      <c r="BE116" s="1" t="s">
        <v>79</v>
      </c>
      <c r="BF116" s="5" t="s">
        <v>248</v>
      </c>
    </row>
    <row r="117" spans="1:58" x14ac:dyDescent="0.35">
      <c r="A117" s="4">
        <v>116</v>
      </c>
      <c r="B117" s="1" t="s">
        <v>902</v>
      </c>
      <c r="C117" s="1" t="s">
        <v>904</v>
      </c>
      <c r="D117" s="1" t="s">
        <v>905</v>
      </c>
      <c r="E117" s="1" t="s">
        <v>69</v>
      </c>
      <c r="F117" s="1" t="s">
        <v>69</v>
      </c>
      <c r="G117" s="1" t="s">
        <v>69</v>
      </c>
      <c r="H117" s="1" t="s">
        <v>69</v>
      </c>
      <c r="I117" s="1" t="s">
        <v>106</v>
      </c>
      <c r="J117" s="1" t="s">
        <v>107</v>
      </c>
      <c r="K117" s="1">
        <v>31</v>
      </c>
      <c r="L117" s="1" t="s">
        <v>109</v>
      </c>
      <c r="M117" s="1" t="s">
        <v>73</v>
      </c>
      <c r="N117" s="1" t="s">
        <v>110</v>
      </c>
      <c r="O117" s="1">
        <v>4</v>
      </c>
      <c r="P117" s="1">
        <v>4</v>
      </c>
      <c r="Q117" s="1">
        <f>data[[#This Row],[Nilai Kepentingan Dimensi Persyaratan]]-data[[#This Row],[Nilai Kepuasan Dimensi Persyaratan]]</f>
        <v>0</v>
      </c>
      <c r="R117" s="1">
        <v>4</v>
      </c>
      <c r="S117" s="1">
        <v>4</v>
      </c>
      <c r="T117" s="1">
        <f>data[[#This Row],[Nilai Kepentingan Dimensi Prosedur]]-data[[#This Row],[Nilai Kepuasan Dimensi Prosedur]]</f>
        <v>0</v>
      </c>
      <c r="U117" s="1">
        <v>4</v>
      </c>
      <c r="V117" s="1">
        <v>4</v>
      </c>
      <c r="W117" s="1">
        <f>data[[#This Row],[Nilai Kepentingan Dimensi Waktu Pelayanan/Penyelesaian]]-data[[#This Row],[Nilai Kepuasan Dimensi Waktu Pelayanan/Penyelesaian]]</f>
        <v>0</v>
      </c>
      <c r="X117" s="1">
        <v>0</v>
      </c>
      <c r="Y117" s="1">
        <v>0</v>
      </c>
      <c r="Z117" s="1">
        <f>data[[#This Row],[Nilai Kepentingan Dimensi Tarif/ Biaya]]-data[[#This Row],[Nilai Kepuasan Dimensi Tarif / Biaya]]</f>
        <v>0</v>
      </c>
      <c r="AA117" s="1">
        <v>4</v>
      </c>
      <c r="AB117" s="1">
        <v>4</v>
      </c>
      <c r="AC117" s="1">
        <f>data[[#This Row],[Nilai Kepentingan Dimensi Produk Spesifikasi Jenis Layanan]]-data[[#This Row],[Nilai Kepuasan Dimensi Produk Spesifikasi Jenis Layanan]]</f>
        <v>0</v>
      </c>
      <c r="AD117" s="1">
        <v>4</v>
      </c>
      <c r="AE117" s="1">
        <v>4</v>
      </c>
      <c r="AF117" s="1">
        <f>data[[#This Row],[Nilai Kepentingan Dimensi Kompetensi Pelaksana]]-data[[#This Row],[Nilai Kepuasan Dimensi Kompetensi Pelaksana]]</f>
        <v>0</v>
      </c>
      <c r="AG117" s="1">
        <v>4</v>
      </c>
      <c r="AH117" s="1">
        <v>4</v>
      </c>
      <c r="AI117" s="1">
        <f>data[[#This Row],[Nilai Kepentingan Dimensi Perilaku Pelaksana]]-data[[#This Row],[Nilai Kepuasan Dimensi Perilaku Pelaksana]]</f>
        <v>0</v>
      </c>
      <c r="AJ117" s="1">
        <v>4</v>
      </c>
      <c r="AK117" s="1">
        <v>4</v>
      </c>
      <c r="AL117" s="1">
        <f>data[[#This Row],[Nilai Kepentingan Dimensi Penanganan Pengaduan, Saran &amp; Masukan]]-data[[#This Row],[Nilai Kepuasan Dimensi Penanganan Pengaduan, Saran &amp; Masukan]]</f>
        <v>0</v>
      </c>
      <c r="AM117" s="1">
        <v>4</v>
      </c>
      <c r="AN117" s="1">
        <v>4</v>
      </c>
      <c r="AO117" s="1">
        <f>data[[#This Row],[Nilai Kepentingan Dimensi Kualitas Sarana dan Prasarana]]-data[[#This Row],[Nilai Kepuasan Dimensi Kualitas Sarana dan Prasarana]]</f>
        <v>0</v>
      </c>
      <c r="AP117" s="1">
        <v>0</v>
      </c>
      <c r="AQ117" s="1" t="s">
        <v>69</v>
      </c>
      <c r="AR117" s="1">
        <v>0</v>
      </c>
      <c r="AS117" s="1" t="s">
        <v>69</v>
      </c>
      <c r="AT117" s="1">
        <v>0</v>
      </c>
      <c r="AU117" s="1" t="s">
        <v>69</v>
      </c>
      <c r="AV117" s="1" t="s">
        <v>144</v>
      </c>
      <c r="AW117" s="1" t="s">
        <v>144</v>
      </c>
      <c r="AX117" s="1">
        <v>1</v>
      </c>
      <c r="AY117" s="1">
        <v>4</v>
      </c>
      <c r="AZ117" s="1" t="s">
        <v>909</v>
      </c>
      <c r="BA117" s="1" t="s">
        <v>79</v>
      </c>
      <c r="BB117" s="1" t="s">
        <v>248</v>
      </c>
      <c r="BC117" s="1" t="s">
        <v>79</v>
      </c>
      <c r="BD117" s="1" t="s">
        <v>555</v>
      </c>
      <c r="BE117" s="1" t="s">
        <v>79</v>
      </c>
      <c r="BF117" s="5" t="s">
        <v>83</v>
      </c>
    </row>
    <row r="118" spans="1:58" x14ac:dyDescent="0.35">
      <c r="A118" s="4">
        <v>117</v>
      </c>
      <c r="B118" s="1" t="s">
        <v>910</v>
      </c>
      <c r="C118" s="1" t="s">
        <v>63</v>
      </c>
      <c r="D118" s="1" t="s">
        <v>179</v>
      </c>
      <c r="E118" s="1" t="s">
        <v>69</v>
      </c>
      <c r="F118" s="1" t="s">
        <v>69</v>
      </c>
      <c r="G118" s="1" t="s">
        <v>69</v>
      </c>
      <c r="H118" s="1" t="s">
        <v>69</v>
      </c>
      <c r="I118" s="1" t="s">
        <v>70</v>
      </c>
      <c r="J118" s="1" t="s">
        <v>107</v>
      </c>
      <c r="K118" s="1">
        <v>19</v>
      </c>
      <c r="L118" s="1" t="s">
        <v>131</v>
      </c>
      <c r="M118" s="1" t="s">
        <v>73</v>
      </c>
      <c r="N118" s="1" t="s">
        <v>95</v>
      </c>
      <c r="O118" s="1">
        <v>4</v>
      </c>
      <c r="P118" s="1">
        <v>4</v>
      </c>
      <c r="Q118" s="1">
        <f>data[[#This Row],[Nilai Kepentingan Dimensi Persyaratan]]-data[[#This Row],[Nilai Kepuasan Dimensi Persyaratan]]</f>
        <v>0</v>
      </c>
      <c r="R118" s="1">
        <v>3</v>
      </c>
      <c r="S118" s="1">
        <v>4</v>
      </c>
      <c r="T118" s="1">
        <f>data[[#This Row],[Nilai Kepentingan Dimensi Prosedur]]-data[[#This Row],[Nilai Kepuasan Dimensi Prosedur]]</f>
        <v>1</v>
      </c>
      <c r="U118" s="1">
        <v>4</v>
      </c>
      <c r="V118" s="1">
        <v>4</v>
      </c>
      <c r="W118" s="1">
        <f>data[[#This Row],[Nilai Kepentingan Dimensi Waktu Pelayanan/Penyelesaian]]-data[[#This Row],[Nilai Kepuasan Dimensi Waktu Pelayanan/Penyelesaian]]</f>
        <v>0</v>
      </c>
      <c r="X118" s="1">
        <v>0</v>
      </c>
      <c r="Y118" s="1">
        <v>0</v>
      </c>
      <c r="Z118" s="1">
        <f>data[[#This Row],[Nilai Kepentingan Dimensi Tarif/ Biaya]]-data[[#This Row],[Nilai Kepuasan Dimensi Tarif / Biaya]]</f>
        <v>0</v>
      </c>
      <c r="AA118" s="1">
        <v>4</v>
      </c>
      <c r="AB118" s="1">
        <v>4</v>
      </c>
      <c r="AC118" s="1">
        <f>data[[#This Row],[Nilai Kepentingan Dimensi Produk Spesifikasi Jenis Layanan]]-data[[#This Row],[Nilai Kepuasan Dimensi Produk Spesifikasi Jenis Layanan]]</f>
        <v>0</v>
      </c>
      <c r="AD118" s="1">
        <v>4</v>
      </c>
      <c r="AE118" s="1">
        <v>4</v>
      </c>
      <c r="AF118" s="1">
        <f>data[[#This Row],[Nilai Kepentingan Dimensi Kompetensi Pelaksana]]-data[[#This Row],[Nilai Kepuasan Dimensi Kompetensi Pelaksana]]</f>
        <v>0</v>
      </c>
      <c r="AG118" s="1">
        <v>4</v>
      </c>
      <c r="AH118" s="1">
        <v>4</v>
      </c>
      <c r="AI118" s="1">
        <f>data[[#This Row],[Nilai Kepentingan Dimensi Perilaku Pelaksana]]-data[[#This Row],[Nilai Kepuasan Dimensi Perilaku Pelaksana]]</f>
        <v>0</v>
      </c>
      <c r="AJ118" s="1">
        <v>4</v>
      </c>
      <c r="AK118" s="1">
        <v>4</v>
      </c>
      <c r="AL118" s="1">
        <f>data[[#This Row],[Nilai Kepentingan Dimensi Penanganan Pengaduan, Saran &amp; Masukan]]-data[[#This Row],[Nilai Kepuasan Dimensi Penanganan Pengaduan, Saran &amp; Masukan]]</f>
        <v>0</v>
      </c>
      <c r="AM118" s="1">
        <v>3</v>
      </c>
      <c r="AN118" s="1">
        <v>4</v>
      </c>
      <c r="AO118" s="1">
        <f>data[[#This Row],[Nilai Kepentingan Dimensi Kualitas Sarana dan Prasarana]]-data[[#This Row],[Nilai Kepuasan Dimensi Kualitas Sarana dan Prasarana]]</f>
        <v>1</v>
      </c>
      <c r="AP118" s="1">
        <v>0</v>
      </c>
      <c r="AQ118" s="1" t="s">
        <v>69</v>
      </c>
      <c r="AR118" s="1">
        <v>0</v>
      </c>
      <c r="AS118" s="1" t="s">
        <v>69</v>
      </c>
      <c r="AT118" s="1">
        <v>4</v>
      </c>
      <c r="AU118" s="1" t="s">
        <v>75</v>
      </c>
      <c r="AV118" s="1" t="s">
        <v>83</v>
      </c>
      <c r="AW118" s="1" t="s">
        <v>96</v>
      </c>
      <c r="AX118" s="1">
        <v>0</v>
      </c>
      <c r="AY118" s="1">
        <v>0</v>
      </c>
      <c r="AZ118" s="1" t="s">
        <v>914</v>
      </c>
      <c r="BA118" s="1" t="s">
        <v>99</v>
      </c>
      <c r="BB118" s="1" t="s">
        <v>248</v>
      </c>
      <c r="BC118" s="1" t="s">
        <v>79</v>
      </c>
      <c r="BD118" s="1" t="s">
        <v>915</v>
      </c>
      <c r="BE118" s="1" t="s">
        <v>146</v>
      </c>
      <c r="BF118" s="5" t="s">
        <v>278</v>
      </c>
    </row>
    <row r="119" spans="1:58" x14ac:dyDescent="0.35">
      <c r="A119" s="4">
        <v>118</v>
      </c>
      <c r="B119" s="1" t="s">
        <v>916</v>
      </c>
      <c r="C119" s="1" t="s">
        <v>63</v>
      </c>
      <c r="D119" s="1" t="s">
        <v>125</v>
      </c>
      <c r="E119" s="1" t="s">
        <v>69</v>
      </c>
      <c r="F119" s="1" t="s">
        <v>69</v>
      </c>
      <c r="G119" s="1" t="s">
        <v>69</v>
      </c>
      <c r="H119" s="1" t="s">
        <v>69</v>
      </c>
      <c r="I119" s="1" t="s">
        <v>106</v>
      </c>
      <c r="J119" s="1" t="s">
        <v>107</v>
      </c>
      <c r="K119" s="1">
        <v>37</v>
      </c>
      <c r="L119" s="1" t="s">
        <v>153</v>
      </c>
      <c r="M119" s="1" t="s">
        <v>273</v>
      </c>
      <c r="N119" s="1" t="s">
        <v>74</v>
      </c>
      <c r="O119" s="1">
        <v>4</v>
      </c>
      <c r="P119" s="1">
        <v>3</v>
      </c>
      <c r="Q119" s="1">
        <f>data[[#This Row],[Nilai Kepentingan Dimensi Persyaratan]]-data[[#This Row],[Nilai Kepuasan Dimensi Persyaratan]]</f>
        <v>-1</v>
      </c>
      <c r="R119" s="1">
        <v>3</v>
      </c>
      <c r="S119" s="1">
        <v>3</v>
      </c>
      <c r="T119" s="1">
        <f>data[[#This Row],[Nilai Kepentingan Dimensi Prosedur]]-data[[#This Row],[Nilai Kepuasan Dimensi Prosedur]]</f>
        <v>0</v>
      </c>
      <c r="U119" s="1">
        <v>4</v>
      </c>
      <c r="V119" s="1">
        <v>4</v>
      </c>
      <c r="W119" s="1">
        <f>data[[#This Row],[Nilai Kepentingan Dimensi Waktu Pelayanan/Penyelesaian]]-data[[#This Row],[Nilai Kepuasan Dimensi Waktu Pelayanan/Penyelesaian]]</f>
        <v>0</v>
      </c>
      <c r="X119" s="1">
        <v>0</v>
      </c>
      <c r="Y119" s="1">
        <v>0</v>
      </c>
      <c r="Z119" s="1">
        <f>data[[#This Row],[Nilai Kepentingan Dimensi Tarif/ Biaya]]-data[[#This Row],[Nilai Kepuasan Dimensi Tarif / Biaya]]</f>
        <v>0</v>
      </c>
      <c r="AA119" s="1">
        <v>4</v>
      </c>
      <c r="AB119" s="1">
        <v>4</v>
      </c>
      <c r="AC119" s="1">
        <f>data[[#This Row],[Nilai Kepentingan Dimensi Produk Spesifikasi Jenis Layanan]]-data[[#This Row],[Nilai Kepuasan Dimensi Produk Spesifikasi Jenis Layanan]]</f>
        <v>0</v>
      </c>
      <c r="AD119" s="1">
        <v>4</v>
      </c>
      <c r="AE119" s="1">
        <v>4</v>
      </c>
      <c r="AF119" s="1">
        <f>data[[#This Row],[Nilai Kepentingan Dimensi Kompetensi Pelaksana]]-data[[#This Row],[Nilai Kepuasan Dimensi Kompetensi Pelaksana]]</f>
        <v>0</v>
      </c>
      <c r="AG119" s="1">
        <v>4</v>
      </c>
      <c r="AH119" s="1">
        <v>4</v>
      </c>
      <c r="AI119" s="1">
        <f>data[[#This Row],[Nilai Kepentingan Dimensi Perilaku Pelaksana]]-data[[#This Row],[Nilai Kepuasan Dimensi Perilaku Pelaksana]]</f>
        <v>0</v>
      </c>
      <c r="AJ119" s="1">
        <v>4</v>
      </c>
      <c r="AK119" s="1">
        <v>4</v>
      </c>
      <c r="AL119" s="1">
        <f>data[[#This Row],[Nilai Kepentingan Dimensi Penanganan Pengaduan, Saran &amp; Masukan]]-data[[#This Row],[Nilai Kepuasan Dimensi Penanganan Pengaduan, Saran &amp; Masukan]]</f>
        <v>0</v>
      </c>
      <c r="AM119" s="1">
        <v>3</v>
      </c>
      <c r="AN119" s="1">
        <v>3</v>
      </c>
      <c r="AO119" s="1">
        <f>data[[#This Row],[Nilai Kepentingan Dimensi Kualitas Sarana dan Prasarana]]-data[[#This Row],[Nilai Kepuasan Dimensi Kualitas Sarana dan Prasarana]]</f>
        <v>0</v>
      </c>
      <c r="AP119" s="1">
        <v>0</v>
      </c>
      <c r="AQ119" s="1" t="s">
        <v>69</v>
      </c>
      <c r="AR119" s="1">
        <v>0</v>
      </c>
      <c r="AS119" s="1" t="s">
        <v>69</v>
      </c>
      <c r="AT119" s="1">
        <v>0</v>
      </c>
      <c r="AU119" s="1" t="s">
        <v>69</v>
      </c>
      <c r="AV119" s="1" t="s">
        <v>144</v>
      </c>
      <c r="AW119" s="1" t="s">
        <v>144</v>
      </c>
      <c r="AX119" s="1">
        <v>2</v>
      </c>
      <c r="AY119" s="1">
        <v>3</v>
      </c>
      <c r="AZ119" s="1" t="s">
        <v>442</v>
      </c>
      <c r="BA119" s="1" t="s">
        <v>79</v>
      </c>
      <c r="BB119" s="1" t="s">
        <v>442</v>
      </c>
      <c r="BC119" s="1" t="s">
        <v>79</v>
      </c>
      <c r="BD119" s="1" t="s">
        <v>442</v>
      </c>
      <c r="BE119" s="1" t="s">
        <v>79</v>
      </c>
      <c r="BF119" s="5" t="s">
        <v>83</v>
      </c>
    </row>
    <row r="120" spans="1:58" x14ac:dyDescent="0.35">
      <c r="A120" s="4">
        <v>119</v>
      </c>
      <c r="B120" s="1" t="s">
        <v>920</v>
      </c>
      <c r="C120" s="1" t="s">
        <v>63</v>
      </c>
      <c r="D120" s="1" t="s">
        <v>179</v>
      </c>
      <c r="E120" s="1" t="s">
        <v>69</v>
      </c>
      <c r="F120" s="1" t="s">
        <v>69</v>
      </c>
      <c r="G120" s="1" t="s">
        <v>69</v>
      </c>
      <c r="H120" s="1" t="s">
        <v>69</v>
      </c>
      <c r="I120" s="1" t="s">
        <v>70</v>
      </c>
      <c r="J120" s="1" t="s">
        <v>71</v>
      </c>
      <c r="K120" s="1">
        <v>18</v>
      </c>
      <c r="L120" s="1" t="s">
        <v>131</v>
      </c>
      <c r="M120" s="1" t="s">
        <v>73</v>
      </c>
      <c r="N120" s="1" t="s">
        <v>95</v>
      </c>
      <c r="O120" s="1">
        <v>4</v>
      </c>
      <c r="P120" s="1">
        <v>4</v>
      </c>
      <c r="Q120" s="1">
        <f>data[[#This Row],[Nilai Kepentingan Dimensi Persyaratan]]-data[[#This Row],[Nilai Kepuasan Dimensi Persyaratan]]</f>
        <v>0</v>
      </c>
      <c r="R120" s="1">
        <v>4</v>
      </c>
      <c r="S120" s="1">
        <v>4</v>
      </c>
      <c r="T120" s="1">
        <f>data[[#This Row],[Nilai Kepentingan Dimensi Prosedur]]-data[[#This Row],[Nilai Kepuasan Dimensi Prosedur]]</f>
        <v>0</v>
      </c>
      <c r="U120" s="1">
        <v>4</v>
      </c>
      <c r="V120" s="1">
        <v>4</v>
      </c>
      <c r="W120" s="1">
        <f>data[[#This Row],[Nilai Kepentingan Dimensi Waktu Pelayanan/Penyelesaian]]-data[[#This Row],[Nilai Kepuasan Dimensi Waktu Pelayanan/Penyelesaian]]</f>
        <v>0</v>
      </c>
      <c r="X120" s="1">
        <v>4</v>
      </c>
      <c r="Y120" s="1">
        <v>4</v>
      </c>
      <c r="Z120" s="1">
        <f>data[[#This Row],[Nilai Kepentingan Dimensi Tarif/ Biaya]]-data[[#This Row],[Nilai Kepuasan Dimensi Tarif / Biaya]]</f>
        <v>0</v>
      </c>
      <c r="AA120" s="1">
        <v>4</v>
      </c>
      <c r="AB120" s="1">
        <v>4</v>
      </c>
      <c r="AC120" s="1">
        <f>data[[#This Row],[Nilai Kepentingan Dimensi Produk Spesifikasi Jenis Layanan]]-data[[#This Row],[Nilai Kepuasan Dimensi Produk Spesifikasi Jenis Layanan]]</f>
        <v>0</v>
      </c>
      <c r="AD120" s="1">
        <v>4</v>
      </c>
      <c r="AE120" s="1">
        <v>4</v>
      </c>
      <c r="AF120" s="1">
        <f>data[[#This Row],[Nilai Kepentingan Dimensi Kompetensi Pelaksana]]-data[[#This Row],[Nilai Kepuasan Dimensi Kompetensi Pelaksana]]</f>
        <v>0</v>
      </c>
      <c r="AG120" s="1">
        <v>4</v>
      </c>
      <c r="AH120" s="1">
        <v>4</v>
      </c>
      <c r="AI120" s="1">
        <f>data[[#This Row],[Nilai Kepentingan Dimensi Perilaku Pelaksana]]-data[[#This Row],[Nilai Kepuasan Dimensi Perilaku Pelaksana]]</f>
        <v>0</v>
      </c>
      <c r="AJ120" s="1">
        <v>4</v>
      </c>
      <c r="AK120" s="1">
        <v>4</v>
      </c>
      <c r="AL120" s="1">
        <f>data[[#This Row],[Nilai Kepentingan Dimensi Penanganan Pengaduan, Saran &amp; Masukan]]-data[[#This Row],[Nilai Kepuasan Dimensi Penanganan Pengaduan, Saran &amp; Masukan]]</f>
        <v>0</v>
      </c>
      <c r="AM120" s="1">
        <v>4</v>
      </c>
      <c r="AN120" s="1">
        <v>4</v>
      </c>
      <c r="AO120" s="1">
        <f>data[[#This Row],[Nilai Kepentingan Dimensi Kualitas Sarana dan Prasarana]]-data[[#This Row],[Nilai Kepuasan Dimensi Kualitas Sarana dan Prasarana]]</f>
        <v>0</v>
      </c>
      <c r="AP120" s="1">
        <v>0</v>
      </c>
      <c r="AQ120" s="1" t="s">
        <v>69</v>
      </c>
      <c r="AR120" s="1">
        <v>4</v>
      </c>
      <c r="AS120" s="1" t="s">
        <v>69</v>
      </c>
      <c r="AT120" s="1">
        <v>0</v>
      </c>
      <c r="AU120" s="1" t="s">
        <v>69</v>
      </c>
      <c r="AV120" s="1" t="s">
        <v>83</v>
      </c>
      <c r="AW120" s="1" t="s">
        <v>96</v>
      </c>
      <c r="AX120" s="1">
        <v>0</v>
      </c>
      <c r="AY120" s="1">
        <v>0</v>
      </c>
      <c r="AZ120" s="1" t="s">
        <v>248</v>
      </c>
      <c r="BA120" s="1" t="s">
        <v>79</v>
      </c>
      <c r="BB120" s="1" t="s">
        <v>248</v>
      </c>
      <c r="BC120" s="1" t="s">
        <v>79</v>
      </c>
      <c r="BD120" s="1" t="s">
        <v>248</v>
      </c>
      <c r="BE120" s="1" t="s">
        <v>79</v>
      </c>
      <c r="BF120" s="5" t="s">
        <v>248</v>
      </c>
    </row>
    <row r="121" spans="1:58" x14ac:dyDescent="0.35">
      <c r="A121" s="4">
        <v>120</v>
      </c>
      <c r="B121" s="1" t="s">
        <v>924</v>
      </c>
      <c r="C121" s="1" t="s">
        <v>63</v>
      </c>
      <c r="D121" s="1" t="s">
        <v>125</v>
      </c>
      <c r="E121" s="1" t="s">
        <v>69</v>
      </c>
      <c r="F121" s="1" t="s">
        <v>69</v>
      </c>
      <c r="G121" s="1" t="s">
        <v>69</v>
      </c>
      <c r="H121" s="1" t="s">
        <v>69</v>
      </c>
      <c r="I121" s="1" t="s">
        <v>106</v>
      </c>
      <c r="J121" s="1" t="s">
        <v>71</v>
      </c>
      <c r="K121" s="1">
        <v>18</v>
      </c>
      <c r="L121" s="1" t="s">
        <v>131</v>
      </c>
      <c r="M121" s="1" t="s">
        <v>73</v>
      </c>
      <c r="N121" s="1" t="s">
        <v>133</v>
      </c>
      <c r="O121" s="1">
        <v>3</v>
      </c>
      <c r="P121" s="1">
        <v>3</v>
      </c>
      <c r="Q121" s="1">
        <f>data[[#This Row],[Nilai Kepentingan Dimensi Persyaratan]]-data[[#This Row],[Nilai Kepuasan Dimensi Persyaratan]]</f>
        <v>0</v>
      </c>
      <c r="R121" s="1">
        <v>2</v>
      </c>
      <c r="S121" s="1">
        <v>2</v>
      </c>
      <c r="T121" s="1">
        <f>data[[#This Row],[Nilai Kepentingan Dimensi Prosedur]]-data[[#This Row],[Nilai Kepuasan Dimensi Prosedur]]</f>
        <v>0</v>
      </c>
      <c r="U121" s="1">
        <v>4</v>
      </c>
      <c r="V121" s="1">
        <v>4</v>
      </c>
      <c r="W121" s="1">
        <f>data[[#This Row],[Nilai Kepentingan Dimensi Waktu Pelayanan/Penyelesaian]]-data[[#This Row],[Nilai Kepuasan Dimensi Waktu Pelayanan/Penyelesaian]]</f>
        <v>0</v>
      </c>
      <c r="X121" s="1">
        <v>3</v>
      </c>
      <c r="Y121" s="1">
        <v>3</v>
      </c>
      <c r="Z121" s="1">
        <f>data[[#This Row],[Nilai Kepentingan Dimensi Tarif/ Biaya]]-data[[#This Row],[Nilai Kepuasan Dimensi Tarif / Biaya]]</f>
        <v>0</v>
      </c>
      <c r="AA121" s="1">
        <v>3</v>
      </c>
      <c r="AB121" s="1">
        <v>3</v>
      </c>
      <c r="AC121" s="1">
        <f>data[[#This Row],[Nilai Kepentingan Dimensi Produk Spesifikasi Jenis Layanan]]-data[[#This Row],[Nilai Kepuasan Dimensi Produk Spesifikasi Jenis Layanan]]</f>
        <v>0</v>
      </c>
      <c r="AD121" s="1">
        <v>4</v>
      </c>
      <c r="AE121" s="1">
        <v>4</v>
      </c>
      <c r="AF121" s="1">
        <f>data[[#This Row],[Nilai Kepentingan Dimensi Kompetensi Pelaksana]]-data[[#This Row],[Nilai Kepuasan Dimensi Kompetensi Pelaksana]]</f>
        <v>0</v>
      </c>
      <c r="AG121" s="1">
        <v>4</v>
      </c>
      <c r="AH121" s="1">
        <v>4</v>
      </c>
      <c r="AI121" s="1">
        <f>data[[#This Row],[Nilai Kepentingan Dimensi Perilaku Pelaksana]]-data[[#This Row],[Nilai Kepuasan Dimensi Perilaku Pelaksana]]</f>
        <v>0</v>
      </c>
      <c r="AJ121" s="1">
        <v>4</v>
      </c>
      <c r="AK121" s="1">
        <v>4</v>
      </c>
      <c r="AL121" s="1">
        <f>data[[#This Row],[Nilai Kepentingan Dimensi Penanganan Pengaduan, Saran &amp; Masukan]]-data[[#This Row],[Nilai Kepuasan Dimensi Penanganan Pengaduan, Saran &amp; Masukan]]</f>
        <v>0</v>
      </c>
      <c r="AM121" s="1">
        <v>3</v>
      </c>
      <c r="AN121" s="1">
        <v>3</v>
      </c>
      <c r="AO121" s="1">
        <f>data[[#This Row],[Nilai Kepentingan Dimensi Kualitas Sarana dan Prasarana]]-data[[#This Row],[Nilai Kepuasan Dimensi Kualitas Sarana dan Prasarana]]</f>
        <v>0</v>
      </c>
      <c r="AP121" s="1">
        <v>0</v>
      </c>
      <c r="AQ121" s="1" t="s">
        <v>69</v>
      </c>
      <c r="AR121" s="1">
        <v>3</v>
      </c>
      <c r="AS121" s="1" t="s">
        <v>75</v>
      </c>
      <c r="AT121" s="1">
        <v>0</v>
      </c>
      <c r="AU121" s="1" t="s">
        <v>69</v>
      </c>
      <c r="AV121" s="1" t="s">
        <v>83</v>
      </c>
      <c r="AW121" s="1" t="s">
        <v>96</v>
      </c>
      <c r="AX121" s="1">
        <v>0</v>
      </c>
      <c r="AY121" s="1">
        <v>0</v>
      </c>
      <c r="AZ121" s="1" t="s">
        <v>442</v>
      </c>
      <c r="BA121" s="1" t="s">
        <v>79</v>
      </c>
      <c r="BB121" s="1" t="s">
        <v>442</v>
      </c>
      <c r="BC121" s="1" t="s">
        <v>79</v>
      </c>
      <c r="BD121" s="1" t="s">
        <v>891</v>
      </c>
      <c r="BE121" s="1" t="s">
        <v>190</v>
      </c>
      <c r="BF121" s="5" t="s">
        <v>83</v>
      </c>
    </row>
    <row r="122" spans="1:58" x14ac:dyDescent="0.35">
      <c r="A122" s="4">
        <v>121</v>
      </c>
      <c r="B122" s="1" t="s">
        <v>928</v>
      </c>
      <c r="C122" s="1" t="s">
        <v>63</v>
      </c>
      <c r="D122" s="1" t="s">
        <v>179</v>
      </c>
      <c r="E122" s="1" t="s">
        <v>69</v>
      </c>
      <c r="F122" s="1" t="s">
        <v>69</v>
      </c>
      <c r="G122" s="1" t="s">
        <v>69</v>
      </c>
      <c r="H122" s="1" t="s">
        <v>69</v>
      </c>
      <c r="I122" s="1" t="s">
        <v>70</v>
      </c>
      <c r="J122" s="1" t="s">
        <v>71</v>
      </c>
      <c r="K122" s="1">
        <v>24</v>
      </c>
      <c r="L122" s="1" t="s">
        <v>72</v>
      </c>
      <c r="M122" s="1" t="s">
        <v>93</v>
      </c>
      <c r="N122" s="1" t="s">
        <v>74</v>
      </c>
      <c r="O122" s="1">
        <v>4</v>
      </c>
      <c r="P122" s="1">
        <v>4</v>
      </c>
      <c r="Q122" s="1">
        <f>data[[#This Row],[Nilai Kepentingan Dimensi Persyaratan]]-data[[#This Row],[Nilai Kepuasan Dimensi Persyaratan]]</f>
        <v>0</v>
      </c>
      <c r="R122" s="1">
        <v>3</v>
      </c>
      <c r="S122" s="1">
        <v>4</v>
      </c>
      <c r="T122" s="1">
        <f>data[[#This Row],[Nilai Kepentingan Dimensi Prosedur]]-data[[#This Row],[Nilai Kepuasan Dimensi Prosedur]]</f>
        <v>1</v>
      </c>
      <c r="U122" s="1">
        <v>4</v>
      </c>
      <c r="V122" s="1">
        <v>4</v>
      </c>
      <c r="W122" s="1">
        <f>data[[#This Row],[Nilai Kepentingan Dimensi Waktu Pelayanan/Penyelesaian]]-data[[#This Row],[Nilai Kepuasan Dimensi Waktu Pelayanan/Penyelesaian]]</f>
        <v>0</v>
      </c>
      <c r="X122" s="1">
        <v>4</v>
      </c>
      <c r="Y122" s="1">
        <v>4</v>
      </c>
      <c r="Z122" s="1">
        <f>data[[#This Row],[Nilai Kepentingan Dimensi Tarif/ Biaya]]-data[[#This Row],[Nilai Kepuasan Dimensi Tarif / Biaya]]</f>
        <v>0</v>
      </c>
      <c r="AA122" s="1">
        <v>4</v>
      </c>
      <c r="AB122" s="1">
        <v>4</v>
      </c>
      <c r="AC122" s="1">
        <f>data[[#This Row],[Nilai Kepentingan Dimensi Produk Spesifikasi Jenis Layanan]]-data[[#This Row],[Nilai Kepuasan Dimensi Produk Spesifikasi Jenis Layanan]]</f>
        <v>0</v>
      </c>
      <c r="AD122" s="1">
        <v>4</v>
      </c>
      <c r="AE122" s="1">
        <v>4</v>
      </c>
      <c r="AF122" s="1">
        <f>data[[#This Row],[Nilai Kepentingan Dimensi Kompetensi Pelaksana]]-data[[#This Row],[Nilai Kepuasan Dimensi Kompetensi Pelaksana]]</f>
        <v>0</v>
      </c>
      <c r="AG122" s="1">
        <v>4</v>
      </c>
      <c r="AH122" s="1">
        <v>4</v>
      </c>
      <c r="AI122" s="1">
        <f>data[[#This Row],[Nilai Kepentingan Dimensi Perilaku Pelaksana]]-data[[#This Row],[Nilai Kepuasan Dimensi Perilaku Pelaksana]]</f>
        <v>0</v>
      </c>
      <c r="AJ122" s="1">
        <v>4</v>
      </c>
      <c r="AK122" s="1">
        <v>4</v>
      </c>
      <c r="AL122" s="1">
        <f>data[[#This Row],[Nilai Kepentingan Dimensi Penanganan Pengaduan, Saran &amp; Masukan]]-data[[#This Row],[Nilai Kepuasan Dimensi Penanganan Pengaduan, Saran &amp; Masukan]]</f>
        <v>0</v>
      </c>
      <c r="AM122" s="1">
        <v>4</v>
      </c>
      <c r="AN122" s="1">
        <v>3</v>
      </c>
      <c r="AO122" s="1">
        <f>data[[#This Row],[Nilai Kepentingan Dimensi Kualitas Sarana dan Prasarana]]-data[[#This Row],[Nilai Kepuasan Dimensi Kualitas Sarana dan Prasarana]]</f>
        <v>-1</v>
      </c>
      <c r="AP122" s="1">
        <v>0</v>
      </c>
      <c r="AQ122" s="1" t="s">
        <v>69</v>
      </c>
      <c r="AR122" s="1">
        <v>3</v>
      </c>
      <c r="AS122" s="1" t="s">
        <v>75</v>
      </c>
      <c r="AT122" s="1">
        <v>0</v>
      </c>
      <c r="AU122" s="1" t="s">
        <v>69</v>
      </c>
      <c r="AV122" s="1" t="s">
        <v>83</v>
      </c>
      <c r="AW122" s="1" t="s">
        <v>96</v>
      </c>
      <c r="AX122" s="1">
        <v>0</v>
      </c>
      <c r="AY122" s="1">
        <v>0</v>
      </c>
      <c r="AZ122" s="1" t="s">
        <v>248</v>
      </c>
      <c r="BA122" s="1" t="s">
        <v>79</v>
      </c>
      <c r="BB122" s="1" t="s">
        <v>278</v>
      </c>
      <c r="BC122" s="1" t="s">
        <v>79</v>
      </c>
      <c r="BD122" s="1" t="s">
        <v>278</v>
      </c>
      <c r="BE122" s="1" t="s">
        <v>79</v>
      </c>
      <c r="BF122" s="5" t="s">
        <v>931</v>
      </c>
    </row>
    <row r="123" spans="1:58" x14ac:dyDescent="0.35">
      <c r="A123" s="4">
        <v>122</v>
      </c>
      <c r="B123" s="1" t="s">
        <v>932</v>
      </c>
      <c r="C123" s="1" t="s">
        <v>63</v>
      </c>
      <c r="D123" s="1" t="s">
        <v>179</v>
      </c>
      <c r="E123" s="1" t="s">
        <v>69</v>
      </c>
      <c r="F123" s="1" t="s">
        <v>69</v>
      </c>
      <c r="G123" s="1" t="s">
        <v>69</v>
      </c>
      <c r="H123" s="1" t="s">
        <v>69</v>
      </c>
      <c r="I123" s="1" t="s">
        <v>106</v>
      </c>
      <c r="J123" s="1" t="s">
        <v>71</v>
      </c>
      <c r="K123" s="1">
        <v>27</v>
      </c>
      <c r="L123" s="1" t="s">
        <v>92</v>
      </c>
      <c r="M123" s="1" t="s">
        <v>73</v>
      </c>
      <c r="N123" s="1" t="s">
        <v>74</v>
      </c>
      <c r="O123" s="1">
        <v>4</v>
      </c>
      <c r="P123" s="1">
        <v>3</v>
      </c>
      <c r="Q123" s="1">
        <f>data[[#This Row],[Nilai Kepentingan Dimensi Persyaratan]]-data[[#This Row],[Nilai Kepuasan Dimensi Persyaratan]]</f>
        <v>-1</v>
      </c>
      <c r="R123" s="1">
        <v>3</v>
      </c>
      <c r="S123" s="1">
        <v>4</v>
      </c>
      <c r="T123" s="1">
        <f>data[[#This Row],[Nilai Kepentingan Dimensi Prosedur]]-data[[#This Row],[Nilai Kepuasan Dimensi Prosedur]]</f>
        <v>1</v>
      </c>
      <c r="U123" s="1">
        <v>4</v>
      </c>
      <c r="V123" s="1">
        <v>4</v>
      </c>
      <c r="W123" s="1">
        <f>data[[#This Row],[Nilai Kepentingan Dimensi Waktu Pelayanan/Penyelesaian]]-data[[#This Row],[Nilai Kepuasan Dimensi Waktu Pelayanan/Penyelesaian]]</f>
        <v>0</v>
      </c>
      <c r="X123" s="1">
        <v>4</v>
      </c>
      <c r="Y123" s="1">
        <v>4</v>
      </c>
      <c r="Z123" s="1">
        <f>data[[#This Row],[Nilai Kepentingan Dimensi Tarif/ Biaya]]-data[[#This Row],[Nilai Kepuasan Dimensi Tarif / Biaya]]</f>
        <v>0</v>
      </c>
      <c r="AA123" s="1">
        <v>4</v>
      </c>
      <c r="AB123" s="1">
        <v>4</v>
      </c>
      <c r="AC123" s="1">
        <f>data[[#This Row],[Nilai Kepentingan Dimensi Produk Spesifikasi Jenis Layanan]]-data[[#This Row],[Nilai Kepuasan Dimensi Produk Spesifikasi Jenis Layanan]]</f>
        <v>0</v>
      </c>
      <c r="AD123" s="1">
        <v>4</v>
      </c>
      <c r="AE123" s="1">
        <v>4</v>
      </c>
      <c r="AF123" s="1">
        <f>data[[#This Row],[Nilai Kepentingan Dimensi Kompetensi Pelaksana]]-data[[#This Row],[Nilai Kepuasan Dimensi Kompetensi Pelaksana]]</f>
        <v>0</v>
      </c>
      <c r="AG123" s="1">
        <v>4</v>
      </c>
      <c r="AH123" s="1">
        <v>4</v>
      </c>
      <c r="AI123" s="1">
        <f>data[[#This Row],[Nilai Kepentingan Dimensi Perilaku Pelaksana]]-data[[#This Row],[Nilai Kepuasan Dimensi Perilaku Pelaksana]]</f>
        <v>0</v>
      </c>
      <c r="AJ123" s="1">
        <v>4</v>
      </c>
      <c r="AK123" s="1">
        <v>4</v>
      </c>
      <c r="AL123" s="1">
        <f>data[[#This Row],[Nilai Kepentingan Dimensi Penanganan Pengaduan, Saran &amp; Masukan]]-data[[#This Row],[Nilai Kepuasan Dimensi Penanganan Pengaduan, Saran &amp; Masukan]]</f>
        <v>0</v>
      </c>
      <c r="AM123" s="1">
        <v>4</v>
      </c>
      <c r="AN123" s="1">
        <v>4</v>
      </c>
      <c r="AO123" s="1">
        <f>data[[#This Row],[Nilai Kepentingan Dimensi Kualitas Sarana dan Prasarana]]-data[[#This Row],[Nilai Kepuasan Dimensi Kualitas Sarana dan Prasarana]]</f>
        <v>0</v>
      </c>
      <c r="AP123" s="1">
        <v>0</v>
      </c>
      <c r="AQ123" s="1" t="s">
        <v>69</v>
      </c>
      <c r="AR123" s="1">
        <v>4</v>
      </c>
      <c r="AS123" s="1" t="s">
        <v>75</v>
      </c>
      <c r="AT123" s="1">
        <v>0</v>
      </c>
      <c r="AU123" s="1" t="s">
        <v>69</v>
      </c>
      <c r="AV123" s="1" t="s">
        <v>83</v>
      </c>
      <c r="AW123" s="1" t="s">
        <v>96</v>
      </c>
      <c r="AX123" s="1">
        <v>0</v>
      </c>
      <c r="AY123" s="1">
        <v>0</v>
      </c>
      <c r="AZ123" s="1" t="s">
        <v>278</v>
      </c>
      <c r="BA123" s="1" t="s">
        <v>79</v>
      </c>
      <c r="BB123" s="1" t="s">
        <v>278</v>
      </c>
      <c r="BC123" s="1" t="s">
        <v>79</v>
      </c>
      <c r="BD123" s="1" t="s">
        <v>936</v>
      </c>
      <c r="BE123" s="1" t="s">
        <v>190</v>
      </c>
      <c r="BF123" s="5" t="s">
        <v>278</v>
      </c>
    </row>
    <row r="124" spans="1:58" x14ac:dyDescent="0.35">
      <c r="A124" s="4">
        <v>123</v>
      </c>
      <c r="B124" s="1" t="s">
        <v>937</v>
      </c>
      <c r="C124" s="1" t="s">
        <v>63</v>
      </c>
      <c r="D124" s="1" t="s">
        <v>179</v>
      </c>
      <c r="E124" s="1" t="s">
        <v>69</v>
      </c>
      <c r="F124" s="1" t="s">
        <v>69</v>
      </c>
      <c r="G124" s="1" t="s">
        <v>69</v>
      </c>
      <c r="H124" s="1" t="s">
        <v>69</v>
      </c>
      <c r="I124" s="1" t="s">
        <v>70</v>
      </c>
      <c r="J124" s="1" t="s">
        <v>71</v>
      </c>
      <c r="K124" s="1">
        <v>18</v>
      </c>
      <c r="L124" s="1" t="s">
        <v>131</v>
      </c>
      <c r="M124" s="1" t="s">
        <v>73</v>
      </c>
      <c r="N124" s="1" t="s">
        <v>133</v>
      </c>
      <c r="O124" s="1">
        <v>4</v>
      </c>
      <c r="P124" s="1">
        <v>4</v>
      </c>
      <c r="Q124" s="1">
        <f>data[[#This Row],[Nilai Kepentingan Dimensi Persyaratan]]-data[[#This Row],[Nilai Kepuasan Dimensi Persyaratan]]</f>
        <v>0</v>
      </c>
      <c r="R124" s="1">
        <v>4</v>
      </c>
      <c r="S124" s="1">
        <v>4</v>
      </c>
      <c r="T124" s="1">
        <f>data[[#This Row],[Nilai Kepentingan Dimensi Prosedur]]-data[[#This Row],[Nilai Kepuasan Dimensi Prosedur]]</f>
        <v>0</v>
      </c>
      <c r="U124" s="1">
        <v>4</v>
      </c>
      <c r="V124" s="1">
        <v>4</v>
      </c>
      <c r="W124" s="1">
        <f>data[[#This Row],[Nilai Kepentingan Dimensi Waktu Pelayanan/Penyelesaian]]-data[[#This Row],[Nilai Kepuasan Dimensi Waktu Pelayanan/Penyelesaian]]</f>
        <v>0</v>
      </c>
      <c r="X124" s="1">
        <v>4</v>
      </c>
      <c r="Y124" s="1">
        <v>4</v>
      </c>
      <c r="Z124" s="1">
        <f>data[[#This Row],[Nilai Kepentingan Dimensi Tarif/ Biaya]]-data[[#This Row],[Nilai Kepuasan Dimensi Tarif / Biaya]]</f>
        <v>0</v>
      </c>
      <c r="AA124" s="1">
        <v>4</v>
      </c>
      <c r="AB124" s="1">
        <v>4</v>
      </c>
      <c r="AC124" s="1">
        <f>data[[#This Row],[Nilai Kepentingan Dimensi Produk Spesifikasi Jenis Layanan]]-data[[#This Row],[Nilai Kepuasan Dimensi Produk Spesifikasi Jenis Layanan]]</f>
        <v>0</v>
      </c>
      <c r="AD124" s="1">
        <v>4</v>
      </c>
      <c r="AE124" s="1">
        <v>4</v>
      </c>
      <c r="AF124" s="1">
        <f>data[[#This Row],[Nilai Kepentingan Dimensi Kompetensi Pelaksana]]-data[[#This Row],[Nilai Kepuasan Dimensi Kompetensi Pelaksana]]</f>
        <v>0</v>
      </c>
      <c r="AG124" s="1">
        <v>4</v>
      </c>
      <c r="AH124" s="1">
        <v>4</v>
      </c>
      <c r="AI124" s="1">
        <f>data[[#This Row],[Nilai Kepentingan Dimensi Perilaku Pelaksana]]-data[[#This Row],[Nilai Kepuasan Dimensi Perilaku Pelaksana]]</f>
        <v>0</v>
      </c>
      <c r="AJ124" s="1">
        <v>4</v>
      </c>
      <c r="AK124" s="1">
        <v>4</v>
      </c>
      <c r="AL124" s="1">
        <f>data[[#This Row],[Nilai Kepentingan Dimensi Penanganan Pengaduan, Saran &amp; Masukan]]-data[[#This Row],[Nilai Kepuasan Dimensi Penanganan Pengaduan, Saran &amp; Masukan]]</f>
        <v>0</v>
      </c>
      <c r="AM124" s="1">
        <v>4</v>
      </c>
      <c r="AN124" s="1">
        <v>4</v>
      </c>
      <c r="AO124" s="1">
        <f>data[[#This Row],[Nilai Kepentingan Dimensi Kualitas Sarana dan Prasarana]]-data[[#This Row],[Nilai Kepuasan Dimensi Kualitas Sarana dan Prasarana]]</f>
        <v>0</v>
      </c>
      <c r="AP124" s="1">
        <v>3</v>
      </c>
      <c r="AQ124" s="1" t="s">
        <v>75</v>
      </c>
      <c r="AR124" s="1">
        <v>0</v>
      </c>
      <c r="AS124" s="1" t="s">
        <v>69</v>
      </c>
      <c r="AT124" s="1">
        <v>0</v>
      </c>
      <c r="AU124" s="1" t="s">
        <v>69</v>
      </c>
      <c r="AV124" s="1" t="s">
        <v>83</v>
      </c>
      <c r="AW124" s="1" t="s">
        <v>96</v>
      </c>
      <c r="AX124" s="1">
        <v>0</v>
      </c>
      <c r="AY124" s="1">
        <v>0</v>
      </c>
      <c r="AZ124" s="1" t="s">
        <v>942</v>
      </c>
      <c r="BA124" s="1" t="s">
        <v>235</v>
      </c>
      <c r="BB124" s="1" t="s">
        <v>248</v>
      </c>
      <c r="BC124" s="1" t="s">
        <v>79</v>
      </c>
      <c r="BD124" s="1" t="s">
        <v>248</v>
      </c>
      <c r="BE124" s="1" t="s">
        <v>79</v>
      </c>
      <c r="BF124" s="5" t="s">
        <v>278</v>
      </c>
    </row>
    <row r="125" spans="1:58" x14ac:dyDescent="0.35">
      <c r="A125" s="4">
        <v>124</v>
      </c>
      <c r="B125" s="1" t="s">
        <v>943</v>
      </c>
      <c r="C125" s="1" t="s">
        <v>63</v>
      </c>
      <c r="D125" s="1" t="s">
        <v>179</v>
      </c>
      <c r="E125" s="1" t="s">
        <v>69</v>
      </c>
      <c r="F125" s="1" t="s">
        <v>69</v>
      </c>
      <c r="G125" s="1" t="s">
        <v>69</v>
      </c>
      <c r="H125" s="1" t="s">
        <v>69</v>
      </c>
      <c r="I125" s="1" t="s">
        <v>106</v>
      </c>
      <c r="J125" s="1" t="s">
        <v>71</v>
      </c>
      <c r="K125" s="1">
        <v>19</v>
      </c>
      <c r="L125" s="1" t="s">
        <v>131</v>
      </c>
      <c r="M125" s="1" t="s">
        <v>73</v>
      </c>
      <c r="N125" s="1" t="s">
        <v>133</v>
      </c>
      <c r="O125" s="1">
        <v>3</v>
      </c>
      <c r="P125" s="1">
        <v>3</v>
      </c>
      <c r="Q125" s="1">
        <f>data[[#This Row],[Nilai Kepentingan Dimensi Persyaratan]]-data[[#This Row],[Nilai Kepuasan Dimensi Persyaratan]]</f>
        <v>0</v>
      </c>
      <c r="R125" s="1">
        <v>4</v>
      </c>
      <c r="S125" s="1">
        <v>3</v>
      </c>
      <c r="T125" s="1">
        <f>data[[#This Row],[Nilai Kepentingan Dimensi Prosedur]]-data[[#This Row],[Nilai Kepuasan Dimensi Prosedur]]</f>
        <v>-1</v>
      </c>
      <c r="U125" s="1">
        <v>3</v>
      </c>
      <c r="V125" s="1">
        <v>3</v>
      </c>
      <c r="W125" s="1">
        <f>data[[#This Row],[Nilai Kepentingan Dimensi Waktu Pelayanan/Penyelesaian]]-data[[#This Row],[Nilai Kepuasan Dimensi Waktu Pelayanan/Penyelesaian]]</f>
        <v>0</v>
      </c>
      <c r="X125" s="1">
        <v>4</v>
      </c>
      <c r="Y125" s="1">
        <v>4</v>
      </c>
      <c r="Z125" s="1">
        <f>data[[#This Row],[Nilai Kepentingan Dimensi Tarif/ Biaya]]-data[[#This Row],[Nilai Kepuasan Dimensi Tarif / Biaya]]</f>
        <v>0</v>
      </c>
      <c r="AA125" s="1">
        <v>3</v>
      </c>
      <c r="AB125" s="1">
        <v>4</v>
      </c>
      <c r="AC125" s="1">
        <f>data[[#This Row],[Nilai Kepentingan Dimensi Produk Spesifikasi Jenis Layanan]]-data[[#This Row],[Nilai Kepuasan Dimensi Produk Spesifikasi Jenis Layanan]]</f>
        <v>1</v>
      </c>
      <c r="AD125" s="1">
        <v>3</v>
      </c>
      <c r="AE125" s="1">
        <v>4</v>
      </c>
      <c r="AF125" s="1">
        <f>data[[#This Row],[Nilai Kepentingan Dimensi Kompetensi Pelaksana]]-data[[#This Row],[Nilai Kepuasan Dimensi Kompetensi Pelaksana]]</f>
        <v>1</v>
      </c>
      <c r="AG125" s="1">
        <v>4</v>
      </c>
      <c r="AH125" s="1">
        <v>4</v>
      </c>
      <c r="AI125" s="1">
        <f>data[[#This Row],[Nilai Kepentingan Dimensi Perilaku Pelaksana]]-data[[#This Row],[Nilai Kepuasan Dimensi Perilaku Pelaksana]]</f>
        <v>0</v>
      </c>
      <c r="AJ125" s="1">
        <v>4</v>
      </c>
      <c r="AK125" s="1">
        <v>4</v>
      </c>
      <c r="AL125" s="1">
        <f>data[[#This Row],[Nilai Kepentingan Dimensi Penanganan Pengaduan, Saran &amp; Masukan]]-data[[#This Row],[Nilai Kepuasan Dimensi Penanganan Pengaduan, Saran &amp; Masukan]]</f>
        <v>0</v>
      </c>
      <c r="AM125" s="1">
        <v>3</v>
      </c>
      <c r="AN125" s="1">
        <v>4</v>
      </c>
      <c r="AO125" s="1">
        <f>data[[#This Row],[Nilai Kepentingan Dimensi Kualitas Sarana dan Prasarana]]-data[[#This Row],[Nilai Kepuasan Dimensi Kualitas Sarana dan Prasarana]]</f>
        <v>1</v>
      </c>
      <c r="AP125" s="1">
        <v>0</v>
      </c>
      <c r="AQ125" s="1" t="s">
        <v>69</v>
      </c>
      <c r="AR125" s="1">
        <v>0</v>
      </c>
      <c r="AS125" s="1" t="s">
        <v>69</v>
      </c>
      <c r="AT125" s="1">
        <v>3</v>
      </c>
      <c r="AU125" s="1" t="s">
        <v>75</v>
      </c>
      <c r="AV125" s="1" t="s">
        <v>83</v>
      </c>
      <c r="AW125" s="1" t="s">
        <v>96</v>
      </c>
      <c r="AX125" s="1">
        <v>0</v>
      </c>
      <c r="AY125" s="1">
        <v>0</v>
      </c>
      <c r="AZ125" s="1" t="s">
        <v>802</v>
      </c>
      <c r="BA125" s="1" t="s">
        <v>79</v>
      </c>
      <c r="BB125" s="1" t="s">
        <v>248</v>
      </c>
      <c r="BC125" s="1" t="s">
        <v>79</v>
      </c>
      <c r="BD125" s="1" t="s">
        <v>248</v>
      </c>
      <c r="BE125" s="1" t="s">
        <v>79</v>
      </c>
      <c r="BF125" s="5" t="s">
        <v>802</v>
      </c>
    </row>
    <row r="126" spans="1:58" x14ac:dyDescent="0.35">
      <c r="A126" s="4">
        <v>125</v>
      </c>
      <c r="B126" s="1" t="s">
        <v>947</v>
      </c>
      <c r="C126" s="1" t="s">
        <v>63</v>
      </c>
      <c r="D126" s="1" t="s">
        <v>125</v>
      </c>
      <c r="E126" s="1" t="s">
        <v>69</v>
      </c>
      <c r="F126" s="1" t="s">
        <v>69</v>
      </c>
      <c r="G126" s="1" t="s">
        <v>69</v>
      </c>
      <c r="H126" s="1" t="s">
        <v>69</v>
      </c>
      <c r="I126" s="1" t="s">
        <v>70</v>
      </c>
      <c r="J126" s="1" t="s">
        <v>107</v>
      </c>
      <c r="K126" s="1">
        <v>35</v>
      </c>
      <c r="L126" s="1" t="s">
        <v>109</v>
      </c>
      <c r="M126" s="1" t="s">
        <v>73</v>
      </c>
      <c r="N126" s="1" t="s">
        <v>110</v>
      </c>
      <c r="O126" s="1">
        <v>4</v>
      </c>
      <c r="P126" s="1">
        <v>4</v>
      </c>
      <c r="Q126" s="1">
        <f>data[[#This Row],[Nilai Kepentingan Dimensi Persyaratan]]-data[[#This Row],[Nilai Kepuasan Dimensi Persyaratan]]</f>
        <v>0</v>
      </c>
      <c r="R126" s="1">
        <v>4</v>
      </c>
      <c r="S126" s="1">
        <v>4</v>
      </c>
      <c r="T126" s="1">
        <f>data[[#This Row],[Nilai Kepentingan Dimensi Prosedur]]-data[[#This Row],[Nilai Kepuasan Dimensi Prosedur]]</f>
        <v>0</v>
      </c>
      <c r="U126" s="1">
        <v>4</v>
      </c>
      <c r="V126" s="1">
        <v>4</v>
      </c>
      <c r="W126" s="1">
        <f>data[[#This Row],[Nilai Kepentingan Dimensi Waktu Pelayanan/Penyelesaian]]-data[[#This Row],[Nilai Kepuasan Dimensi Waktu Pelayanan/Penyelesaian]]</f>
        <v>0</v>
      </c>
      <c r="X126" s="1">
        <v>0</v>
      </c>
      <c r="Y126" s="1">
        <v>0</v>
      </c>
      <c r="Z126" s="1">
        <f>data[[#This Row],[Nilai Kepentingan Dimensi Tarif/ Biaya]]-data[[#This Row],[Nilai Kepuasan Dimensi Tarif / Biaya]]</f>
        <v>0</v>
      </c>
      <c r="AA126" s="1">
        <v>4</v>
      </c>
      <c r="AB126" s="1">
        <v>4</v>
      </c>
      <c r="AC126" s="1">
        <f>data[[#This Row],[Nilai Kepentingan Dimensi Produk Spesifikasi Jenis Layanan]]-data[[#This Row],[Nilai Kepuasan Dimensi Produk Spesifikasi Jenis Layanan]]</f>
        <v>0</v>
      </c>
      <c r="AD126" s="1">
        <v>4</v>
      </c>
      <c r="AE126" s="1">
        <v>4</v>
      </c>
      <c r="AF126" s="1">
        <f>data[[#This Row],[Nilai Kepentingan Dimensi Kompetensi Pelaksana]]-data[[#This Row],[Nilai Kepuasan Dimensi Kompetensi Pelaksana]]</f>
        <v>0</v>
      </c>
      <c r="AG126" s="1">
        <v>4</v>
      </c>
      <c r="AH126" s="1">
        <v>4</v>
      </c>
      <c r="AI126" s="1">
        <f>data[[#This Row],[Nilai Kepentingan Dimensi Perilaku Pelaksana]]-data[[#This Row],[Nilai Kepuasan Dimensi Perilaku Pelaksana]]</f>
        <v>0</v>
      </c>
      <c r="AJ126" s="1">
        <v>3</v>
      </c>
      <c r="AK126" s="1">
        <v>4</v>
      </c>
      <c r="AL126" s="1">
        <f>data[[#This Row],[Nilai Kepentingan Dimensi Penanganan Pengaduan, Saran &amp; Masukan]]-data[[#This Row],[Nilai Kepuasan Dimensi Penanganan Pengaduan, Saran &amp; Masukan]]</f>
        <v>1</v>
      </c>
      <c r="AM126" s="1">
        <v>3</v>
      </c>
      <c r="AN126" s="1">
        <v>4</v>
      </c>
      <c r="AO126" s="1">
        <f>data[[#This Row],[Nilai Kepentingan Dimensi Kualitas Sarana dan Prasarana]]-data[[#This Row],[Nilai Kepuasan Dimensi Kualitas Sarana dan Prasarana]]</f>
        <v>1</v>
      </c>
      <c r="AP126" s="1">
        <v>0</v>
      </c>
      <c r="AQ126" s="1" t="s">
        <v>69</v>
      </c>
      <c r="AR126" s="1">
        <v>0</v>
      </c>
      <c r="AS126" s="1" t="s">
        <v>69</v>
      </c>
      <c r="AT126" s="1">
        <v>0</v>
      </c>
      <c r="AU126" s="1" t="s">
        <v>69</v>
      </c>
      <c r="AV126" s="1" t="s">
        <v>198</v>
      </c>
      <c r="AW126" s="1" t="s">
        <v>77</v>
      </c>
      <c r="AX126" s="1">
        <v>1</v>
      </c>
      <c r="AY126" s="1">
        <v>4</v>
      </c>
      <c r="AZ126" s="1" t="s">
        <v>953</v>
      </c>
      <c r="BA126" s="1" t="s">
        <v>112</v>
      </c>
      <c r="BB126" s="1" t="s">
        <v>954</v>
      </c>
      <c r="BC126" s="1" t="s">
        <v>81</v>
      </c>
      <c r="BD126" s="1" t="s">
        <v>955</v>
      </c>
      <c r="BE126" s="1" t="s">
        <v>237</v>
      </c>
      <c r="BF126" s="5" t="s">
        <v>83</v>
      </c>
    </row>
    <row r="127" spans="1:58" x14ac:dyDescent="0.35">
      <c r="A127" s="4">
        <v>126</v>
      </c>
      <c r="B127" s="1" t="s">
        <v>956</v>
      </c>
      <c r="C127" s="1" t="s">
        <v>63</v>
      </c>
      <c r="D127" s="1" t="s">
        <v>125</v>
      </c>
      <c r="E127" s="1" t="s">
        <v>69</v>
      </c>
      <c r="F127" s="1" t="s">
        <v>69</v>
      </c>
      <c r="G127" s="1" t="s">
        <v>69</v>
      </c>
      <c r="H127" s="1" t="s">
        <v>69</v>
      </c>
      <c r="I127" s="1" t="s">
        <v>106</v>
      </c>
      <c r="J127" s="1" t="s">
        <v>107</v>
      </c>
      <c r="K127" s="1">
        <v>38</v>
      </c>
      <c r="L127" s="1" t="s">
        <v>153</v>
      </c>
      <c r="M127" s="1" t="s">
        <v>73</v>
      </c>
      <c r="N127" s="1" t="s">
        <v>74</v>
      </c>
      <c r="O127" s="1">
        <v>4</v>
      </c>
      <c r="P127" s="1">
        <v>4</v>
      </c>
      <c r="Q127" s="1">
        <f>data[[#This Row],[Nilai Kepentingan Dimensi Persyaratan]]-data[[#This Row],[Nilai Kepuasan Dimensi Persyaratan]]</f>
        <v>0</v>
      </c>
      <c r="R127" s="1">
        <v>4</v>
      </c>
      <c r="S127" s="1">
        <v>4</v>
      </c>
      <c r="T127" s="1">
        <f>data[[#This Row],[Nilai Kepentingan Dimensi Prosedur]]-data[[#This Row],[Nilai Kepuasan Dimensi Prosedur]]</f>
        <v>0</v>
      </c>
      <c r="U127" s="1">
        <v>4</v>
      </c>
      <c r="V127" s="1">
        <v>4</v>
      </c>
      <c r="W127" s="1">
        <f>data[[#This Row],[Nilai Kepentingan Dimensi Waktu Pelayanan/Penyelesaian]]-data[[#This Row],[Nilai Kepuasan Dimensi Waktu Pelayanan/Penyelesaian]]</f>
        <v>0</v>
      </c>
      <c r="X127" s="1">
        <v>0</v>
      </c>
      <c r="Y127" s="1">
        <v>0</v>
      </c>
      <c r="Z127" s="1">
        <f>data[[#This Row],[Nilai Kepentingan Dimensi Tarif/ Biaya]]-data[[#This Row],[Nilai Kepuasan Dimensi Tarif / Biaya]]</f>
        <v>0</v>
      </c>
      <c r="AA127" s="1">
        <v>4</v>
      </c>
      <c r="AB127" s="1">
        <v>4</v>
      </c>
      <c r="AC127" s="1">
        <f>data[[#This Row],[Nilai Kepentingan Dimensi Produk Spesifikasi Jenis Layanan]]-data[[#This Row],[Nilai Kepuasan Dimensi Produk Spesifikasi Jenis Layanan]]</f>
        <v>0</v>
      </c>
      <c r="AD127" s="1">
        <v>4</v>
      </c>
      <c r="AE127" s="1">
        <v>4</v>
      </c>
      <c r="AF127" s="1">
        <f>data[[#This Row],[Nilai Kepentingan Dimensi Kompetensi Pelaksana]]-data[[#This Row],[Nilai Kepuasan Dimensi Kompetensi Pelaksana]]</f>
        <v>0</v>
      </c>
      <c r="AG127" s="1">
        <v>4</v>
      </c>
      <c r="AH127" s="1">
        <v>4</v>
      </c>
      <c r="AI127" s="1">
        <f>data[[#This Row],[Nilai Kepentingan Dimensi Perilaku Pelaksana]]-data[[#This Row],[Nilai Kepuasan Dimensi Perilaku Pelaksana]]</f>
        <v>0</v>
      </c>
      <c r="AJ127" s="1">
        <v>4</v>
      </c>
      <c r="AK127" s="1">
        <v>4</v>
      </c>
      <c r="AL127" s="1">
        <f>data[[#This Row],[Nilai Kepentingan Dimensi Penanganan Pengaduan, Saran &amp; Masukan]]-data[[#This Row],[Nilai Kepuasan Dimensi Penanganan Pengaduan, Saran &amp; Masukan]]</f>
        <v>0</v>
      </c>
      <c r="AM127" s="1">
        <v>3</v>
      </c>
      <c r="AN127" s="1">
        <v>3</v>
      </c>
      <c r="AO127" s="1">
        <f>data[[#This Row],[Nilai Kepentingan Dimensi Kualitas Sarana dan Prasarana]]-data[[#This Row],[Nilai Kepuasan Dimensi Kualitas Sarana dan Prasarana]]</f>
        <v>0</v>
      </c>
      <c r="AP127" s="1">
        <v>4</v>
      </c>
      <c r="AQ127" s="1" t="s">
        <v>75</v>
      </c>
      <c r="AR127" s="1">
        <v>0</v>
      </c>
      <c r="AS127" s="1" t="s">
        <v>69</v>
      </c>
      <c r="AT127" s="1">
        <v>0</v>
      </c>
      <c r="AU127" s="1" t="s">
        <v>69</v>
      </c>
      <c r="AV127" s="1" t="s">
        <v>83</v>
      </c>
      <c r="AW127" s="1" t="s">
        <v>96</v>
      </c>
      <c r="AX127" s="1">
        <v>0</v>
      </c>
      <c r="AY127" s="1">
        <v>0</v>
      </c>
      <c r="AZ127" s="1" t="s">
        <v>960</v>
      </c>
      <c r="BA127" s="1" t="s">
        <v>112</v>
      </c>
      <c r="BB127" s="1" t="s">
        <v>961</v>
      </c>
      <c r="BC127" s="1" t="s">
        <v>79</v>
      </c>
      <c r="BD127" s="1" t="s">
        <v>962</v>
      </c>
      <c r="BE127" s="1" t="s">
        <v>190</v>
      </c>
      <c r="BF127" s="5" t="s">
        <v>963</v>
      </c>
    </row>
    <row r="128" spans="1:58" x14ac:dyDescent="0.35">
      <c r="A128" s="4">
        <v>127</v>
      </c>
      <c r="B128" s="1" t="s">
        <v>964</v>
      </c>
      <c r="C128" s="1" t="s">
        <v>63</v>
      </c>
      <c r="D128" s="1" t="s">
        <v>125</v>
      </c>
      <c r="E128" s="1" t="s">
        <v>69</v>
      </c>
      <c r="F128" s="1" t="s">
        <v>69</v>
      </c>
      <c r="G128" s="1" t="s">
        <v>69</v>
      </c>
      <c r="H128" s="1" t="s">
        <v>69</v>
      </c>
      <c r="I128" s="1" t="s">
        <v>70</v>
      </c>
      <c r="J128" s="1" t="s">
        <v>71</v>
      </c>
      <c r="K128" s="1">
        <v>18</v>
      </c>
      <c r="L128" s="1" t="s">
        <v>131</v>
      </c>
      <c r="M128" s="1" t="s">
        <v>73</v>
      </c>
      <c r="N128" s="1" t="s">
        <v>95</v>
      </c>
      <c r="O128" s="1">
        <v>3</v>
      </c>
      <c r="P128" s="1">
        <v>3</v>
      </c>
      <c r="Q128" s="1">
        <f>data[[#This Row],[Nilai Kepentingan Dimensi Persyaratan]]-data[[#This Row],[Nilai Kepuasan Dimensi Persyaratan]]</f>
        <v>0</v>
      </c>
      <c r="R128" s="1">
        <v>4</v>
      </c>
      <c r="S128" s="1">
        <v>3</v>
      </c>
      <c r="T128" s="1">
        <f>data[[#This Row],[Nilai Kepentingan Dimensi Prosedur]]-data[[#This Row],[Nilai Kepuasan Dimensi Prosedur]]</f>
        <v>-1</v>
      </c>
      <c r="U128" s="1">
        <v>3</v>
      </c>
      <c r="V128" s="1">
        <v>3</v>
      </c>
      <c r="W128" s="1">
        <f>data[[#This Row],[Nilai Kepentingan Dimensi Waktu Pelayanan/Penyelesaian]]-data[[#This Row],[Nilai Kepuasan Dimensi Waktu Pelayanan/Penyelesaian]]</f>
        <v>0</v>
      </c>
      <c r="X128" s="1">
        <v>3</v>
      </c>
      <c r="Y128" s="1">
        <v>3</v>
      </c>
      <c r="Z128" s="1">
        <f>data[[#This Row],[Nilai Kepentingan Dimensi Tarif/ Biaya]]-data[[#This Row],[Nilai Kepuasan Dimensi Tarif / Biaya]]</f>
        <v>0</v>
      </c>
      <c r="AA128" s="1">
        <v>3</v>
      </c>
      <c r="AB128" s="1">
        <v>4</v>
      </c>
      <c r="AC128" s="1">
        <f>data[[#This Row],[Nilai Kepentingan Dimensi Produk Spesifikasi Jenis Layanan]]-data[[#This Row],[Nilai Kepuasan Dimensi Produk Spesifikasi Jenis Layanan]]</f>
        <v>1</v>
      </c>
      <c r="AD128" s="1">
        <v>3</v>
      </c>
      <c r="AE128" s="1">
        <v>4</v>
      </c>
      <c r="AF128" s="1">
        <f>data[[#This Row],[Nilai Kepentingan Dimensi Kompetensi Pelaksana]]-data[[#This Row],[Nilai Kepuasan Dimensi Kompetensi Pelaksana]]</f>
        <v>1</v>
      </c>
      <c r="AG128" s="1">
        <v>3</v>
      </c>
      <c r="AH128" s="1">
        <v>3</v>
      </c>
      <c r="AI128" s="1">
        <f>data[[#This Row],[Nilai Kepentingan Dimensi Perilaku Pelaksana]]-data[[#This Row],[Nilai Kepuasan Dimensi Perilaku Pelaksana]]</f>
        <v>0</v>
      </c>
      <c r="AJ128" s="1">
        <v>4</v>
      </c>
      <c r="AK128" s="1">
        <v>4</v>
      </c>
      <c r="AL128" s="1">
        <f>data[[#This Row],[Nilai Kepentingan Dimensi Penanganan Pengaduan, Saran &amp; Masukan]]-data[[#This Row],[Nilai Kepuasan Dimensi Penanganan Pengaduan, Saran &amp; Masukan]]</f>
        <v>0</v>
      </c>
      <c r="AM128" s="1">
        <v>3</v>
      </c>
      <c r="AN128" s="1">
        <v>4</v>
      </c>
      <c r="AO128" s="1">
        <f>data[[#This Row],[Nilai Kepentingan Dimensi Kualitas Sarana dan Prasarana]]-data[[#This Row],[Nilai Kepuasan Dimensi Kualitas Sarana dan Prasarana]]</f>
        <v>1</v>
      </c>
      <c r="AP128" s="1">
        <v>0</v>
      </c>
      <c r="AQ128" s="1" t="s">
        <v>69</v>
      </c>
      <c r="AR128" s="1">
        <v>4</v>
      </c>
      <c r="AS128" s="1" t="s">
        <v>75</v>
      </c>
      <c r="AT128" s="1">
        <v>0</v>
      </c>
      <c r="AU128" s="1" t="s">
        <v>69</v>
      </c>
      <c r="AV128" s="1" t="s">
        <v>83</v>
      </c>
      <c r="AW128" s="1" t="s">
        <v>96</v>
      </c>
      <c r="AX128" s="1">
        <v>0</v>
      </c>
      <c r="AY128" s="1">
        <v>0</v>
      </c>
      <c r="AZ128" s="1" t="s">
        <v>442</v>
      </c>
      <c r="BA128" s="1" t="s">
        <v>79</v>
      </c>
      <c r="BB128" s="1" t="s">
        <v>624</v>
      </c>
      <c r="BC128" s="1" t="s">
        <v>79</v>
      </c>
      <c r="BD128" s="1" t="s">
        <v>442</v>
      </c>
      <c r="BE128" s="1" t="s">
        <v>79</v>
      </c>
      <c r="BF128" s="5" t="s">
        <v>83</v>
      </c>
    </row>
    <row r="129" spans="1:58" x14ac:dyDescent="0.35">
      <c r="A129" s="4">
        <v>128</v>
      </c>
      <c r="B129" s="1" t="s">
        <v>968</v>
      </c>
      <c r="C129" s="1" t="s">
        <v>63</v>
      </c>
      <c r="D129" s="1" t="s">
        <v>125</v>
      </c>
      <c r="E129" s="1" t="s">
        <v>69</v>
      </c>
      <c r="F129" s="1" t="s">
        <v>69</v>
      </c>
      <c r="G129" s="1" t="s">
        <v>69</v>
      </c>
      <c r="H129" s="1" t="s">
        <v>69</v>
      </c>
      <c r="I129" s="1" t="s">
        <v>70</v>
      </c>
      <c r="J129" s="1" t="s">
        <v>71</v>
      </c>
      <c r="K129" s="1">
        <v>24</v>
      </c>
      <c r="L129" s="1" t="s">
        <v>72</v>
      </c>
      <c r="M129" s="1" t="s">
        <v>73</v>
      </c>
      <c r="N129" s="1" t="s">
        <v>74</v>
      </c>
      <c r="O129" s="1">
        <v>4</v>
      </c>
      <c r="P129" s="1">
        <v>4</v>
      </c>
      <c r="Q129" s="1">
        <f>data[[#This Row],[Nilai Kepentingan Dimensi Persyaratan]]-data[[#This Row],[Nilai Kepuasan Dimensi Persyaratan]]</f>
        <v>0</v>
      </c>
      <c r="R129" s="1">
        <v>4</v>
      </c>
      <c r="S129" s="1">
        <v>4</v>
      </c>
      <c r="T129" s="1">
        <f>data[[#This Row],[Nilai Kepentingan Dimensi Prosedur]]-data[[#This Row],[Nilai Kepuasan Dimensi Prosedur]]</f>
        <v>0</v>
      </c>
      <c r="U129" s="1">
        <v>4</v>
      </c>
      <c r="V129" s="1">
        <v>4</v>
      </c>
      <c r="W129" s="1">
        <f>data[[#This Row],[Nilai Kepentingan Dimensi Waktu Pelayanan/Penyelesaian]]-data[[#This Row],[Nilai Kepuasan Dimensi Waktu Pelayanan/Penyelesaian]]</f>
        <v>0</v>
      </c>
      <c r="X129" s="1">
        <v>4</v>
      </c>
      <c r="Y129" s="1">
        <v>4</v>
      </c>
      <c r="Z129" s="1">
        <f>data[[#This Row],[Nilai Kepentingan Dimensi Tarif/ Biaya]]-data[[#This Row],[Nilai Kepuasan Dimensi Tarif / Biaya]]</f>
        <v>0</v>
      </c>
      <c r="AA129" s="1">
        <v>4</v>
      </c>
      <c r="AB129" s="1">
        <v>4</v>
      </c>
      <c r="AC129" s="1">
        <f>data[[#This Row],[Nilai Kepentingan Dimensi Produk Spesifikasi Jenis Layanan]]-data[[#This Row],[Nilai Kepuasan Dimensi Produk Spesifikasi Jenis Layanan]]</f>
        <v>0</v>
      </c>
      <c r="AD129" s="1">
        <v>4</v>
      </c>
      <c r="AE129" s="1">
        <v>4</v>
      </c>
      <c r="AF129" s="1">
        <f>data[[#This Row],[Nilai Kepentingan Dimensi Kompetensi Pelaksana]]-data[[#This Row],[Nilai Kepuasan Dimensi Kompetensi Pelaksana]]</f>
        <v>0</v>
      </c>
      <c r="AG129" s="1">
        <v>4</v>
      </c>
      <c r="AH129" s="1">
        <v>4</v>
      </c>
      <c r="AI129" s="1">
        <f>data[[#This Row],[Nilai Kepentingan Dimensi Perilaku Pelaksana]]-data[[#This Row],[Nilai Kepuasan Dimensi Perilaku Pelaksana]]</f>
        <v>0</v>
      </c>
      <c r="AJ129" s="1">
        <v>4</v>
      </c>
      <c r="AK129" s="1">
        <v>4</v>
      </c>
      <c r="AL129" s="1">
        <f>data[[#This Row],[Nilai Kepentingan Dimensi Penanganan Pengaduan, Saran &amp; Masukan]]-data[[#This Row],[Nilai Kepuasan Dimensi Penanganan Pengaduan, Saran &amp; Masukan]]</f>
        <v>0</v>
      </c>
      <c r="AM129" s="1">
        <v>4</v>
      </c>
      <c r="AN129" s="1">
        <v>4</v>
      </c>
      <c r="AO129" s="1">
        <f>data[[#This Row],[Nilai Kepentingan Dimensi Kualitas Sarana dan Prasarana]]-data[[#This Row],[Nilai Kepuasan Dimensi Kualitas Sarana dan Prasarana]]</f>
        <v>0</v>
      </c>
      <c r="AP129" s="1">
        <v>4</v>
      </c>
      <c r="AQ129" s="1" t="s">
        <v>75</v>
      </c>
      <c r="AR129" s="1">
        <v>0</v>
      </c>
      <c r="AS129" s="1" t="s">
        <v>69</v>
      </c>
      <c r="AT129" s="1">
        <v>0</v>
      </c>
      <c r="AU129" s="1" t="s">
        <v>69</v>
      </c>
      <c r="AV129" s="1" t="s">
        <v>83</v>
      </c>
      <c r="AW129" s="1" t="s">
        <v>96</v>
      </c>
      <c r="AX129" s="1">
        <v>0</v>
      </c>
      <c r="AY129" s="1">
        <v>0</v>
      </c>
      <c r="AZ129" s="1" t="s">
        <v>973</v>
      </c>
      <c r="BA129" s="1" t="s">
        <v>79</v>
      </c>
      <c r="BB129" s="1" t="s">
        <v>442</v>
      </c>
      <c r="BC129" s="1" t="s">
        <v>79</v>
      </c>
      <c r="BD129" s="1" t="s">
        <v>442</v>
      </c>
      <c r="BE129" s="1" t="s">
        <v>79</v>
      </c>
      <c r="BF129" s="5" t="s">
        <v>83</v>
      </c>
    </row>
    <row r="130" spans="1:58" x14ac:dyDescent="0.35">
      <c r="A130" s="4">
        <v>129</v>
      </c>
      <c r="B130" s="1" t="s">
        <v>974</v>
      </c>
      <c r="C130" s="1" t="s">
        <v>63</v>
      </c>
      <c r="D130" s="1" t="s">
        <v>86</v>
      </c>
      <c r="E130" s="1" t="s">
        <v>69</v>
      </c>
      <c r="F130" s="1" t="s">
        <v>69</v>
      </c>
      <c r="G130" s="1" t="s">
        <v>69</v>
      </c>
      <c r="H130" s="1" t="s">
        <v>69</v>
      </c>
      <c r="I130" s="1" t="s">
        <v>70</v>
      </c>
      <c r="J130" s="1" t="s">
        <v>71</v>
      </c>
      <c r="K130" s="1">
        <v>20</v>
      </c>
      <c r="L130" s="1" t="s">
        <v>131</v>
      </c>
      <c r="M130" s="1" t="s">
        <v>73</v>
      </c>
      <c r="N130" s="1" t="s">
        <v>74</v>
      </c>
      <c r="O130" s="1">
        <v>3</v>
      </c>
      <c r="P130" s="1">
        <v>3</v>
      </c>
      <c r="Q130" s="1">
        <f>data[[#This Row],[Nilai Kepentingan Dimensi Persyaratan]]-data[[#This Row],[Nilai Kepuasan Dimensi Persyaratan]]</f>
        <v>0</v>
      </c>
      <c r="R130" s="1">
        <v>3</v>
      </c>
      <c r="S130" s="1">
        <v>3</v>
      </c>
      <c r="T130" s="1">
        <f>data[[#This Row],[Nilai Kepentingan Dimensi Prosedur]]-data[[#This Row],[Nilai Kepuasan Dimensi Prosedur]]</f>
        <v>0</v>
      </c>
      <c r="U130" s="1">
        <v>3</v>
      </c>
      <c r="V130" s="1">
        <v>3</v>
      </c>
      <c r="W130" s="1">
        <f>data[[#This Row],[Nilai Kepentingan Dimensi Waktu Pelayanan/Penyelesaian]]-data[[#This Row],[Nilai Kepuasan Dimensi Waktu Pelayanan/Penyelesaian]]</f>
        <v>0</v>
      </c>
      <c r="X130" s="1">
        <v>3</v>
      </c>
      <c r="Y130" s="1">
        <v>3</v>
      </c>
      <c r="Z130" s="1">
        <f>data[[#This Row],[Nilai Kepentingan Dimensi Tarif/ Biaya]]-data[[#This Row],[Nilai Kepuasan Dimensi Tarif / Biaya]]</f>
        <v>0</v>
      </c>
      <c r="AA130" s="1">
        <v>3</v>
      </c>
      <c r="AB130" s="1">
        <v>3</v>
      </c>
      <c r="AC130" s="1">
        <f>data[[#This Row],[Nilai Kepentingan Dimensi Produk Spesifikasi Jenis Layanan]]-data[[#This Row],[Nilai Kepuasan Dimensi Produk Spesifikasi Jenis Layanan]]</f>
        <v>0</v>
      </c>
      <c r="AD130" s="1">
        <v>3</v>
      </c>
      <c r="AE130" s="1">
        <v>3</v>
      </c>
      <c r="AF130" s="1">
        <f>data[[#This Row],[Nilai Kepentingan Dimensi Kompetensi Pelaksana]]-data[[#This Row],[Nilai Kepuasan Dimensi Kompetensi Pelaksana]]</f>
        <v>0</v>
      </c>
      <c r="AG130" s="1">
        <v>3</v>
      </c>
      <c r="AH130" s="1">
        <v>3</v>
      </c>
      <c r="AI130" s="1">
        <f>data[[#This Row],[Nilai Kepentingan Dimensi Perilaku Pelaksana]]-data[[#This Row],[Nilai Kepuasan Dimensi Perilaku Pelaksana]]</f>
        <v>0</v>
      </c>
      <c r="AJ130" s="1">
        <v>3</v>
      </c>
      <c r="AK130" s="1">
        <v>3</v>
      </c>
      <c r="AL130" s="1">
        <f>data[[#This Row],[Nilai Kepentingan Dimensi Penanganan Pengaduan, Saran &amp; Masukan]]-data[[#This Row],[Nilai Kepuasan Dimensi Penanganan Pengaduan, Saran &amp; Masukan]]</f>
        <v>0</v>
      </c>
      <c r="AM130" s="1">
        <v>3</v>
      </c>
      <c r="AN130" s="1">
        <v>3</v>
      </c>
      <c r="AO130" s="1">
        <f>data[[#This Row],[Nilai Kepentingan Dimensi Kualitas Sarana dan Prasarana]]-data[[#This Row],[Nilai Kepuasan Dimensi Kualitas Sarana dan Prasarana]]</f>
        <v>0</v>
      </c>
      <c r="AP130" s="1">
        <v>4</v>
      </c>
      <c r="AQ130" s="1" t="s">
        <v>69</v>
      </c>
      <c r="AR130" s="1">
        <v>0</v>
      </c>
      <c r="AS130" s="1" t="s">
        <v>69</v>
      </c>
      <c r="AT130" s="1">
        <v>0</v>
      </c>
      <c r="AU130" s="1" t="s">
        <v>69</v>
      </c>
      <c r="AV130" s="1" t="s">
        <v>83</v>
      </c>
      <c r="AW130" s="1" t="s">
        <v>96</v>
      </c>
      <c r="AX130" s="1">
        <v>0</v>
      </c>
      <c r="AY130" s="1">
        <v>0</v>
      </c>
      <c r="AZ130" s="1" t="s">
        <v>442</v>
      </c>
      <c r="BA130" s="1" t="s">
        <v>79</v>
      </c>
      <c r="BB130" s="1" t="s">
        <v>442</v>
      </c>
      <c r="BC130" s="1" t="s">
        <v>79</v>
      </c>
      <c r="BD130" s="1" t="s">
        <v>442</v>
      </c>
      <c r="BE130" s="1" t="s">
        <v>79</v>
      </c>
      <c r="BF130" s="5" t="s">
        <v>83</v>
      </c>
    </row>
    <row r="131" spans="1:58" x14ac:dyDescent="0.35">
      <c r="A131" s="4">
        <v>130</v>
      </c>
      <c r="B131" s="1" t="s">
        <v>978</v>
      </c>
      <c r="C131" s="1" t="s">
        <v>63</v>
      </c>
      <c r="D131" s="1" t="s">
        <v>757</v>
      </c>
      <c r="E131" s="1" t="s">
        <v>69</v>
      </c>
      <c r="F131" s="1" t="s">
        <v>69</v>
      </c>
      <c r="G131" s="1" t="s">
        <v>69</v>
      </c>
      <c r="H131" s="1" t="s">
        <v>69</v>
      </c>
      <c r="I131" s="1" t="s">
        <v>106</v>
      </c>
      <c r="J131" s="1" t="s">
        <v>71</v>
      </c>
      <c r="K131" s="1">
        <v>28</v>
      </c>
      <c r="L131" s="1" t="s">
        <v>92</v>
      </c>
      <c r="M131" s="1" t="s">
        <v>93</v>
      </c>
      <c r="N131" s="1" t="s">
        <v>74</v>
      </c>
      <c r="O131" s="1">
        <v>3</v>
      </c>
      <c r="P131" s="1">
        <v>2</v>
      </c>
      <c r="Q131" s="1">
        <f>data[[#This Row],[Nilai Kepentingan Dimensi Persyaratan]]-data[[#This Row],[Nilai Kepuasan Dimensi Persyaratan]]</f>
        <v>-1</v>
      </c>
      <c r="R131" s="1">
        <v>4</v>
      </c>
      <c r="S131" s="1">
        <v>3</v>
      </c>
      <c r="T131" s="1">
        <f>data[[#This Row],[Nilai Kepentingan Dimensi Prosedur]]-data[[#This Row],[Nilai Kepuasan Dimensi Prosedur]]</f>
        <v>-1</v>
      </c>
      <c r="U131" s="1">
        <v>4</v>
      </c>
      <c r="V131" s="1">
        <v>4</v>
      </c>
      <c r="W131" s="1">
        <f>data[[#This Row],[Nilai Kepentingan Dimensi Waktu Pelayanan/Penyelesaian]]-data[[#This Row],[Nilai Kepuasan Dimensi Waktu Pelayanan/Penyelesaian]]</f>
        <v>0</v>
      </c>
      <c r="X131" s="1">
        <v>3</v>
      </c>
      <c r="Y131" s="1">
        <v>3</v>
      </c>
      <c r="Z131" s="1">
        <f>data[[#This Row],[Nilai Kepentingan Dimensi Tarif/ Biaya]]-data[[#This Row],[Nilai Kepuasan Dimensi Tarif / Biaya]]</f>
        <v>0</v>
      </c>
      <c r="AA131" s="1">
        <v>3</v>
      </c>
      <c r="AB131" s="1">
        <v>4</v>
      </c>
      <c r="AC131" s="1">
        <f>data[[#This Row],[Nilai Kepentingan Dimensi Produk Spesifikasi Jenis Layanan]]-data[[#This Row],[Nilai Kepuasan Dimensi Produk Spesifikasi Jenis Layanan]]</f>
        <v>1</v>
      </c>
      <c r="AD131" s="1">
        <v>4</v>
      </c>
      <c r="AE131" s="1">
        <v>4</v>
      </c>
      <c r="AF131" s="1">
        <f>data[[#This Row],[Nilai Kepentingan Dimensi Kompetensi Pelaksana]]-data[[#This Row],[Nilai Kepuasan Dimensi Kompetensi Pelaksana]]</f>
        <v>0</v>
      </c>
      <c r="AG131" s="1">
        <v>4</v>
      </c>
      <c r="AH131" s="1">
        <v>4</v>
      </c>
      <c r="AI131" s="1">
        <f>data[[#This Row],[Nilai Kepentingan Dimensi Perilaku Pelaksana]]-data[[#This Row],[Nilai Kepuasan Dimensi Perilaku Pelaksana]]</f>
        <v>0</v>
      </c>
      <c r="AJ131" s="1">
        <v>4</v>
      </c>
      <c r="AK131" s="1">
        <v>4</v>
      </c>
      <c r="AL131" s="1">
        <f>data[[#This Row],[Nilai Kepentingan Dimensi Penanganan Pengaduan, Saran &amp; Masukan]]-data[[#This Row],[Nilai Kepuasan Dimensi Penanganan Pengaduan, Saran &amp; Masukan]]</f>
        <v>0</v>
      </c>
      <c r="AM131" s="1">
        <v>4</v>
      </c>
      <c r="AN131" s="1">
        <v>4</v>
      </c>
      <c r="AO131" s="1">
        <f>data[[#This Row],[Nilai Kepentingan Dimensi Kualitas Sarana dan Prasarana]]-data[[#This Row],[Nilai Kepuasan Dimensi Kualitas Sarana dan Prasarana]]</f>
        <v>0</v>
      </c>
      <c r="AP131" s="1">
        <v>4</v>
      </c>
      <c r="AQ131" s="1" t="s">
        <v>75</v>
      </c>
      <c r="AR131" s="1">
        <v>0</v>
      </c>
      <c r="AS131" s="1" t="s">
        <v>69</v>
      </c>
      <c r="AT131" s="1">
        <v>0</v>
      </c>
      <c r="AU131" s="1" t="s">
        <v>69</v>
      </c>
      <c r="AV131" s="1" t="s">
        <v>83</v>
      </c>
      <c r="AW131" s="1" t="s">
        <v>96</v>
      </c>
      <c r="AX131" s="1">
        <v>0</v>
      </c>
      <c r="AY131" s="1">
        <v>0</v>
      </c>
      <c r="AZ131" s="1" t="s">
        <v>985</v>
      </c>
      <c r="BA131" s="1" t="s">
        <v>79</v>
      </c>
      <c r="BB131" s="1" t="s">
        <v>985</v>
      </c>
      <c r="BC131" s="1" t="s">
        <v>79</v>
      </c>
      <c r="BD131" s="1" t="s">
        <v>985</v>
      </c>
      <c r="BE131" s="1" t="s">
        <v>79</v>
      </c>
      <c r="BF131" s="5" t="s">
        <v>83</v>
      </c>
    </row>
    <row r="132" spans="1:58" x14ac:dyDescent="0.35">
      <c r="A132" s="4">
        <v>131</v>
      </c>
      <c r="B132" s="1" t="s">
        <v>986</v>
      </c>
      <c r="C132" s="1" t="s">
        <v>63</v>
      </c>
      <c r="D132" s="1" t="s">
        <v>757</v>
      </c>
      <c r="E132" s="1" t="s">
        <v>69</v>
      </c>
      <c r="F132" s="1" t="s">
        <v>69</v>
      </c>
      <c r="G132" s="1" t="s">
        <v>69</v>
      </c>
      <c r="H132" s="1" t="s">
        <v>69</v>
      </c>
      <c r="I132" s="1" t="s">
        <v>106</v>
      </c>
      <c r="J132" s="1" t="s">
        <v>71</v>
      </c>
      <c r="K132" s="1">
        <v>20</v>
      </c>
      <c r="L132" s="1" t="s">
        <v>131</v>
      </c>
      <c r="M132" s="1" t="s">
        <v>73</v>
      </c>
      <c r="N132" s="1" t="s">
        <v>133</v>
      </c>
      <c r="O132" s="1">
        <v>4</v>
      </c>
      <c r="P132" s="1">
        <v>4</v>
      </c>
      <c r="Q132" s="1">
        <f>data[[#This Row],[Nilai Kepentingan Dimensi Persyaratan]]-data[[#This Row],[Nilai Kepuasan Dimensi Persyaratan]]</f>
        <v>0</v>
      </c>
      <c r="R132" s="1">
        <v>4</v>
      </c>
      <c r="S132" s="1">
        <v>4</v>
      </c>
      <c r="T132" s="1">
        <f>data[[#This Row],[Nilai Kepentingan Dimensi Prosedur]]-data[[#This Row],[Nilai Kepuasan Dimensi Prosedur]]</f>
        <v>0</v>
      </c>
      <c r="U132" s="1">
        <v>4</v>
      </c>
      <c r="V132" s="1">
        <v>4</v>
      </c>
      <c r="W132" s="1">
        <f>data[[#This Row],[Nilai Kepentingan Dimensi Waktu Pelayanan/Penyelesaian]]-data[[#This Row],[Nilai Kepuasan Dimensi Waktu Pelayanan/Penyelesaian]]</f>
        <v>0</v>
      </c>
      <c r="X132" s="1">
        <v>4</v>
      </c>
      <c r="Y132" s="1">
        <v>4</v>
      </c>
      <c r="Z132" s="1">
        <f>data[[#This Row],[Nilai Kepentingan Dimensi Tarif/ Biaya]]-data[[#This Row],[Nilai Kepuasan Dimensi Tarif / Biaya]]</f>
        <v>0</v>
      </c>
      <c r="AA132" s="1">
        <v>4</v>
      </c>
      <c r="AB132" s="1">
        <v>4</v>
      </c>
      <c r="AC132" s="1">
        <f>data[[#This Row],[Nilai Kepentingan Dimensi Produk Spesifikasi Jenis Layanan]]-data[[#This Row],[Nilai Kepuasan Dimensi Produk Spesifikasi Jenis Layanan]]</f>
        <v>0</v>
      </c>
      <c r="AD132" s="1">
        <v>4</v>
      </c>
      <c r="AE132" s="1">
        <v>4</v>
      </c>
      <c r="AF132" s="1">
        <f>data[[#This Row],[Nilai Kepentingan Dimensi Kompetensi Pelaksana]]-data[[#This Row],[Nilai Kepuasan Dimensi Kompetensi Pelaksana]]</f>
        <v>0</v>
      </c>
      <c r="AG132" s="1">
        <v>4</v>
      </c>
      <c r="AH132" s="1">
        <v>4</v>
      </c>
      <c r="AI132" s="1">
        <f>data[[#This Row],[Nilai Kepentingan Dimensi Perilaku Pelaksana]]-data[[#This Row],[Nilai Kepuasan Dimensi Perilaku Pelaksana]]</f>
        <v>0</v>
      </c>
      <c r="AJ132" s="1">
        <v>4</v>
      </c>
      <c r="AK132" s="1">
        <v>4</v>
      </c>
      <c r="AL132" s="1">
        <f>data[[#This Row],[Nilai Kepentingan Dimensi Penanganan Pengaduan, Saran &amp; Masukan]]-data[[#This Row],[Nilai Kepuasan Dimensi Penanganan Pengaduan, Saran &amp; Masukan]]</f>
        <v>0</v>
      </c>
      <c r="AM132" s="1">
        <v>4</v>
      </c>
      <c r="AN132" s="1">
        <v>4</v>
      </c>
      <c r="AO132" s="1">
        <f>data[[#This Row],[Nilai Kepentingan Dimensi Kualitas Sarana dan Prasarana]]-data[[#This Row],[Nilai Kepuasan Dimensi Kualitas Sarana dan Prasarana]]</f>
        <v>0</v>
      </c>
      <c r="AP132" s="1">
        <v>4</v>
      </c>
      <c r="AQ132" s="1" t="s">
        <v>75</v>
      </c>
      <c r="AR132" s="1">
        <v>0</v>
      </c>
      <c r="AS132" s="1" t="s">
        <v>69</v>
      </c>
      <c r="AT132" s="1">
        <v>0</v>
      </c>
      <c r="AU132" s="1" t="s">
        <v>69</v>
      </c>
      <c r="AV132" s="1" t="s">
        <v>83</v>
      </c>
      <c r="AW132" s="1" t="s">
        <v>96</v>
      </c>
      <c r="AX132" s="1">
        <v>0</v>
      </c>
      <c r="AY132" s="1">
        <v>0</v>
      </c>
      <c r="AZ132" s="1" t="s">
        <v>992</v>
      </c>
      <c r="BA132" s="1" t="s">
        <v>112</v>
      </c>
      <c r="BB132" s="1" t="s">
        <v>985</v>
      </c>
      <c r="BC132" s="1" t="s">
        <v>79</v>
      </c>
      <c r="BD132" s="1" t="s">
        <v>985</v>
      </c>
      <c r="BE132" s="1" t="s">
        <v>79</v>
      </c>
      <c r="BF132" s="5" t="s">
        <v>83</v>
      </c>
    </row>
    <row r="133" spans="1:58" x14ac:dyDescent="0.35">
      <c r="A133" s="4">
        <v>132</v>
      </c>
      <c r="B133" s="1" t="s">
        <v>993</v>
      </c>
      <c r="C133" s="1" t="s">
        <v>63</v>
      </c>
      <c r="D133" s="1" t="s">
        <v>136</v>
      </c>
      <c r="E133" s="1" t="s">
        <v>69</v>
      </c>
      <c r="F133" s="1" t="s">
        <v>69</v>
      </c>
      <c r="G133" s="1" t="s">
        <v>69</v>
      </c>
      <c r="H133" s="1" t="s">
        <v>69</v>
      </c>
      <c r="I133" s="1" t="s">
        <v>106</v>
      </c>
      <c r="J133" s="1" t="s">
        <v>71</v>
      </c>
      <c r="K133" s="1">
        <v>47</v>
      </c>
      <c r="L133" s="1" t="s">
        <v>225</v>
      </c>
      <c r="M133" s="1" t="s">
        <v>73</v>
      </c>
      <c r="N133" s="1" t="s">
        <v>154</v>
      </c>
      <c r="O133" s="1">
        <v>4</v>
      </c>
      <c r="P133" s="1">
        <v>4</v>
      </c>
      <c r="Q133" s="1">
        <f>data[[#This Row],[Nilai Kepentingan Dimensi Persyaratan]]-data[[#This Row],[Nilai Kepuasan Dimensi Persyaratan]]</f>
        <v>0</v>
      </c>
      <c r="R133" s="1">
        <v>4</v>
      </c>
      <c r="S133" s="1">
        <v>4</v>
      </c>
      <c r="T133" s="1">
        <f>data[[#This Row],[Nilai Kepentingan Dimensi Prosedur]]-data[[#This Row],[Nilai Kepuasan Dimensi Prosedur]]</f>
        <v>0</v>
      </c>
      <c r="U133" s="1">
        <v>4</v>
      </c>
      <c r="V133" s="1">
        <v>4</v>
      </c>
      <c r="W133" s="1">
        <f>data[[#This Row],[Nilai Kepentingan Dimensi Waktu Pelayanan/Penyelesaian]]-data[[#This Row],[Nilai Kepuasan Dimensi Waktu Pelayanan/Penyelesaian]]</f>
        <v>0</v>
      </c>
      <c r="X133" s="1">
        <v>4</v>
      </c>
      <c r="Y133" s="1">
        <v>4</v>
      </c>
      <c r="Z133" s="1">
        <f>data[[#This Row],[Nilai Kepentingan Dimensi Tarif/ Biaya]]-data[[#This Row],[Nilai Kepuasan Dimensi Tarif / Biaya]]</f>
        <v>0</v>
      </c>
      <c r="AA133" s="1">
        <v>4</v>
      </c>
      <c r="AB133" s="1">
        <v>4</v>
      </c>
      <c r="AC133" s="1">
        <f>data[[#This Row],[Nilai Kepentingan Dimensi Produk Spesifikasi Jenis Layanan]]-data[[#This Row],[Nilai Kepuasan Dimensi Produk Spesifikasi Jenis Layanan]]</f>
        <v>0</v>
      </c>
      <c r="AD133" s="1">
        <v>4</v>
      </c>
      <c r="AE133" s="1">
        <v>4</v>
      </c>
      <c r="AF133" s="1">
        <f>data[[#This Row],[Nilai Kepentingan Dimensi Kompetensi Pelaksana]]-data[[#This Row],[Nilai Kepuasan Dimensi Kompetensi Pelaksana]]</f>
        <v>0</v>
      </c>
      <c r="AG133" s="1">
        <v>4</v>
      </c>
      <c r="AH133" s="1">
        <v>4</v>
      </c>
      <c r="AI133" s="1">
        <f>data[[#This Row],[Nilai Kepentingan Dimensi Perilaku Pelaksana]]-data[[#This Row],[Nilai Kepuasan Dimensi Perilaku Pelaksana]]</f>
        <v>0</v>
      </c>
      <c r="AJ133" s="1">
        <v>4</v>
      </c>
      <c r="AK133" s="1">
        <v>4</v>
      </c>
      <c r="AL133" s="1">
        <f>data[[#This Row],[Nilai Kepentingan Dimensi Penanganan Pengaduan, Saran &amp; Masukan]]-data[[#This Row],[Nilai Kepuasan Dimensi Penanganan Pengaduan, Saran &amp; Masukan]]</f>
        <v>0</v>
      </c>
      <c r="AM133" s="1">
        <v>4</v>
      </c>
      <c r="AN133" s="1">
        <v>4</v>
      </c>
      <c r="AO133" s="1">
        <f>data[[#This Row],[Nilai Kepentingan Dimensi Kualitas Sarana dan Prasarana]]-data[[#This Row],[Nilai Kepuasan Dimensi Kualitas Sarana dan Prasarana]]</f>
        <v>0</v>
      </c>
      <c r="AP133" s="1">
        <v>4</v>
      </c>
      <c r="AQ133" s="1" t="s">
        <v>75</v>
      </c>
      <c r="AR133" s="1">
        <v>0</v>
      </c>
      <c r="AS133" s="1" t="s">
        <v>69</v>
      </c>
      <c r="AT133" s="1">
        <v>0</v>
      </c>
      <c r="AU133" s="1" t="s">
        <v>69</v>
      </c>
      <c r="AV133" s="1" t="s">
        <v>83</v>
      </c>
      <c r="AW133" s="1" t="s">
        <v>96</v>
      </c>
      <c r="AX133" s="1">
        <v>0</v>
      </c>
      <c r="AY133" s="1">
        <v>0</v>
      </c>
      <c r="AZ133" s="1" t="s">
        <v>985</v>
      </c>
      <c r="BA133" s="1" t="s">
        <v>79</v>
      </c>
      <c r="BB133" s="1" t="s">
        <v>985</v>
      </c>
      <c r="BC133" s="1" t="s">
        <v>79</v>
      </c>
      <c r="BD133" s="1" t="s">
        <v>985</v>
      </c>
      <c r="BE133" s="1" t="s">
        <v>79</v>
      </c>
      <c r="BF133" s="5" t="s">
        <v>83</v>
      </c>
    </row>
    <row r="134" spans="1:58" x14ac:dyDescent="0.35">
      <c r="A134" s="4">
        <v>133</v>
      </c>
      <c r="B134" s="1" t="s">
        <v>998</v>
      </c>
      <c r="C134" s="1" t="s">
        <v>63</v>
      </c>
      <c r="D134" s="1" t="s">
        <v>63</v>
      </c>
      <c r="E134" s="1" t="s">
        <v>69</v>
      </c>
      <c r="F134" s="1" t="s">
        <v>69</v>
      </c>
      <c r="G134" s="1" t="s">
        <v>69</v>
      </c>
      <c r="H134" s="1" t="s">
        <v>69</v>
      </c>
      <c r="I134" s="1" t="s">
        <v>70</v>
      </c>
      <c r="J134" s="1" t="s">
        <v>71</v>
      </c>
      <c r="K134" s="1">
        <v>27</v>
      </c>
      <c r="L134" s="1" t="s">
        <v>92</v>
      </c>
      <c r="M134" s="1" t="s">
        <v>73</v>
      </c>
      <c r="N134" s="1" t="s">
        <v>133</v>
      </c>
      <c r="O134" s="1">
        <v>4</v>
      </c>
      <c r="P134" s="1">
        <v>4</v>
      </c>
      <c r="Q134" s="1">
        <f>data[[#This Row],[Nilai Kepentingan Dimensi Persyaratan]]-data[[#This Row],[Nilai Kepuasan Dimensi Persyaratan]]</f>
        <v>0</v>
      </c>
      <c r="R134" s="1">
        <v>4</v>
      </c>
      <c r="S134" s="1">
        <v>4</v>
      </c>
      <c r="T134" s="1">
        <f>data[[#This Row],[Nilai Kepentingan Dimensi Prosedur]]-data[[#This Row],[Nilai Kepuasan Dimensi Prosedur]]</f>
        <v>0</v>
      </c>
      <c r="U134" s="1">
        <v>4</v>
      </c>
      <c r="V134" s="1">
        <v>3</v>
      </c>
      <c r="W134" s="1">
        <f>data[[#This Row],[Nilai Kepentingan Dimensi Waktu Pelayanan/Penyelesaian]]-data[[#This Row],[Nilai Kepuasan Dimensi Waktu Pelayanan/Penyelesaian]]</f>
        <v>-1</v>
      </c>
      <c r="X134" s="1">
        <v>4</v>
      </c>
      <c r="Y134" s="1">
        <v>4</v>
      </c>
      <c r="Z134" s="1">
        <f>data[[#This Row],[Nilai Kepentingan Dimensi Tarif/ Biaya]]-data[[#This Row],[Nilai Kepuasan Dimensi Tarif / Biaya]]</f>
        <v>0</v>
      </c>
      <c r="AA134" s="1">
        <v>4</v>
      </c>
      <c r="AB134" s="1">
        <v>4</v>
      </c>
      <c r="AC134" s="1">
        <f>data[[#This Row],[Nilai Kepentingan Dimensi Produk Spesifikasi Jenis Layanan]]-data[[#This Row],[Nilai Kepuasan Dimensi Produk Spesifikasi Jenis Layanan]]</f>
        <v>0</v>
      </c>
      <c r="AD134" s="1">
        <v>4</v>
      </c>
      <c r="AE134" s="1">
        <v>4</v>
      </c>
      <c r="AF134" s="1">
        <f>data[[#This Row],[Nilai Kepentingan Dimensi Kompetensi Pelaksana]]-data[[#This Row],[Nilai Kepuasan Dimensi Kompetensi Pelaksana]]</f>
        <v>0</v>
      </c>
      <c r="AG134" s="1">
        <v>4</v>
      </c>
      <c r="AH134" s="1">
        <v>4</v>
      </c>
      <c r="AI134" s="1">
        <f>data[[#This Row],[Nilai Kepentingan Dimensi Perilaku Pelaksana]]-data[[#This Row],[Nilai Kepuasan Dimensi Perilaku Pelaksana]]</f>
        <v>0</v>
      </c>
      <c r="AJ134" s="1">
        <v>4</v>
      </c>
      <c r="AK134" s="1">
        <v>4</v>
      </c>
      <c r="AL134" s="1">
        <f>data[[#This Row],[Nilai Kepentingan Dimensi Penanganan Pengaduan, Saran &amp; Masukan]]-data[[#This Row],[Nilai Kepuasan Dimensi Penanganan Pengaduan, Saran &amp; Masukan]]</f>
        <v>0</v>
      </c>
      <c r="AM134" s="1">
        <v>4</v>
      </c>
      <c r="AN134" s="1">
        <v>4</v>
      </c>
      <c r="AO134" s="1">
        <f>data[[#This Row],[Nilai Kepentingan Dimensi Kualitas Sarana dan Prasarana]]-data[[#This Row],[Nilai Kepuasan Dimensi Kualitas Sarana dan Prasarana]]</f>
        <v>0</v>
      </c>
      <c r="AP134" s="1">
        <v>4</v>
      </c>
      <c r="AQ134" s="1" t="s">
        <v>75</v>
      </c>
      <c r="AR134" s="1">
        <v>0</v>
      </c>
      <c r="AS134" s="1" t="s">
        <v>69</v>
      </c>
      <c r="AT134" s="1">
        <v>0</v>
      </c>
      <c r="AU134" s="1" t="s">
        <v>69</v>
      </c>
      <c r="AV134" s="1" t="s">
        <v>83</v>
      </c>
      <c r="AW134" s="1" t="s">
        <v>96</v>
      </c>
      <c r="AX134" s="1">
        <v>0</v>
      </c>
      <c r="AY134" s="1">
        <v>0</v>
      </c>
      <c r="AZ134" s="1" t="s">
        <v>985</v>
      </c>
      <c r="BA134" s="1" t="s">
        <v>79</v>
      </c>
      <c r="BB134" s="1" t="s">
        <v>985</v>
      </c>
      <c r="BC134" s="1" t="s">
        <v>79</v>
      </c>
      <c r="BD134" s="1" t="s">
        <v>985</v>
      </c>
      <c r="BE134" s="1" t="s">
        <v>79</v>
      </c>
      <c r="BF134" s="5" t="s">
        <v>83</v>
      </c>
    </row>
    <row r="135" spans="1:58" x14ac:dyDescent="0.35">
      <c r="A135" s="4">
        <v>134</v>
      </c>
      <c r="B135" s="1" t="s">
        <v>1002</v>
      </c>
      <c r="C135" s="1" t="s">
        <v>63</v>
      </c>
      <c r="D135" s="1" t="s">
        <v>125</v>
      </c>
      <c r="E135" s="1" t="s">
        <v>69</v>
      </c>
      <c r="F135" s="1" t="s">
        <v>69</v>
      </c>
      <c r="G135" s="1" t="s">
        <v>69</v>
      </c>
      <c r="H135" s="1" t="s">
        <v>69</v>
      </c>
      <c r="I135" s="1" t="s">
        <v>106</v>
      </c>
      <c r="J135" s="1" t="s">
        <v>71</v>
      </c>
      <c r="K135" s="1">
        <v>26</v>
      </c>
      <c r="L135" s="1" t="s">
        <v>92</v>
      </c>
      <c r="M135" s="1" t="s">
        <v>93</v>
      </c>
      <c r="N135" s="1" t="s">
        <v>143</v>
      </c>
      <c r="O135" s="1">
        <v>4</v>
      </c>
      <c r="P135" s="1">
        <v>3</v>
      </c>
      <c r="Q135" s="1">
        <f>data[[#This Row],[Nilai Kepentingan Dimensi Persyaratan]]-data[[#This Row],[Nilai Kepuasan Dimensi Persyaratan]]</f>
        <v>-1</v>
      </c>
      <c r="R135" s="1">
        <v>4</v>
      </c>
      <c r="S135" s="1">
        <v>3</v>
      </c>
      <c r="T135" s="1">
        <f>data[[#This Row],[Nilai Kepentingan Dimensi Prosedur]]-data[[#This Row],[Nilai Kepuasan Dimensi Prosedur]]</f>
        <v>-1</v>
      </c>
      <c r="U135" s="1">
        <v>4</v>
      </c>
      <c r="V135" s="1">
        <v>4</v>
      </c>
      <c r="W135" s="1">
        <f>data[[#This Row],[Nilai Kepentingan Dimensi Waktu Pelayanan/Penyelesaian]]-data[[#This Row],[Nilai Kepuasan Dimensi Waktu Pelayanan/Penyelesaian]]</f>
        <v>0</v>
      </c>
      <c r="X135" s="1">
        <v>4</v>
      </c>
      <c r="Y135" s="1">
        <v>4</v>
      </c>
      <c r="Z135" s="1">
        <f>data[[#This Row],[Nilai Kepentingan Dimensi Tarif/ Biaya]]-data[[#This Row],[Nilai Kepuasan Dimensi Tarif / Biaya]]</f>
        <v>0</v>
      </c>
      <c r="AA135" s="1">
        <v>4</v>
      </c>
      <c r="AB135" s="1">
        <v>4</v>
      </c>
      <c r="AC135" s="1">
        <f>data[[#This Row],[Nilai Kepentingan Dimensi Produk Spesifikasi Jenis Layanan]]-data[[#This Row],[Nilai Kepuasan Dimensi Produk Spesifikasi Jenis Layanan]]</f>
        <v>0</v>
      </c>
      <c r="AD135" s="1">
        <v>4</v>
      </c>
      <c r="AE135" s="1">
        <v>4</v>
      </c>
      <c r="AF135" s="1">
        <f>data[[#This Row],[Nilai Kepentingan Dimensi Kompetensi Pelaksana]]-data[[#This Row],[Nilai Kepuasan Dimensi Kompetensi Pelaksana]]</f>
        <v>0</v>
      </c>
      <c r="AG135" s="1">
        <v>4</v>
      </c>
      <c r="AH135" s="1">
        <v>4</v>
      </c>
      <c r="AI135" s="1">
        <f>data[[#This Row],[Nilai Kepentingan Dimensi Perilaku Pelaksana]]-data[[#This Row],[Nilai Kepuasan Dimensi Perilaku Pelaksana]]</f>
        <v>0</v>
      </c>
      <c r="AJ135" s="1">
        <v>4</v>
      </c>
      <c r="AK135" s="1">
        <v>4</v>
      </c>
      <c r="AL135" s="1">
        <f>data[[#This Row],[Nilai Kepentingan Dimensi Penanganan Pengaduan, Saran &amp; Masukan]]-data[[#This Row],[Nilai Kepuasan Dimensi Penanganan Pengaduan, Saran &amp; Masukan]]</f>
        <v>0</v>
      </c>
      <c r="AM135" s="1">
        <v>4</v>
      </c>
      <c r="AN135" s="1">
        <v>4</v>
      </c>
      <c r="AO135" s="1">
        <f>data[[#This Row],[Nilai Kepentingan Dimensi Kualitas Sarana dan Prasarana]]-data[[#This Row],[Nilai Kepuasan Dimensi Kualitas Sarana dan Prasarana]]</f>
        <v>0</v>
      </c>
      <c r="AP135" s="1">
        <v>4</v>
      </c>
      <c r="AQ135" s="1" t="s">
        <v>75</v>
      </c>
      <c r="AR135" s="1">
        <v>0</v>
      </c>
      <c r="AS135" s="1" t="s">
        <v>69</v>
      </c>
      <c r="AT135" s="1">
        <v>0</v>
      </c>
      <c r="AU135" s="1" t="s">
        <v>69</v>
      </c>
      <c r="AV135" s="1" t="s">
        <v>83</v>
      </c>
      <c r="AW135" s="1" t="s">
        <v>96</v>
      </c>
      <c r="AX135" s="1">
        <v>0</v>
      </c>
      <c r="AY135" s="1">
        <v>0</v>
      </c>
      <c r="AZ135" s="1" t="s">
        <v>985</v>
      </c>
      <c r="BA135" s="1" t="s">
        <v>79</v>
      </c>
      <c r="BB135" s="1" t="s">
        <v>985</v>
      </c>
      <c r="BC135" s="1" t="s">
        <v>79</v>
      </c>
      <c r="BD135" s="1" t="s">
        <v>985</v>
      </c>
      <c r="BE135" s="1" t="s">
        <v>79</v>
      </c>
      <c r="BF135" s="5" t="s">
        <v>83</v>
      </c>
    </row>
    <row r="136" spans="1:58" x14ac:dyDescent="0.35">
      <c r="A136" s="4">
        <v>135</v>
      </c>
      <c r="B136" s="1" t="s">
        <v>1008</v>
      </c>
      <c r="C136" s="1" t="s">
        <v>63</v>
      </c>
      <c r="D136" s="1" t="s">
        <v>1010</v>
      </c>
      <c r="E136" s="1" t="s">
        <v>69</v>
      </c>
      <c r="F136" s="1" t="s">
        <v>69</v>
      </c>
      <c r="G136" s="1" t="s">
        <v>69</v>
      </c>
      <c r="H136" s="1" t="s">
        <v>69</v>
      </c>
      <c r="I136" s="1" t="s">
        <v>106</v>
      </c>
      <c r="J136" s="1" t="s">
        <v>292</v>
      </c>
      <c r="K136" s="1">
        <v>19</v>
      </c>
      <c r="L136" s="1" t="s">
        <v>131</v>
      </c>
      <c r="M136" s="1" t="s">
        <v>73</v>
      </c>
      <c r="N136" s="1" t="s">
        <v>95</v>
      </c>
      <c r="O136" s="1">
        <v>3</v>
      </c>
      <c r="P136" s="1">
        <v>3</v>
      </c>
      <c r="Q136" s="1">
        <f>data[[#This Row],[Nilai Kepentingan Dimensi Persyaratan]]-data[[#This Row],[Nilai Kepuasan Dimensi Persyaratan]]</f>
        <v>0</v>
      </c>
      <c r="R136" s="1">
        <v>4</v>
      </c>
      <c r="S136" s="1">
        <v>3</v>
      </c>
      <c r="T136" s="1">
        <f>data[[#This Row],[Nilai Kepentingan Dimensi Prosedur]]-data[[#This Row],[Nilai Kepuasan Dimensi Prosedur]]</f>
        <v>-1</v>
      </c>
      <c r="U136" s="1">
        <v>3</v>
      </c>
      <c r="V136" s="1">
        <v>4</v>
      </c>
      <c r="W136" s="1">
        <f>data[[#This Row],[Nilai Kepentingan Dimensi Waktu Pelayanan/Penyelesaian]]-data[[#This Row],[Nilai Kepuasan Dimensi Waktu Pelayanan/Penyelesaian]]</f>
        <v>1</v>
      </c>
      <c r="X136" s="1">
        <v>4</v>
      </c>
      <c r="Y136" s="1">
        <v>4</v>
      </c>
      <c r="Z136" s="1">
        <f>data[[#This Row],[Nilai Kepentingan Dimensi Tarif/ Biaya]]-data[[#This Row],[Nilai Kepuasan Dimensi Tarif / Biaya]]</f>
        <v>0</v>
      </c>
      <c r="AA136" s="1">
        <v>3</v>
      </c>
      <c r="AB136" s="1">
        <v>3</v>
      </c>
      <c r="AC136" s="1">
        <f>data[[#This Row],[Nilai Kepentingan Dimensi Produk Spesifikasi Jenis Layanan]]-data[[#This Row],[Nilai Kepuasan Dimensi Produk Spesifikasi Jenis Layanan]]</f>
        <v>0</v>
      </c>
      <c r="AD136" s="1">
        <v>4</v>
      </c>
      <c r="AE136" s="1">
        <v>4</v>
      </c>
      <c r="AF136" s="1">
        <f>data[[#This Row],[Nilai Kepentingan Dimensi Kompetensi Pelaksana]]-data[[#This Row],[Nilai Kepuasan Dimensi Kompetensi Pelaksana]]</f>
        <v>0</v>
      </c>
      <c r="AG136" s="1">
        <v>4</v>
      </c>
      <c r="AH136" s="1">
        <v>4</v>
      </c>
      <c r="AI136" s="1">
        <f>data[[#This Row],[Nilai Kepentingan Dimensi Perilaku Pelaksana]]-data[[#This Row],[Nilai Kepuasan Dimensi Perilaku Pelaksana]]</f>
        <v>0</v>
      </c>
      <c r="AJ136" s="1">
        <v>4</v>
      </c>
      <c r="AK136" s="1">
        <v>4</v>
      </c>
      <c r="AL136" s="1">
        <f>data[[#This Row],[Nilai Kepentingan Dimensi Penanganan Pengaduan, Saran &amp; Masukan]]-data[[#This Row],[Nilai Kepuasan Dimensi Penanganan Pengaduan, Saran &amp; Masukan]]</f>
        <v>0</v>
      </c>
      <c r="AM136" s="1">
        <v>4</v>
      </c>
      <c r="AN136" s="1">
        <v>4</v>
      </c>
      <c r="AO136" s="1">
        <f>data[[#This Row],[Nilai Kepentingan Dimensi Kualitas Sarana dan Prasarana]]-data[[#This Row],[Nilai Kepuasan Dimensi Kualitas Sarana dan Prasarana]]</f>
        <v>0</v>
      </c>
      <c r="AP136" s="1">
        <v>0</v>
      </c>
      <c r="AQ136" s="1" t="s">
        <v>69</v>
      </c>
      <c r="AR136" s="1">
        <v>0</v>
      </c>
      <c r="AS136" s="1" t="s">
        <v>69</v>
      </c>
      <c r="AT136" s="1">
        <v>0</v>
      </c>
      <c r="AU136" s="1" t="s">
        <v>69</v>
      </c>
      <c r="AV136" s="1" t="s">
        <v>166</v>
      </c>
      <c r="AW136" s="1" t="s">
        <v>77</v>
      </c>
      <c r="AX136" s="1">
        <v>4</v>
      </c>
      <c r="AY136" s="1">
        <v>0</v>
      </c>
      <c r="AZ136" s="1" t="s">
        <v>985</v>
      </c>
      <c r="BA136" s="1" t="s">
        <v>79</v>
      </c>
      <c r="BB136" s="1" t="s">
        <v>1013</v>
      </c>
      <c r="BC136" s="1" t="s">
        <v>157</v>
      </c>
      <c r="BD136" s="1" t="s">
        <v>985</v>
      </c>
      <c r="BE136" s="1" t="s">
        <v>79</v>
      </c>
      <c r="BF136" s="5" t="s">
        <v>83</v>
      </c>
    </row>
    <row r="137" spans="1:58" x14ac:dyDescent="0.35">
      <c r="A137" s="4">
        <v>136</v>
      </c>
      <c r="B137" s="1" t="s">
        <v>1014</v>
      </c>
      <c r="C137" s="1" t="s">
        <v>63</v>
      </c>
      <c r="D137" s="1" t="s">
        <v>338</v>
      </c>
      <c r="E137" s="1" t="s">
        <v>69</v>
      </c>
      <c r="F137" s="1" t="s">
        <v>69</v>
      </c>
      <c r="G137" s="1" t="s">
        <v>69</v>
      </c>
      <c r="H137" s="1" t="s">
        <v>69</v>
      </c>
      <c r="I137" s="1" t="s">
        <v>70</v>
      </c>
      <c r="J137" s="1" t="s">
        <v>292</v>
      </c>
      <c r="K137" s="1">
        <v>20</v>
      </c>
      <c r="L137" s="1" t="s">
        <v>131</v>
      </c>
      <c r="M137" s="1" t="s">
        <v>73</v>
      </c>
      <c r="N137" s="1" t="s">
        <v>95</v>
      </c>
      <c r="O137" s="1">
        <v>3</v>
      </c>
      <c r="P137" s="1">
        <v>4</v>
      </c>
      <c r="Q137" s="1">
        <f>data[[#This Row],[Nilai Kepentingan Dimensi Persyaratan]]-data[[#This Row],[Nilai Kepuasan Dimensi Persyaratan]]</f>
        <v>1</v>
      </c>
      <c r="R137" s="1">
        <v>3</v>
      </c>
      <c r="S137" s="1">
        <v>3</v>
      </c>
      <c r="T137" s="1">
        <f>data[[#This Row],[Nilai Kepentingan Dimensi Prosedur]]-data[[#This Row],[Nilai Kepuasan Dimensi Prosedur]]</f>
        <v>0</v>
      </c>
      <c r="U137" s="1">
        <v>3</v>
      </c>
      <c r="V137" s="1">
        <v>3</v>
      </c>
      <c r="W137" s="1">
        <f>data[[#This Row],[Nilai Kepentingan Dimensi Waktu Pelayanan/Penyelesaian]]-data[[#This Row],[Nilai Kepuasan Dimensi Waktu Pelayanan/Penyelesaian]]</f>
        <v>0</v>
      </c>
      <c r="X137" s="1">
        <v>3</v>
      </c>
      <c r="Y137" s="1">
        <v>3</v>
      </c>
      <c r="Z137" s="1">
        <f>data[[#This Row],[Nilai Kepentingan Dimensi Tarif/ Biaya]]-data[[#This Row],[Nilai Kepuasan Dimensi Tarif / Biaya]]</f>
        <v>0</v>
      </c>
      <c r="AA137" s="1">
        <v>4</v>
      </c>
      <c r="AB137" s="1">
        <v>4</v>
      </c>
      <c r="AC137" s="1">
        <f>data[[#This Row],[Nilai Kepentingan Dimensi Produk Spesifikasi Jenis Layanan]]-data[[#This Row],[Nilai Kepuasan Dimensi Produk Spesifikasi Jenis Layanan]]</f>
        <v>0</v>
      </c>
      <c r="AD137" s="1">
        <v>4</v>
      </c>
      <c r="AE137" s="1">
        <v>4</v>
      </c>
      <c r="AF137" s="1">
        <f>data[[#This Row],[Nilai Kepentingan Dimensi Kompetensi Pelaksana]]-data[[#This Row],[Nilai Kepuasan Dimensi Kompetensi Pelaksana]]</f>
        <v>0</v>
      </c>
      <c r="AG137" s="1">
        <v>4</v>
      </c>
      <c r="AH137" s="1">
        <v>4</v>
      </c>
      <c r="AI137" s="1">
        <f>data[[#This Row],[Nilai Kepentingan Dimensi Perilaku Pelaksana]]-data[[#This Row],[Nilai Kepuasan Dimensi Perilaku Pelaksana]]</f>
        <v>0</v>
      </c>
      <c r="AJ137" s="1">
        <v>4</v>
      </c>
      <c r="AK137" s="1">
        <v>4</v>
      </c>
      <c r="AL137" s="1">
        <f>data[[#This Row],[Nilai Kepentingan Dimensi Penanganan Pengaduan, Saran &amp; Masukan]]-data[[#This Row],[Nilai Kepuasan Dimensi Penanganan Pengaduan, Saran &amp; Masukan]]</f>
        <v>0</v>
      </c>
      <c r="AM137" s="1">
        <v>4</v>
      </c>
      <c r="AN137" s="1">
        <v>3</v>
      </c>
      <c r="AO137" s="1">
        <f>data[[#This Row],[Nilai Kepentingan Dimensi Kualitas Sarana dan Prasarana]]-data[[#This Row],[Nilai Kepuasan Dimensi Kualitas Sarana dan Prasarana]]</f>
        <v>-1</v>
      </c>
      <c r="AP137" s="1">
        <v>0</v>
      </c>
      <c r="AQ137" s="1" t="s">
        <v>69</v>
      </c>
      <c r="AR137" s="1">
        <v>0</v>
      </c>
      <c r="AS137" s="1" t="s">
        <v>69</v>
      </c>
      <c r="AT137" s="1">
        <v>4</v>
      </c>
      <c r="AU137" s="1" t="s">
        <v>75</v>
      </c>
      <c r="AV137" s="1" t="s">
        <v>83</v>
      </c>
      <c r="AW137" s="1" t="s">
        <v>96</v>
      </c>
      <c r="AX137" s="1">
        <v>0</v>
      </c>
      <c r="AY137" s="1">
        <v>0</v>
      </c>
      <c r="AZ137" s="1" t="s">
        <v>985</v>
      </c>
      <c r="BA137" s="1" t="s">
        <v>79</v>
      </c>
      <c r="BB137" s="1" t="s">
        <v>985</v>
      </c>
      <c r="BC137" s="1" t="s">
        <v>79</v>
      </c>
      <c r="BD137" s="1" t="s">
        <v>985</v>
      </c>
      <c r="BE137" s="1" t="s">
        <v>79</v>
      </c>
      <c r="BF137" s="5" t="s">
        <v>83</v>
      </c>
    </row>
    <row r="138" spans="1:58" x14ac:dyDescent="0.35">
      <c r="A138" s="4">
        <v>137</v>
      </c>
      <c r="B138" s="1" t="s">
        <v>1018</v>
      </c>
      <c r="C138" s="1" t="s">
        <v>63</v>
      </c>
      <c r="D138" s="1" t="s">
        <v>240</v>
      </c>
      <c r="E138" s="1" t="s">
        <v>69</v>
      </c>
      <c r="F138" s="1" t="s">
        <v>69</v>
      </c>
      <c r="G138" s="1" t="s">
        <v>69</v>
      </c>
      <c r="H138" s="1" t="s">
        <v>69</v>
      </c>
      <c r="I138" s="1" t="s">
        <v>106</v>
      </c>
      <c r="J138" s="1" t="s">
        <v>292</v>
      </c>
      <c r="K138" s="1">
        <v>20</v>
      </c>
      <c r="L138" s="1" t="s">
        <v>131</v>
      </c>
      <c r="M138" s="1" t="s">
        <v>73</v>
      </c>
      <c r="N138" s="1" t="s">
        <v>74</v>
      </c>
      <c r="O138" s="1">
        <v>3</v>
      </c>
      <c r="P138" s="1">
        <v>3</v>
      </c>
      <c r="Q138" s="1">
        <f>data[[#This Row],[Nilai Kepentingan Dimensi Persyaratan]]-data[[#This Row],[Nilai Kepuasan Dimensi Persyaratan]]</f>
        <v>0</v>
      </c>
      <c r="R138" s="1">
        <v>4</v>
      </c>
      <c r="S138" s="1">
        <v>3</v>
      </c>
      <c r="T138" s="1">
        <f>data[[#This Row],[Nilai Kepentingan Dimensi Prosedur]]-data[[#This Row],[Nilai Kepuasan Dimensi Prosedur]]</f>
        <v>-1</v>
      </c>
      <c r="U138" s="1">
        <v>3</v>
      </c>
      <c r="V138" s="1">
        <v>4</v>
      </c>
      <c r="W138" s="1">
        <f>data[[#This Row],[Nilai Kepentingan Dimensi Waktu Pelayanan/Penyelesaian]]-data[[#This Row],[Nilai Kepuasan Dimensi Waktu Pelayanan/Penyelesaian]]</f>
        <v>1</v>
      </c>
      <c r="X138" s="1">
        <v>4</v>
      </c>
      <c r="Y138" s="1">
        <v>3</v>
      </c>
      <c r="Z138" s="1">
        <f>data[[#This Row],[Nilai Kepentingan Dimensi Tarif/ Biaya]]-data[[#This Row],[Nilai Kepuasan Dimensi Tarif / Biaya]]</f>
        <v>-1</v>
      </c>
      <c r="AA138" s="1">
        <v>4</v>
      </c>
      <c r="AB138" s="1">
        <v>3</v>
      </c>
      <c r="AC138" s="1">
        <f>data[[#This Row],[Nilai Kepentingan Dimensi Produk Spesifikasi Jenis Layanan]]-data[[#This Row],[Nilai Kepuasan Dimensi Produk Spesifikasi Jenis Layanan]]</f>
        <v>-1</v>
      </c>
      <c r="AD138" s="1">
        <v>3</v>
      </c>
      <c r="AE138" s="1">
        <v>3</v>
      </c>
      <c r="AF138" s="1">
        <f>data[[#This Row],[Nilai Kepentingan Dimensi Kompetensi Pelaksana]]-data[[#This Row],[Nilai Kepuasan Dimensi Kompetensi Pelaksana]]</f>
        <v>0</v>
      </c>
      <c r="AG138" s="1">
        <v>3</v>
      </c>
      <c r="AH138" s="1">
        <v>3</v>
      </c>
      <c r="AI138" s="1">
        <f>data[[#This Row],[Nilai Kepentingan Dimensi Perilaku Pelaksana]]-data[[#This Row],[Nilai Kepuasan Dimensi Perilaku Pelaksana]]</f>
        <v>0</v>
      </c>
      <c r="AJ138" s="1">
        <v>4</v>
      </c>
      <c r="AK138" s="1">
        <v>3</v>
      </c>
      <c r="AL138" s="1">
        <f>data[[#This Row],[Nilai Kepentingan Dimensi Penanganan Pengaduan, Saran &amp; Masukan]]-data[[#This Row],[Nilai Kepuasan Dimensi Penanganan Pengaduan, Saran &amp; Masukan]]</f>
        <v>-1</v>
      </c>
      <c r="AM138" s="1">
        <v>4</v>
      </c>
      <c r="AN138" s="1">
        <v>3</v>
      </c>
      <c r="AO138" s="1">
        <f>data[[#This Row],[Nilai Kepentingan Dimensi Kualitas Sarana dan Prasarana]]-data[[#This Row],[Nilai Kepuasan Dimensi Kualitas Sarana dan Prasarana]]</f>
        <v>-1</v>
      </c>
      <c r="AP138" s="1">
        <v>0</v>
      </c>
      <c r="AQ138" s="1" t="s">
        <v>69</v>
      </c>
      <c r="AR138" s="1">
        <v>0</v>
      </c>
      <c r="AS138" s="1" t="s">
        <v>69</v>
      </c>
      <c r="AT138" s="1">
        <v>0</v>
      </c>
      <c r="AU138" s="1" t="s">
        <v>69</v>
      </c>
      <c r="AV138" s="1" t="s">
        <v>379</v>
      </c>
      <c r="AW138" s="1" t="s">
        <v>77</v>
      </c>
      <c r="AX138" s="1">
        <v>1</v>
      </c>
      <c r="AY138" s="1">
        <v>4</v>
      </c>
      <c r="AZ138" s="1" t="s">
        <v>985</v>
      </c>
      <c r="BA138" s="1" t="s">
        <v>79</v>
      </c>
      <c r="BB138" s="1" t="s">
        <v>985</v>
      </c>
      <c r="BC138" s="1" t="s">
        <v>79</v>
      </c>
      <c r="BD138" s="1" t="s">
        <v>985</v>
      </c>
      <c r="BE138" s="1" t="s">
        <v>79</v>
      </c>
      <c r="BF138" s="5" t="s">
        <v>83</v>
      </c>
    </row>
    <row r="139" spans="1:58" x14ac:dyDescent="0.35">
      <c r="A139" s="4">
        <v>138</v>
      </c>
      <c r="B139" s="1" t="s">
        <v>1021</v>
      </c>
      <c r="C139" s="1" t="s">
        <v>63</v>
      </c>
      <c r="D139" s="1" t="s">
        <v>240</v>
      </c>
      <c r="E139" s="1" t="s">
        <v>69</v>
      </c>
      <c r="F139" s="1" t="s">
        <v>69</v>
      </c>
      <c r="G139" s="1" t="s">
        <v>69</v>
      </c>
      <c r="H139" s="1" t="s">
        <v>69</v>
      </c>
      <c r="I139" s="1" t="s">
        <v>106</v>
      </c>
      <c r="J139" s="1" t="s">
        <v>292</v>
      </c>
      <c r="K139" s="1">
        <v>23</v>
      </c>
      <c r="L139" s="1" t="s">
        <v>72</v>
      </c>
      <c r="M139" s="1" t="s">
        <v>73</v>
      </c>
      <c r="N139" s="1" t="s">
        <v>74</v>
      </c>
      <c r="O139" s="1">
        <v>4</v>
      </c>
      <c r="P139" s="1">
        <v>4</v>
      </c>
      <c r="Q139" s="1">
        <f>data[[#This Row],[Nilai Kepentingan Dimensi Persyaratan]]-data[[#This Row],[Nilai Kepuasan Dimensi Persyaratan]]</f>
        <v>0</v>
      </c>
      <c r="R139" s="1">
        <v>4</v>
      </c>
      <c r="S139" s="1">
        <v>4</v>
      </c>
      <c r="T139" s="1">
        <f>data[[#This Row],[Nilai Kepentingan Dimensi Prosedur]]-data[[#This Row],[Nilai Kepuasan Dimensi Prosedur]]</f>
        <v>0</v>
      </c>
      <c r="U139" s="1">
        <v>4</v>
      </c>
      <c r="V139" s="1">
        <v>4</v>
      </c>
      <c r="W139" s="1">
        <f>data[[#This Row],[Nilai Kepentingan Dimensi Waktu Pelayanan/Penyelesaian]]-data[[#This Row],[Nilai Kepuasan Dimensi Waktu Pelayanan/Penyelesaian]]</f>
        <v>0</v>
      </c>
      <c r="X139" s="1">
        <v>4</v>
      </c>
      <c r="Y139" s="1">
        <v>4</v>
      </c>
      <c r="Z139" s="1">
        <f>data[[#This Row],[Nilai Kepentingan Dimensi Tarif/ Biaya]]-data[[#This Row],[Nilai Kepuasan Dimensi Tarif / Biaya]]</f>
        <v>0</v>
      </c>
      <c r="AA139" s="1">
        <v>4</v>
      </c>
      <c r="AB139" s="1">
        <v>4</v>
      </c>
      <c r="AC139" s="1">
        <f>data[[#This Row],[Nilai Kepentingan Dimensi Produk Spesifikasi Jenis Layanan]]-data[[#This Row],[Nilai Kepuasan Dimensi Produk Spesifikasi Jenis Layanan]]</f>
        <v>0</v>
      </c>
      <c r="AD139" s="1">
        <v>4</v>
      </c>
      <c r="AE139" s="1">
        <v>4</v>
      </c>
      <c r="AF139" s="1">
        <f>data[[#This Row],[Nilai Kepentingan Dimensi Kompetensi Pelaksana]]-data[[#This Row],[Nilai Kepuasan Dimensi Kompetensi Pelaksana]]</f>
        <v>0</v>
      </c>
      <c r="AG139" s="1">
        <v>4</v>
      </c>
      <c r="AH139" s="1">
        <v>4</v>
      </c>
      <c r="AI139" s="1">
        <f>data[[#This Row],[Nilai Kepentingan Dimensi Perilaku Pelaksana]]-data[[#This Row],[Nilai Kepuasan Dimensi Perilaku Pelaksana]]</f>
        <v>0</v>
      </c>
      <c r="AJ139" s="1">
        <v>4</v>
      </c>
      <c r="AK139" s="1">
        <v>4</v>
      </c>
      <c r="AL139" s="1">
        <f>data[[#This Row],[Nilai Kepentingan Dimensi Penanganan Pengaduan, Saran &amp; Masukan]]-data[[#This Row],[Nilai Kepuasan Dimensi Penanganan Pengaduan, Saran &amp; Masukan]]</f>
        <v>0</v>
      </c>
      <c r="AM139" s="1">
        <v>4</v>
      </c>
      <c r="AN139" s="1">
        <v>4</v>
      </c>
      <c r="AO139" s="1">
        <f>data[[#This Row],[Nilai Kepentingan Dimensi Kualitas Sarana dan Prasarana]]-data[[#This Row],[Nilai Kepuasan Dimensi Kualitas Sarana dan Prasarana]]</f>
        <v>0</v>
      </c>
      <c r="AP139" s="1">
        <v>0</v>
      </c>
      <c r="AQ139" s="1" t="s">
        <v>69</v>
      </c>
      <c r="AR139" s="1">
        <v>0</v>
      </c>
      <c r="AS139" s="1" t="s">
        <v>69</v>
      </c>
      <c r="AT139" s="1">
        <v>0</v>
      </c>
      <c r="AU139" s="1" t="s">
        <v>69</v>
      </c>
      <c r="AV139" s="1" t="s">
        <v>144</v>
      </c>
      <c r="AW139" s="1" t="s">
        <v>144</v>
      </c>
      <c r="AX139" s="1">
        <v>1</v>
      </c>
      <c r="AY139" s="1">
        <v>4</v>
      </c>
      <c r="AZ139" s="1" t="s">
        <v>985</v>
      </c>
      <c r="BA139" s="1" t="s">
        <v>79</v>
      </c>
      <c r="BB139" s="1" t="s">
        <v>985</v>
      </c>
      <c r="BC139" s="1" t="s">
        <v>79</v>
      </c>
      <c r="BD139" s="1" t="s">
        <v>985</v>
      </c>
      <c r="BE139" s="1" t="s">
        <v>79</v>
      </c>
      <c r="BF139" s="5" t="s">
        <v>83</v>
      </c>
    </row>
    <row r="140" spans="1:58" x14ac:dyDescent="0.35">
      <c r="A140" s="4">
        <v>139</v>
      </c>
      <c r="B140" s="1" t="s">
        <v>1025</v>
      </c>
      <c r="C140" s="1" t="s">
        <v>63</v>
      </c>
      <c r="D140" s="1" t="s">
        <v>480</v>
      </c>
      <c r="E140" s="1" t="s">
        <v>69</v>
      </c>
      <c r="F140" s="1" t="s">
        <v>69</v>
      </c>
      <c r="G140" s="1" t="s">
        <v>69</v>
      </c>
      <c r="H140" s="1" t="s">
        <v>69</v>
      </c>
      <c r="I140" s="1" t="s">
        <v>70</v>
      </c>
      <c r="J140" s="1" t="s">
        <v>292</v>
      </c>
      <c r="K140" s="1">
        <v>19</v>
      </c>
      <c r="L140" s="1" t="s">
        <v>131</v>
      </c>
      <c r="M140" s="1" t="s">
        <v>73</v>
      </c>
      <c r="N140" s="1" t="s">
        <v>95</v>
      </c>
      <c r="O140" s="1">
        <v>4</v>
      </c>
      <c r="P140" s="1">
        <v>4</v>
      </c>
      <c r="Q140" s="1">
        <f>data[[#This Row],[Nilai Kepentingan Dimensi Persyaratan]]-data[[#This Row],[Nilai Kepuasan Dimensi Persyaratan]]</f>
        <v>0</v>
      </c>
      <c r="R140" s="1">
        <v>4</v>
      </c>
      <c r="S140" s="1">
        <v>4</v>
      </c>
      <c r="T140" s="1">
        <f>data[[#This Row],[Nilai Kepentingan Dimensi Prosedur]]-data[[#This Row],[Nilai Kepuasan Dimensi Prosedur]]</f>
        <v>0</v>
      </c>
      <c r="U140" s="1">
        <v>4</v>
      </c>
      <c r="V140" s="1">
        <v>3</v>
      </c>
      <c r="W140" s="1">
        <f>data[[#This Row],[Nilai Kepentingan Dimensi Waktu Pelayanan/Penyelesaian]]-data[[#This Row],[Nilai Kepuasan Dimensi Waktu Pelayanan/Penyelesaian]]</f>
        <v>-1</v>
      </c>
      <c r="X140" s="1">
        <v>4</v>
      </c>
      <c r="Y140" s="1">
        <v>4</v>
      </c>
      <c r="Z140" s="1">
        <f>data[[#This Row],[Nilai Kepentingan Dimensi Tarif/ Biaya]]-data[[#This Row],[Nilai Kepuasan Dimensi Tarif / Biaya]]</f>
        <v>0</v>
      </c>
      <c r="AA140" s="1">
        <v>4</v>
      </c>
      <c r="AB140" s="1">
        <v>4</v>
      </c>
      <c r="AC140" s="1">
        <f>data[[#This Row],[Nilai Kepentingan Dimensi Produk Spesifikasi Jenis Layanan]]-data[[#This Row],[Nilai Kepuasan Dimensi Produk Spesifikasi Jenis Layanan]]</f>
        <v>0</v>
      </c>
      <c r="AD140" s="1">
        <v>4</v>
      </c>
      <c r="AE140" s="1">
        <v>4</v>
      </c>
      <c r="AF140" s="1">
        <f>data[[#This Row],[Nilai Kepentingan Dimensi Kompetensi Pelaksana]]-data[[#This Row],[Nilai Kepuasan Dimensi Kompetensi Pelaksana]]</f>
        <v>0</v>
      </c>
      <c r="AG140" s="1">
        <v>4</v>
      </c>
      <c r="AH140" s="1">
        <v>3</v>
      </c>
      <c r="AI140" s="1">
        <f>data[[#This Row],[Nilai Kepentingan Dimensi Perilaku Pelaksana]]-data[[#This Row],[Nilai Kepuasan Dimensi Perilaku Pelaksana]]</f>
        <v>-1</v>
      </c>
      <c r="AJ140" s="1">
        <v>4</v>
      </c>
      <c r="AK140" s="1">
        <v>3</v>
      </c>
      <c r="AL140" s="1">
        <f>data[[#This Row],[Nilai Kepentingan Dimensi Penanganan Pengaduan, Saran &amp; Masukan]]-data[[#This Row],[Nilai Kepuasan Dimensi Penanganan Pengaduan, Saran &amp; Masukan]]</f>
        <v>-1</v>
      </c>
      <c r="AM140" s="1">
        <v>4</v>
      </c>
      <c r="AN140" s="1">
        <v>4</v>
      </c>
      <c r="AO140" s="1">
        <f>data[[#This Row],[Nilai Kepentingan Dimensi Kualitas Sarana dan Prasarana]]-data[[#This Row],[Nilai Kepuasan Dimensi Kualitas Sarana dan Prasarana]]</f>
        <v>0</v>
      </c>
      <c r="AP140" s="1">
        <v>0</v>
      </c>
      <c r="AQ140" s="1" t="s">
        <v>75</v>
      </c>
      <c r="AR140" s="1">
        <v>0</v>
      </c>
      <c r="AS140" s="1" t="s">
        <v>69</v>
      </c>
      <c r="AT140" s="1">
        <v>0</v>
      </c>
      <c r="AU140" s="1" t="s">
        <v>69</v>
      </c>
      <c r="AV140" s="1" t="s">
        <v>77</v>
      </c>
      <c r="AW140" s="1" t="s">
        <v>77</v>
      </c>
      <c r="AX140" s="1">
        <v>1</v>
      </c>
      <c r="AY140" s="1">
        <v>4</v>
      </c>
      <c r="AZ140" s="1" t="s">
        <v>985</v>
      </c>
      <c r="BA140" s="1" t="s">
        <v>79</v>
      </c>
      <c r="BB140" s="1" t="s">
        <v>985</v>
      </c>
      <c r="BC140" s="1" t="s">
        <v>79</v>
      </c>
      <c r="BD140" s="1" t="s">
        <v>985</v>
      </c>
      <c r="BE140" s="1" t="s">
        <v>79</v>
      </c>
      <c r="BF140" s="5" t="s">
        <v>83</v>
      </c>
    </row>
    <row r="141" spans="1:58" x14ac:dyDescent="0.35">
      <c r="A141" s="4">
        <v>140</v>
      </c>
      <c r="B141" s="1" t="s">
        <v>1028</v>
      </c>
      <c r="C141" s="1" t="s">
        <v>1030</v>
      </c>
      <c r="D141" s="1" t="s">
        <v>1031</v>
      </c>
      <c r="E141" s="1" t="s">
        <v>69</v>
      </c>
      <c r="F141" s="1" t="s">
        <v>69</v>
      </c>
      <c r="G141" s="1" t="s">
        <v>69</v>
      </c>
      <c r="H141" s="1" t="s">
        <v>69</v>
      </c>
      <c r="I141" s="1" t="s">
        <v>106</v>
      </c>
      <c r="J141" s="1" t="s">
        <v>271</v>
      </c>
      <c r="K141" s="1">
        <v>31</v>
      </c>
      <c r="L141" s="1" t="s">
        <v>109</v>
      </c>
      <c r="M141" s="1" t="s">
        <v>73</v>
      </c>
      <c r="N141" s="1" t="s">
        <v>74</v>
      </c>
      <c r="O141" s="1">
        <v>4</v>
      </c>
      <c r="P141" s="1">
        <v>4</v>
      </c>
      <c r="Q141" s="1">
        <f>data[[#This Row],[Nilai Kepentingan Dimensi Persyaratan]]-data[[#This Row],[Nilai Kepuasan Dimensi Persyaratan]]</f>
        <v>0</v>
      </c>
      <c r="R141" s="1">
        <v>4</v>
      </c>
      <c r="S141" s="1">
        <v>4</v>
      </c>
      <c r="T141" s="1">
        <f>data[[#This Row],[Nilai Kepentingan Dimensi Prosedur]]-data[[#This Row],[Nilai Kepuasan Dimensi Prosedur]]</f>
        <v>0</v>
      </c>
      <c r="U141" s="1">
        <v>4</v>
      </c>
      <c r="V141" s="1">
        <v>4</v>
      </c>
      <c r="W141" s="1">
        <f>data[[#This Row],[Nilai Kepentingan Dimensi Waktu Pelayanan/Penyelesaian]]-data[[#This Row],[Nilai Kepuasan Dimensi Waktu Pelayanan/Penyelesaian]]</f>
        <v>0</v>
      </c>
      <c r="X141" s="1">
        <v>4</v>
      </c>
      <c r="Y141" s="1">
        <v>4</v>
      </c>
      <c r="Z141" s="1">
        <f>data[[#This Row],[Nilai Kepentingan Dimensi Tarif/ Biaya]]-data[[#This Row],[Nilai Kepuasan Dimensi Tarif / Biaya]]</f>
        <v>0</v>
      </c>
      <c r="AA141" s="1">
        <v>4</v>
      </c>
      <c r="AB141" s="1">
        <v>4</v>
      </c>
      <c r="AC141" s="1">
        <f>data[[#This Row],[Nilai Kepentingan Dimensi Produk Spesifikasi Jenis Layanan]]-data[[#This Row],[Nilai Kepuasan Dimensi Produk Spesifikasi Jenis Layanan]]</f>
        <v>0</v>
      </c>
      <c r="AD141" s="1">
        <v>4</v>
      </c>
      <c r="AE141" s="1">
        <v>4</v>
      </c>
      <c r="AF141" s="1">
        <f>data[[#This Row],[Nilai Kepentingan Dimensi Kompetensi Pelaksana]]-data[[#This Row],[Nilai Kepuasan Dimensi Kompetensi Pelaksana]]</f>
        <v>0</v>
      </c>
      <c r="AG141" s="1">
        <v>4</v>
      </c>
      <c r="AH141" s="1">
        <v>4</v>
      </c>
      <c r="AI141" s="1">
        <f>data[[#This Row],[Nilai Kepentingan Dimensi Perilaku Pelaksana]]-data[[#This Row],[Nilai Kepuasan Dimensi Perilaku Pelaksana]]</f>
        <v>0</v>
      </c>
      <c r="AJ141" s="1">
        <v>4</v>
      </c>
      <c r="AK141" s="1">
        <v>4</v>
      </c>
      <c r="AL141" s="1">
        <f>data[[#This Row],[Nilai Kepentingan Dimensi Penanganan Pengaduan, Saran &amp; Masukan]]-data[[#This Row],[Nilai Kepuasan Dimensi Penanganan Pengaduan, Saran &amp; Masukan]]</f>
        <v>0</v>
      </c>
      <c r="AM141" s="1">
        <v>4</v>
      </c>
      <c r="AN141" s="1">
        <v>4</v>
      </c>
      <c r="AO141" s="1">
        <f>data[[#This Row],[Nilai Kepentingan Dimensi Kualitas Sarana dan Prasarana]]-data[[#This Row],[Nilai Kepuasan Dimensi Kualitas Sarana dan Prasarana]]</f>
        <v>0</v>
      </c>
      <c r="AP141" s="1">
        <v>4</v>
      </c>
      <c r="AQ141" s="1" t="s">
        <v>75</v>
      </c>
      <c r="AR141" s="1">
        <v>0</v>
      </c>
      <c r="AS141" s="1" t="s">
        <v>69</v>
      </c>
      <c r="AT141" s="1">
        <v>0</v>
      </c>
      <c r="AU141" s="1" t="s">
        <v>69</v>
      </c>
      <c r="AV141" s="1" t="s">
        <v>83</v>
      </c>
      <c r="AW141" s="1" t="s">
        <v>96</v>
      </c>
      <c r="AX141" s="1">
        <v>0</v>
      </c>
      <c r="AY141" s="1">
        <v>0</v>
      </c>
      <c r="AZ141" s="1" t="s">
        <v>985</v>
      </c>
      <c r="BA141" s="1" t="s">
        <v>79</v>
      </c>
      <c r="BB141" s="1" t="s">
        <v>985</v>
      </c>
      <c r="BC141" s="1" t="s">
        <v>79</v>
      </c>
      <c r="BD141" s="1" t="s">
        <v>985</v>
      </c>
      <c r="BE141" s="1" t="s">
        <v>79</v>
      </c>
      <c r="BF141" s="5" t="s">
        <v>83</v>
      </c>
    </row>
    <row r="142" spans="1:58" x14ac:dyDescent="0.35">
      <c r="A142" s="4">
        <v>141</v>
      </c>
      <c r="B142" s="1" t="s">
        <v>1033</v>
      </c>
      <c r="C142" s="1" t="s">
        <v>63</v>
      </c>
      <c r="D142" s="1" t="s">
        <v>125</v>
      </c>
      <c r="E142" s="1" t="s">
        <v>69</v>
      </c>
      <c r="F142" s="1" t="s">
        <v>69</v>
      </c>
      <c r="G142" s="1" t="s">
        <v>69</v>
      </c>
      <c r="H142" s="1" t="s">
        <v>69</v>
      </c>
      <c r="I142" s="1" t="s">
        <v>70</v>
      </c>
      <c r="J142" s="1" t="s">
        <v>271</v>
      </c>
      <c r="K142" s="1">
        <v>51</v>
      </c>
      <c r="L142" s="1" t="s">
        <v>383</v>
      </c>
      <c r="M142" s="1" t="s">
        <v>93</v>
      </c>
      <c r="N142" s="1" t="s">
        <v>154</v>
      </c>
      <c r="O142" s="1">
        <v>4</v>
      </c>
      <c r="P142" s="1">
        <v>4</v>
      </c>
      <c r="Q142" s="1">
        <f>data[[#This Row],[Nilai Kepentingan Dimensi Persyaratan]]-data[[#This Row],[Nilai Kepuasan Dimensi Persyaratan]]</f>
        <v>0</v>
      </c>
      <c r="R142" s="1">
        <v>4</v>
      </c>
      <c r="S142" s="1">
        <v>4</v>
      </c>
      <c r="T142" s="1">
        <f>data[[#This Row],[Nilai Kepentingan Dimensi Prosedur]]-data[[#This Row],[Nilai Kepuasan Dimensi Prosedur]]</f>
        <v>0</v>
      </c>
      <c r="U142" s="1">
        <v>3</v>
      </c>
      <c r="V142" s="1">
        <v>4</v>
      </c>
      <c r="W142" s="1">
        <f>data[[#This Row],[Nilai Kepentingan Dimensi Waktu Pelayanan/Penyelesaian]]-data[[#This Row],[Nilai Kepuasan Dimensi Waktu Pelayanan/Penyelesaian]]</f>
        <v>1</v>
      </c>
      <c r="X142" s="1">
        <v>4</v>
      </c>
      <c r="Y142" s="1">
        <v>4</v>
      </c>
      <c r="Z142" s="1">
        <f>data[[#This Row],[Nilai Kepentingan Dimensi Tarif/ Biaya]]-data[[#This Row],[Nilai Kepuasan Dimensi Tarif / Biaya]]</f>
        <v>0</v>
      </c>
      <c r="AA142" s="1">
        <v>4</v>
      </c>
      <c r="AB142" s="1">
        <v>4</v>
      </c>
      <c r="AC142" s="1">
        <f>data[[#This Row],[Nilai Kepentingan Dimensi Produk Spesifikasi Jenis Layanan]]-data[[#This Row],[Nilai Kepuasan Dimensi Produk Spesifikasi Jenis Layanan]]</f>
        <v>0</v>
      </c>
      <c r="AD142" s="1">
        <v>4</v>
      </c>
      <c r="AE142" s="1">
        <v>4</v>
      </c>
      <c r="AF142" s="1">
        <f>data[[#This Row],[Nilai Kepentingan Dimensi Kompetensi Pelaksana]]-data[[#This Row],[Nilai Kepuasan Dimensi Kompetensi Pelaksana]]</f>
        <v>0</v>
      </c>
      <c r="AG142" s="1">
        <v>4</v>
      </c>
      <c r="AH142" s="1">
        <v>4</v>
      </c>
      <c r="AI142" s="1">
        <f>data[[#This Row],[Nilai Kepentingan Dimensi Perilaku Pelaksana]]-data[[#This Row],[Nilai Kepuasan Dimensi Perilaku Pelaksana]]</f>
        <v>0</v>
      </c>
      <c r="AJ142" s="1">
        <v>4</v>
      </c>
      <c r="AK142" s="1">
        <v>4</v>
      </c>
      <c r="AL142" s="1">
        <f>data[[#This Row],[Nilai Kepentingan Dimensi Penanganan Pengaduan, Saran &amp; Masukan]]-data[[#This Row],[Nilai Kepuasan Dimensi Penanganan Pengaduan, Saran &amp; Masukan]]</f>
        <v>0</v>
      </c>
      <c r="AM142" s="1">
        <v>4</v>
      </c>
      <c r="AN142" s="1">
        <v>4</v>
      </c>
      <c r="AO142" s="1">
        <f>data[[#This Row],[Nilai Kepentingan Dimensi Kualitas Sarana dan Prasarana]]-data[[#This Row],[Nilai Kepuasan Dimensi Kualitas Sarana dan Prasarana]]</f>
        <v>0</v>
      </c>
      <c r="AP142" s="1">
        <v>0</v>
      </c>
      <c r="AQ142" s="1" t="s">
        <v>69</v>
      </c>
      <c r="AR142" s="1">
        <v>0</v>
      </c>
      <c r="AS142" s="1" t="s">
        <v>69</v>
      </c>
      <c r="AT142" s="1">
        <v>0</v>
      </c>
      <c r="AU142" s="1" t="s">
        <v>69</v>
      </c>
      <c r="AV142" s="1" t="s">
        <v>144</v>
      </c>
      <c r="AW142" s="1" t="s">
        <v>144</v>
      </c>
      <c r="AX142" s="1">
        <v>1</v>
      </c>
      <c r="AY142" s="1">
        <v>4</v>
      </c>
      <c r="AZ142" s="1" t="s">
        <v>1038</v>
      </c>
      <c r="BA142" s="1" t="s">
        <v>112</v>
      </c>
      <c r="BB142" s="1" t="s">
        <v>985</v>
      </c>
      <c r="BC142" s="1" t="s">
        <v>79</v>
      </c>
      <c r="BD142" s="1" t="s">
        <v>1039</v>
      </c>
      <c r="BE142" s="1" t="s">
        <v>79</v>
      </c>
      <c r="BF142" s="5" t="s">
        <v>83</v>
      </c>
    </row>
    <row r="143" spans="1:58" x14ac:dyDescent="0.35">
      <c r="A143" s="4">
        <v>142</v>
      </c>
      <c r="B143" s="1" t="s">
        <v>1040</v>
      </c>
      <c r="C143" s="1" t="s">
        <v>1030</v>
      </c>
      <c r="D143" s="1" t="s">
        <v>1042</v>
      </c>
      <c r="E143" s="1" t="s">
        <v>69</v>
      </c>
      <c r="F143" s="1" t="s">
        <v>69</v>
      </c>
      <c r="G143" s="1" t="s">
        <v>69</v>
      </c>
      <c r="H143" s="1" t="s">
        <v>69</v>
      </c>
      <c r="I143" s="1" t="s">
        <v>106</v>
      </c>
      <c r="J143" s="1" t="s">
        <v>271</v>
      </c>
      <c r="K143" s="1">
        <v>29</v>
      </c>
      <c r="L143" s="1" t="s">
        <v>92</v>
      </c>
      <c r="M143" s="1" t="s">
        <v>254</v>
      </c>
      <c r="N143" s="1" t="s">
        <v>110</v>
      </c>
      <c r="O143" s="1">
        <v>4</v>
      </c>
      <c r="P143" s="1">
        <v>4</v>
      </c>
      <c r="Q143" s="1">
        <f>data[[#This Row],[Nilai Kepentingan Dimensi Persyaratan]]-data[[#This Row],[Nilai Kepuasan Dimensi Persyaratan]]</f>
        <v>0</v>
      </c>
      <c r="R143" s="1">
        <v>4</v>
      </c>
      <c r="S143" s="1">
        <v>3</v>
      </c>
      <c r="T143" s="1">
        <f>data[[#This Row],[Nilai Kepentingan Dimensi Prosedur]]-data[[#This Row],[Nilai Kepuasan Dimensi Prosedur]]</f>
        <v>-1</v>
      </c>
      <c r="U143" s="1">
        <v>3</v>
      </c>
      <c r="V143" s="1">
        <v>3</v>
      </c>
      <c r="W143" s="1">
        <f>data[[#This Row],[Nilai Kepentingan Dimensi Waktu Pelayanan/Penyelesaian]]-data[[#This Row],[Nilai Kepuasan Dimensi Waktu Pelayanan/Penyelesaian]]</f>
        <v>0</v>
      </c>
      <c r="X143" s="1">
        <v>4</v>
      </c>
      <c r="Y143" s="1">
        <v>4</v>
      </c>
      <c r="Z143" s="1">
        <f>data[[#This Row],[Nilai Kepentingan Dimensi Tarif/ Biaya]]-data[[#This Row],[Nilai Kepuasan Dimensi Tarif / Biaya]]</f>
        <v>0</v>
      </c>
      <c r="AA143" s="1">
        <v>4</v>
      </c>
      <c r="AB143" s="1">
        <v>4</v>
      </c>
      <c r="AC143" s="1">
        <f>data[[#This Row],[Nilai Kepentingan Dimensi Produk Spesifikasi Jenis Layanan]]-data[[#This Row],[Nilai Kepuasan Dimensi Produk Spesifikasi Jenis Layanan]]</f>
        <v>0</v>
      </c>
      <c r="AD143" s="1">
        <v>4</v>
      </c>
      <c r="AE143" s="1">
        <v>4</v>
      </c>
      <c r="AF143" s="1">
        <f>data[[#This Row],[Nilai Kepentingan Dimensi Kompetensi Pelaksana]]-data[[#This Row],[Nilai Kepuasan Dimensi Kompetensi Pelaksana]]</f>
        <v>0</v>
      </c>
      <c r="AG143" s="1">
        <v>4</v>
      </c>
      <c r="AH143" s="1">
        <v>4</v>
      </c>
      <c r="AI143" s="1">
        <f>data[[#This Row],[Nilai Kepentingan Dimensi Perilaku Pelaksana]]-data[[#This Row],[Nilai Kepuasan Dimensi Perilaku Pelaksana]]</f>
        <v>0</v>
      </c>
      <c r="AJ143" s="1">
        <v>4</v>
      </c>
      <c r="AK143" s="1">
        <v>4</v>
      </c>
      <c r="AL143" s="1">
        <f>data[[#This Row],[Nilai Kepentingan Dimensi Penanganan Pengaduan, Saran &amp; Masukan]]-data[[#This Row],[Nilai Kepuasan Dimensi Penanganan Pengaduan, Saran &amp; Masukan]]</f>
        <v>0</v>
      </c>
      <c r="AM143" s="1">
        <v>4</v>
      </c>
      <c r="AN143" s="1">
        <v>4</v>
      </c>
      <c r="AO143" s="1">
        <f>data[[#This Row],[Nilai Kepentingan Dimensi Kualitas Sarana dan Prasarana]]-data[[#This Row],[Nilai Kepuasan Dimensi Kualitas Sarana dan Prasarana]]</f>
        <v>0</v>
      </c>
      <c r="AP143" s="1">
        <v>0</v>
      </c>
      <c r="AQ143" s="1" t="s">
        <v>69</v>
      </c>
      <c r="AR143" s="1">
        <v>0</v>
      </c>
      <c r="AS143" s="1" t="s">
        <v>69</v>
      </c>
      <c r="AT143" s="1">
        <v>0</v>
      </c>
      <c r="AU143" s="1" t="s">
        <v>69</v>
      </c>
      <c r="AV143" s="1" t="s">
        <v>1046</v>
      </c>
      <c r="AW143" s="1" t="s">
        <v>77</v>
      </c>
      <c r="AX143" s="1">
        <v>1</v>
      </c>
      <c r="AY143" s="1">
        <v>4</v>
      </c>
      <c r="AZ143" s="1" t="s">
        <v>985</v>
      </c>
      <c r="BA143" s="1" t="s">
        <v>79</v>
      </c>
      <c r="BB143" s="1" t="s">
        <v>985</v>
      </c>
      <c r="BC143" s="1" t="s">
        <v>79</v>
      </c>
      <c r="BD143" s="1" t="s">
        <v>985</v>
      </c>
      <c r="BE143" s="1" t="s">
        <v>79</v>
      </c>
      <c r="BF143" s="5" t="s">
        <v>83</v>
      </c>
    </row>
    <row r="144" spans="1:58" x14ac:dyDescent="0.35">
      <c r="A144" s="4">
        <v>143</v>
      </c>
      <c r="B144" s="1" t="s">
        <v>1047</v>
      </c>
      <c r="C144" s="1" t="s">
        <v>63</v>
      </c>
      <c r="D144" s="1" t="s">
        <v>480</v>
      </c>
      <c r="E144" s="1" t="s">
        <v>69</v>
      </c>
      <c r="F144" s="1" t="s">
        <v>69</v>
      </c>
      <c r="G144" s="1" t="s">
        <v>69</v>
      </c>
      <c r="H144" s="1" t="s">
        <v>69</v>
      </c>
      <c r="I144" s="1" t="s">
        <v>106</v>
      </c>
      <c r="J144" s="1" t="s">
        <v>271</v>
      </c>
      <c r="K144" s="1">
        <v>32</v>
      </c>
      <c r="L144" s="1" t="s">
        <v>109</v>
      </c>
      <c r="M144" s="1" t="s">
        <v>273</v>
      </c>
      <c r="N144" s="1" t="s">
        <v>110</v>
      </c>
      <c r="O144" s="1">
        <v>4</v>
      </c>
      <c r="P144" s="1">
        <v>4</v>
      </c>
      <c r="Q144" s="1">
        <f>data[[#This Row],[Nilai Kepentingan Dimensi Persyaratan]]-data[[#This Row],[Nilai Kepuasan Dimensi Persyaratan]]</f>
        <v>0</v>
      </c>
      <c r="R144" s="1">
        <v>4</v>
      </c>
      <c r="S144" s="1">
        <v>4</v>
      </c>
      <c r="T144" s="1">
        <f>data[[#This Row],[Nilai Kepentingan Dimensi Prosedur]]-data[[#This Row],[Nilai Kepuasan Dimensi Prosedur]]</f>
        <v>0</v>
      </c>
      <c r="U144" s="1">
        <v>4</v>
      </c>
      <c r="V144" s="1">
        <v>4</v>
      </c>
      <c r="W144" s="1">
        <f>data[[#This Row],[Nilai Kepentingan Dimensi Waktu Pelayanan/Penyelesaian]]-data[[#This Row],[Nilai Kepuasan Dimensi Waktu Pelayanan/Penyelesaian]]</f>
        <v>0</v>
      </c>
      <c r="X144" s="1">
        <v>4</v>
      </c>
      <c r="Y144" s="1">
        <v>4</v>
      </c>
      <c r="Z144" s="1">
        <f>data[[#This Row],[Nilai Kepentingan Dimensi Tarif/ Biaya]]-data[[#This Row],[Nilai Kepuasan Dimensi Tarif / Biaya]]</f>
        <v>0</v>
      </c>
      <c r="AA144" s="1">
        <v>4</v>
      </c>
      <c r="AB144" s="1">
        <v>4</v>
      </c>
      <c r="AC144" s="1">
        <f>data[[#This Row],[Nilai Kepentingan Dimensi Produk Spesifikasi Jenis Layanan]]-data[[#This Row],[Nilai Kepuasan Dimensi Produk Spesifikasi Jenis Layanan]]</f>
        <v>0</v>
      </c>
      <c r="AD144" s="1">
        <v>4</v>
      </c>
      <c r="AE144" s="1">
        <v>4</v>
      </c>
      <c r="AF144" s="1">
        <f>data[[#This Row],[Nilai Kepentingan Dimensi Kompetensi Pelaksana]]-data[[#This Row],[Nilai Kepuasan Dimensi Kompetensi Pelaksana]]</f>
        <v>0</v>
      </c>
      <c r="AG144" s="1">
        <v>4</v>
      </c>
      <c r="AH144" s="1">
        <v>4</v>
      </c>
      <c r="AI144" s="1">
        <f>data[[#This Row],[Nilai Kepentingan Dimensi Perilaku Pelaksana]]-data[[#This Row],[Nilai Kepuasan Dimensi Perilaku Pelaksana]]</f>
        <v>0</v>
      </c>
      <c r="AJ144" s="1">
        <v>4</v>
      </c>
      <c r="AK144" s="1">
        <v>4</v>
      </c>
      <c r="AL144" s="1">
        <f>data[[#This Row],[Nilai Kepentingan Dimensi Penanganan Pengaduan, Saran &amp; Masukan]]-data[[#This Row],[Nilai Kepuasan Dimensi Penanganan Pengaduan, Saran &amp; Masukan]]</f>
        <v>0</v>
      </c>
      <c r="AM144" s="1">
        <v>4</v>
      </c>
      <c r="AN144" s="1">
        <v>4</v>
      </c>
      <c r="AO144" s="1">
        <f>data[[#This Row],[Nilai Kepentingan Dimensi Kualitas Sarana dan Prasarana]]-data[[#This Row],[Nilai Kepuasan Dimensi Kualitas Sarana dan Prasarana]]</f>
        <v>0</v>
      </c>
      <c r="AP144" s="1">
        <v>0</v>
      </c>
      <c r="AQ144" s="1" t="s">
        <v>69</v>
      </c>
      <c r="AR144" s="1">
        <v>0</v>
      </c>
      <c r="AS144" s="1" t="s">
        <v>69</v>
      </c>
      <c r="AT144" s="1">
        <v>0</v>
      </c>
      <c r="AU144" s="1" t="s">
        <v>69</v>
      </c>
      <c r="AV144" s="1" t="s">
        <v>144</v>
      </c>
      <c r="AW144" s="1" t="s">
        <v>144</v>
      </c>
      <c r="AX144" s="1">
        <v>1</v>
      </c>
      <c r="AY144" s="1">
        <v>4</v>
      </c>
      <c r="AZ144" s="1" t="s">
        <v>985</v>
      </c>
      <c r="BA144" s="1" t="s">
        <v>79</v>
      </c>
      <c r="BB144" s="1" t="s">
        <v>985</v>
      </c>
      <c r="BC144" s="1" t="s">
        <v>79</v>
      </c>
      <c r="BD144" s="1" t="s">
        <v>985</v>
      </c>
      <c r="BE144" s="1" t="s">
        <v>79</v>
      </c>
      <c r="BF144" s="5" t="s">
        <v>83</v>
      </c>
    </row>
    <row r="145" spans="1:58" x14ac:dyDescent="0.35">
      <c r="A145" s="4">
        <v>144</v>
      </c>
      <c r="B145" s="1" t="s">
        <v>1051</v>
      </c>
      <c r="C145" s="1" t="s">
        <v>63</v>
      </c>
      <c r="D145" s="1" t="s">
        <v>480</v>
      </c>
      <c r="E145" s="1" t="s">
        <v>69</v>
      </c>
      <c r="F145" s="1" t="s">
        <v>69</v>
      </c>
      <c r="G145" s="1" t="s">
        <v>69</v>
      </c>
      <c r="H145" s="1" t="s">
        <v>69</v>
      </c>
      <c r="I145" s="1" t="s">
        <v>106</v>
      </c>
      <c r="J145" s="1" t="s">
        <v>271</v>
      </c>
      <c r="K145" s="1">
        <v>31</v>
      </c>
      <c r="L145" s="1" t="s">
        <v>109</v>
      </c>
      <c r="M145" s="1" t="s">
        <v>93</v>
      </c>
      <c r="N145" s="1" t="s">
        <v>74</v>
      </c>
      <c r="O145" s="1">
        <v>4</v>
      </c>
      <c r="P145" s="1">
        <v>3</v>
      </c>
      <c r="Q145" s="1">
        <f>data[[#This Row],[Nilai Kepentingan Dimensi Persyaratan]]-data[[#This Row],[Nilai Kepuasan Dimensi Persyaratan]]</f>
        <v>-1</v>
      </c>
      <c r="R145" s="1">
        <v>4</v>
      </c>
      <c r="S145" s="1">
        <v>3</v>
      </c>
      <c r="T145" s="1">
        <f>data[[#This Row],[Nilai Kepentingan Dimensi Prosedur]]-data[[#This Row],[Nilai Kepuasan Dimensi Prosedur]]</f>
        <v>-1</v>
      </c>
      <c r="U145" s="1">
        <v>3</v>
      </c>
      <c r="V145" s="1">
        <v>3</v>
      </c>
      <c r="W145" s="1">
        <f>data[[#This Row],[Nilai Kepentingan Dimensi Waktu Pelayanan/Penyelesaian]]-data[[#This Row],[Nilai Kepuasan Dimensi Waktu Pelayanan/Penyelesaian]]</f>
        <v>0</v>
      </c>
      <c r="X145" s="1">
        <v>3</v>
      </c>
      <c r="Y145" s="1">
        <v>3</v>
      </c>
      <c r="Z145" s="1">
        <f>data[[#This Row],[Nilai Kepentingan Dimensi Tarif/ Biaya]]-data[[#This Row],[Nilai Kepuasan Dimensi Tarif / Biaya]]</f>
        <v>0</v>
      </c>
      <c r="AA145" s="1">
        <v>4</v>
      </c>
      <c r="AB145" s="1">
        <v>3</v>
      </c>
      <c r="AC145" s="1">
        <f>data[[#This Row],[Nilai Kepentingan Dimensi Produk Spesifikasi Jenis Layanan]]-data[[#This Row],[Nilai Kepuasan Dimensi Produk Spesifikasi Jenis Layanan]]</f>
        <v>-1</v>
      </c>
      <c r="AD145" s="1">
        <v>4</v>
      </c>
      <c r="AE145" s="1">
        <v>3</v>
      </c>
      <c r="AF145" s="1">
        <f>data[[#This Row],[Nilai Kepentingan Dimensi Kompetensi Pelaksana]]-data[[#This Row],[Nilai Kepuasan Dimensi Kompetensi Pelaksana]]</f>
        <v>-1</v>
      </c>
      <c r="AG145" s="1">
        <v>4</v>
      </c>
      <c r="AH145" s="1">
        <v>3</v>
      </c>
      <c r="AI145" s="1">
        <f>data[[#This Row],[Nilai Kepentingan Dimensi Perilaku Pelaksana]]-data[[#This Row],[Nilai Kepuasan Dimensi Perilaku Pelaksana]]</f>
        <v>-1</v>
      </c>
      <c r="AJ145" s="1">
        <v>4</v>
      </c>
      <c r="AK145" s="1">
        <v>3</v>
      </c>
      <c r="AL145" s="1">
        <f>data[[#This Row],[Nilai Kepentingan Dimensi Penanganan Pengaduan, Saran &amp; Masukan]]-data[[#This Row],[Nilai Kepuasan Dimensi Penanganan Pengaduan, Saran &amp; Masukan]]</f>
        <v>-1</v>
      </c>
      <c r="AM145" s="1">
        <v>4</v>
      </c>
      <c r="AN145" s="1">
        <v>3</v>
      </c>
      <c r="AO145" s="1">
        <f>data[[#This Row],[Nilai Kepentingan Dimensi Kualitas Sarana dan Prasarana]]-data[[#This Row],[Nilai Kepuasan Dimensi Kualitas Sarana dan Prasarana]]</f>
        <v>-1</v>
      </c>
      <c r="AP145" s="1">
        <v>4</v>
      </c>
      <c r="AQ145" s="1" t="s">
        <v>75</v>
      </c>
      <c r="AR145" s="1">
        <v>0</v>
      </c>
      <c r="AS145" s="1" t="s">
        <v>69</v>
      </c>
      <c r="AT145" s="1">
        <v>0</v>
      </c>
      <c r="AU145" s="1" t="s">
        <v>69</v>
      </c>
      <c r="AV145" s="1" t="s">
        <v>83</v>
      </c>
      <c r="AW145" s="1" t="s">
        <v>96</v>
      </c>
      <c r="AX145" s="1">
        <v>0</v>
      </c>
      <c r="AY145" s="1">
        <v>0</v>
      </c>
      <c r="AZ145" s="1" t="s">
        <v>1054</v>
      </c>
      <c r="BA145" s="1" t="s">
        <v>486</v>
      </c>
      <c r="BB145" s="1" t="s">
        <v>985</v>
      </c>
      <c r="BC145" s="1" t="s">
        <v>79</v>
      </c>
      <c r="BD145" s="1" t="s">
        <v>985</v>
      </c>
      <c r="BE145" s="1" t="s">
        <v>79</v>
      </c>
      <c r="BF145" s="5" t="s">
        <v>83</v>
      </c>
    </row>
    <row r="146" spans="1:58" x14ac:dyDescent="0.35">
      <c r="A146" s="4">
        <v>145</v>
      </c>
      <c r="B146" s="1" t="s">
        <v>1055</v>
      </c>
      <c r="C146" s="1" t="s">
        <v>63</v>
      </c>
      <c r="D146" s="1" t="s">
        <v>179</v>
      </c>
      <c r="E146" s="1" t="s">
        <v>69</v>
      </c>
      <c r="F146" s="1" t="s">
        <v>69</v>
      </c>
      <c r="G146" s="1" t="s">
        <v>69</v>
      </c>
      <c r="H146" s="1" t="s">
        <v>69</v>
      </c>
      <c r="I146" s="1" t="s">
        <v>70</v>
      </c>
      <c r="J146" s="1" t="s">
        <v>71</v>
      </c>
      <c r="K146" s="1">
        <v>41</v>
      </c>
      <c r="L146" s="1" t="s">
        <v>197</v>
      </c>
      <c r="M146" s="1" t="s">
        <v>93</v>
      </c>
      <c r="N146" s="1" t="s">
        <v>74</v>
      </c>
      <c r="O146" s="1">
        <v>3</v>
      </c>
      <c r="P146" s="1">
        <v>3</v>
      </c>
      <c r="Q146" s="1">
        <f>data[[#This Row],[Nilai Kepentingan Dimensi Persyaratan]]-data[[#This Row],[Nilai Kepuasan Dimensi Persyaratan]]</f>
        <v>0</v>
      </c>
      <c r="R146" s="1">
        <v>3</v>
      </c>
      <c r="S146" s="1">
        <v>3</v>
      </c>
      <c r="T146" s="1">
        <f>data[[#This Row],[Nilai Kepentingan Dimensi Prosedur]]-data[[#This Row],[Nilai Kepuasan Dimensi Prosedur]]</f>
        <v>0</v>
      </c>
      <c r="U146" s="1">
        <v>3</v>
      </c>
      <c r="V146" s="1">
        <v>3</v>
      </c>
      <c r="W146" s="1">
        <f>data[[#This Row],[Nilai Kepentingan Dimensi Waktu Pelayanan/Penyelesaian]]-data[[#This Row],[Nilai Kepuasan Dimensi Waktu Pelayanan/Penyelesaian]]</f>
        <v>0</v>
      </c>
      <c r="X146" s="1">
        <v>3</v>
      </c>
      <c r="Y146" s="1">
        <v>3</v>
      </c>
      <c r="Z146" s="1">
        <f>data[[#This Row],[Nilai Kepentingan Dimensi Tarif/ Biaya]]-data[[#This Row],[Nilai Kepuasan Dimensi Tarif / Biaya]]</f>
        <v>0</v>
      </c>
      <c r="AA146" s="1">
        <v>3</v>
      </c>
      <c r="AB146" s="1">
        <v>3</v>
      </c>
      <c r="AC146" s="1">
        <f>data[[#This Row],[Nilai Kepentingan Dimensi Produk Spesifikasi Jenis Layanan]]-data[[#This Row],[Nilai Kepuasan Dimensi Produk Spesifikasi Jenis Layanan]]</f>
        <v>0</v>
      </c>
      <c r="AD146" s="1">
        <v>4</v>
      </c>
      <c r="AE146" s="1">
        <v>4</v>
      </c>
      <c r="AF146" s="1">
        <f>data[[#This Row],[Nilai Kepentingan Dimensi Kompetensi Pelaksana]]-data[[#This Row],[Nilai Kepuasan Dimensi Kompetensi Pelaksana]]</f>
        <v>0</v>
      </c>
      <c r="AG146" s="1">
        <v>4</v>
      </c>
      <c r="AH146" s="1">
        <v>4</v>
      </c>
      <c r="AI146" s="1">
        <f>data[[#This Row],[Nilai Kepentingan Dimensi Perilaku Pelaksana]]-data[[#This Row],[Nilai Kepuasan Dimensi Perilaku Pelaksana]]</f>
        <v>0</v>
      </c>
      <c r="AJ146" s="1">
        <v>3</v>
      </c>
      <c r="AK146" s="1">
        <v>3</v>
      </c>
      <c r="AL146" s="1">
        <f>data[[#This Row],[Nilai Kepentingan Dimensi Penanganan Pengaduan, Saran &amp; Masukan]]-data[[#This Row],[Nilai Kepuasan Dimensi Penanganan Pengaduan, Saran &amp; Masukan]]</f>
        <v>0</v>
      </c>
      <c r="AM146" s="1">
        <v>3</v>
      </c>
      <c r="AN146" s="1">
        <v>3</v>
      </c>
      <c r="AO146" s="1">
        <f>data[[#This Row],[Nilai Kepentingan Dimensi Kualitas Sarana dan Prasarana]]-data[[#This Row],[Nilai Kepuasan Dimensi Kualitas Sarana dan Prasarana]]</f>
        <v>0</v>
      </c>
      <c r="AP146" s="1">
        <v>4</v>
      </c>
      <c r="AQ146" s="1" t="s">
        <v>75</v>
      </c>
      <c r="AR146" s="1">
        <v>0</v>
      </c>
      <c r="AS146" s="1" t="s">
        <v>69</v>
      </c>
      <c r="AT146" s="1">
        <v>0</v>
      </c>
      <c r="AU146" s="1" t="s">
        <v>69</v>
      </c>
      <c r="AV146" s="1" t="s">
        <v>83</v>
      </c>
      <c r="AW146" s="1" t="s">
        <v>96</v>
      </c>
      <c r="AX146" s="1">
        <v>0</v>
      </c>
      <c r="AY146" s="1">
        <v>0</v>
      </c>
      <c r="AZ146" s="1" t="s">
        <v>1058</v>
      </c>
      <c r="BA146" s="1" t="s">
        <v>112</v>
      </c>
      <c r="BB146" s="1" t="s">
        <v>985</v>
      </c>
      <c r="BC146" s="1" t="s">
        <v>79</v>
      </c>
      <c r="BD146" s="1" t="s">
        <v>985</v>
      </c>
      <c r="BE146" s="1" t="s">
        <v>79</v>
      </c>
      <c r="BF146" s="5" t="s">
        <v>83</v>
      </c>
    </row>
    <row r="147" spans="1:58" x14ac:dyDescent="0.35">
      <c r="A147" s="4">
        <v>146</v>
      </c>
      <c r="B147" s="1" t="s">
        <v>1059</v>
      </c>
      <c r="C147" s="1" t="s">
        <v>63</v>
      </c>
      <c r="D147" s="1" t="s">
        <v>179</v>
      </c>
      <c r="E147" s="1" t="s">
        <v>69</v>
      </c>
      <c r="F147" s="1" t="s">
        <v>69</v>
      </c>
      <c r="G147" s="1" t="s">
        <v>69</v>
      </c>
      <c r="H147" s="1" t="s">
        <v>69</v>
      </c>
      <c r="I147" s="1" t="s">
        <v>106</v>
      </c>
      <c r="J147" s="1" t="s">
        <v>71</v>
      </c>
      <c r="K147" s="1">
        <v>25</v>
      </c>
      <c r="L147" s="1" t="s">
        <v>72</v>
      </c>
      <c r="M147" s="1" t="s">
        <v>93</v>
      </c>
      <c r="N147" s="1" t="s">
        <v>74</v>
      </c>
      <c r="O147" s="1">
        <v>3</v>
      </c>
      <c r="P147" s="1">
        <v>3</v>
      </c>
      <c r="Q147" s="1">
        <f>data[[#This Row],[Nilai Kepentingan Dimensi Persyaratan]]-data[[#This Row],[Nilai Kepuasan Dimensi Persyaratan]]</f>
        <v>0</v>
      </c>
      <c r="R147" s="1">
        <v>3</v>
      </c>
      <c r="S147" s="1">
        <v>3</v>
      </c>
      <c r="T147" s="1">
        <f>data[[#This Row],[Nilai Kepentingan Dimensi Prosedur]]-data[[#This Row],[Nilai Kepuasan Dimensi Prosedur]]</f>
        <v>0</v>
      </c>
      <c r="U147" s="1">
        <v>4</v>
      </c>
      <c r="V147" s="1">
        <v>4</v>
      </c>
      <c r="W147" s="1">
        <f>data[[#This Row],[Nilai Kepentingan Dimensi Waktu Pelayanan/Penyelesaian]]-data[[#This Row],[Nilai Kepuasan Dimensi Waktu Pelayanan/Penyelesaian]]</f>
        <v>0</v>
      </c>
      <c r="X147" s="1">
        <v>3</v>
      </c>
      <c r="Y147" s="1">
        <v>3</v>
      </c>
      <c r="Z147" s="1">
        <f>data[[#This Row],[Nilai Kepentingan Dimensi Tarif/ Biaya]]-data[[#This Row],[Nilai Kepuasan Dimensi Tarif / Biaya]]</f>
        <v>0</v>
      </c>
      <c r="AA147" s="1">
        <v>3</v>
      </c>
      <c r="AB147" s="1">
        <v>3</v>
      </c>
      <c r="AC147" s="1">
        <f>data[[#This Row],[Nilai Kepentingan Dimensi Produk Spesifikasi Jenis Layanan]]-data[[#This Row],[Nilai Kepuasan Dimensi Produk Spesifikasi Jenis Layanan]]</f>
        <v>0</v>
      </c>
      <c r="AD147" s="1">
        <v>4</v>
      </c>
      <c r="AE147" s="1">
        <v>3</v>
      </c>
      <c r="AF147" s="1">
        <f>data[[#This Row],[Nilai Kepentingan Dimensi Kompetensi Pelaksana]]-data[[#This Row],[Nilai Kepuasan Dimensi Kompetensi Pelaksana]]</f>
        <v>-1</v>
      </c>
      <c r="AG147" s="1">
        <v>3</v>
      </c>
      <c r="AH147" s="1">
        <v>4</v>
      </c>
      <c r="AI147" s="1">
        <f>data[[#This Row],[Nilai Kepentingan Dimensi Perilaku Pelaksana]]-data[[#This Row],[Nilai Kepuasan Dimensi Perilaku Pelaksana]]</f>
        <v>1</v>
      </c>
      <c r="AJ147" s="1">
        <v>3</v>
      </c>
      <c r="AK147" s="1">
        <v>4</v>
      </c>
      <c r="AL147" s="1">
        <f>data[[#This Row],[Nilai Kepentingan Dimensi Penanganan Pengaduan, Saran &amp; Masukan]]-data[[#This Row],[Nilai Kepuasan Dimensi Penanganan Pengaduan, Saran &amp; Masukan]]</f>
        <v>1</v>
      </c>
      <c r="AM147" s="1">
        <v>3</v>
      </c>
      <c r="AN147" s="1">
        <v>4</v>
      </c>
      <c r="AO147" s="1">
        <f>data[[#This Row],[Nilai Kepentingan Dimensi Kualitas Sarana dan Prasarana]]-data[[#This Row],[Nilai Kepuasan Dimensi Kualitas Sarana dan Prasarana]]</f>
        <v>1</v>
      </c>
      <c r="AP147" s="1">
        <v>3</v>
      </c>
      <c r="AQ147" s="1" t="s">
        <v>75</v>
      </c>
      <c r="AR147" s="1">
        <v>0</v>
      </c>
      <c r="AS147" s="1" t="s">
        <v>69</v>
      </c>
      <c r="AT147" s="1">
        <v>0</v>
      </c>
      <c r="AU147" s="1" t="s">
        <v>69</v>
      </c>
      <c r="AV147" s="1" t="s">
        <v>83</v>
      </c>
      <c r="AW147" s="1" t="s">
        <v>96</v>
      </c>
      <c r="AX147" s="1">
        <v>0</v>
      </c>
      <c r="AY147" s="1">
        <v>0</v>
      </c>
      <c r="AZ147" s="1" t="s">
        <v>1063</v>
      </c>
      <c r="BA147" s="1" t="s">
        <v>112</v>
      </c>
      <c r="BB147" s="1" t="s">
        <v>98</v>
      </c>
      <c r="BC147" s="1" t="s">
        <v>99</v>
      </c>
      <c r="BD147" s="1" t="s">
        <v>98</v>
      </c>
      <c r="BE147" s="1" t="s">
        <v>99</v>
      </c>
      <c r="BF147" s="5" t="s">
        <v>1064</v>
      </c>
    </row>
    <row r="148" spans="1:58" x14ac:dyDescent="0.35">
      <c r="A148" s="4">
        <v>147</v>
      </c>
      <c r="B148" s="1" t="s">
        <v>1065</v>
      </c>
      <c r="C148" s="1" t="s">
        <v>63</v>
      </c>
      <c r="D148" s="1" t="s">
        <v>179</v>
      </c>
      <c r="E148" s="1" t="s">
        <v>69</v>
      </c>
      <c r="F148" s="1" t="s">
        <v>69</v>
      </c>
      <c r="G148" s="1" t="s">
        <v>69</v>
      </c>
      <c r="H148" s="1" t="s">
        <v>69</v>
      </c>
      <c r="I148" s="1" t="s">
        <v>106</v>
      </c>
      <c r="J148" s="1" t="s">
        <v>107</v>
      </c>
      <c r="K148" s="1">
        <v>38</v>
      </c>
      <c r="L148" s="1" t="s">
        <v>153</v>
      </c>
      <c r="M148" s="1" t="s">
        <v>73</v>
      </c>
      <c r="N148" s="1" t="s">
        <v>74</v>
      </c>
      <c r="O148" s="1">
        <v>3</v>
      </c>
      <c r="P148" s="1">
        <v>4</v>
      </c>
      <c r="Q148" s="1">
        <f>data[[#This Row],[Nilai Kepentingan Dimensi Persyaratan]]-data[[#This Row],[Nilai Kepuasan Dimensi Persyaratan]]</f>
        <v>1</v>
      </c>
      <c r="R148" s="1">
        <v>3</v>
      </c>
      <c r="S148" s="1">
        <v>4</v>
      </c>
      <c r="T148" s="1">
        <f>data[[#This Row],[Nilai Kepentingan Dimensi Prosedur]]-data[[#This Row],[Nilai Kepuasan Dimensi Prosedur]]</f>
        <v>1</v>
      </c>
      <c r="U148" s="1">
        <v>3</v>
      </c>
      <c r="V148" s="1">
        <v>4</v>
      </c>
      <c r="W148" s="1">
        <f>data[[#This Row],[Nilai Kepentingan Dimensi Waktu Pelayanan/Penyelesaian]]-data[[#This Row],[Nilai Kepuasan Dimensi Waktu Pelayanan/Penyelesaian]]</f>
        <v>1</v>
      </c>
      <c r="X148" s="1">
        <v>0</v>
      </c>
      <c r="Y148" s="1">
        <v>0</v>
      </c>
      <c r="Z148" s="1">
        <f>data[[#This Row],[Nilai Kepentingan Dimensi Tarif/ Biaya]]-data[[#This Row],[Nilai Kepuasan Dimensi Tarif / Biaya]]</f>
        <v>0</v>
      </c>
      <c r="AA148" s="1">
        <v>3</v>
      </c>
      <c r="AB148" s="1">
        <v>4</v>
      </c>
      <c r="AC148" s="1">
        <f>data[[#This Row],[Nilai Kepentingan Dimensi Produk Spesifikasi Jenis Layanan]]-data[[#This Row],[Nilai Kepuasan Dimensi Produk Spesifikasi Jenis Layanan]]</f>
        <v>1</v>
      </c>
      <c r="AD148" s="1">
        <v>4</v>
      </c>
      <c r="AE148" s="1">
        <v>4</v>
      </c>
      <c r="AF148" s="1">
        <f>data[[#This Row],[Nilai Kepentingan Dimensi Kompetensi Pelaksana]]-data[[#This Row],[Nilai Kepuasan Dimensi Kompetensi Pelaksana]]</f>
        <v>0</v>
      </c>
      <c r="AG148" s="1">
        <v>3</v>
      </c>
      <c r="AH148" s="1">
        <v>3</v>
      </c>
      <c r="AI148" s="1">
        <f>data[[#This Row],[Nilai Kepentingan Dimensi Perilaku Pelaksana]]-data[[#This Row],[Nilai Kepuasan Dimensi Perilaku Pelaksana]]</f>
        <v>0</v>
      </c>
      <c r="AJ148" s="1">
        <v>4</v>
      </c>
      <c r="AK148" s="1">
        <v>4</v>
      </c>
      <c r="AL148" s="1">
        <f>data[[#This Row],[Nilai Kepentingan Dimensi Penanganan Pengaduan, Saran &amp; Masukan]]-data[[#This Row],[Nilai Kepuasan Dimensi Penanganan Pengaduan, Saran &amp; Masukan]]</f>
        <v>0</v>
      </c>
      <c r="AM148" s="1">
        <v>4</v>
      </c>
      <c r="AN148" s="1">
        <v>4</v>
      </c>
      <c r="AO148" s="1">
        <f>data[[#This Row],[Nilai Kepentingan Dimensi Kualitas Sarana dan Prasarana]]-data[[#This Row],[Nilai Kepuasan Dimensi Kualitas Sarana dan Prasarana]]</f>
        <v>0</v>
      </c>
      <c r="AP148" s="1">
        <v>0</v>
      </c>
      <c r="AQ148" s="1" t="s">
        <v>69</v>
      </c>
      <c r="AR148" s="1">
        <v>0</v>
      </c>
      <c r="AS148" s="1" t="s">
        <v>69</v>
      </c>
      <c r="AT148" s="1">
        <v>0</v>
      </c>
      <c r="AU148" s="1" t="s">
        <v>69</v>
      </c>
      <c r="AV148" s="1" t="s">
        <v>144</v>
      </c>
      <c r="AW148" s="1" t="s">
        <v>144</v>
      </c>
      <c r="AX148" s="1">
        <v>1</v>
      </c>
      <c r="AY148" s="1">
        <v>4</v>
      </c>
      <c r="AZ148" s="1" t="s">
        <v>98</v>
      </c>
      <c r="BA148" s="1" t="s">
        <v>99</v>
      </c>
      <c r="BB148" s="1" t="s">
        <v>98</v>
      </c>
      <c r="BC148" s="1" t="s">
        <v>99</v>
      </c>
      <c r="BD148" s="1" t="s">
        <v>98</v>
      </c>
      <c r="BE148" s="1" t="s">
        <v>99</v>
      </c>
      <c r="BF148" s="5" t="s">
        <v>98</v>
      </c>
    </row>
    <row r="149" spans="1:58" x14ac:dyDescent="0.35">
      <c r="A149" s="4">
        <v>148</v>
      </c>
      <c r="B149" s="1" t="s">
        <v>1069</v>
      </c>
      <c r="C149" s="1" t="s">
        <v>63</v>
      </c>
      <c r="D149" s="1" t="s">
        <v>179</v>
      </c>
      <c r="E149" s="1" t="s">
        <v>69</v>
      </c>
      <c r="F149" s="1" t="s">
        <v>69</v>
      </c>
      <c r="G149" s="1" t="s">
        <v>69</v>
      </c>
      <c r="H149" s="1" t="s">
        <v>69</v>
      </c>
      <c r="I149" s="1" t="s">
        <v>106</v>
      </c>
      <c r="J149" s="1" t="s">
        <v>71</v>
      </c>
      <c r="K149" s="1">
        <v>24</v>
      </c>
      <c r="L149" s="1" t="s">
        <v>72</v>
      </c>
      <c r="M149" s="1" t="s">
        <v>73</v>
      </c>
      <c r="N149" s="1" t="s">
        <v>133</v>
      </c>
      <c r="O149" s="1">
        <v>3</v>
      </c>
      <c r="P149" s="1">
        <v>3</v>
      </c>
      <c r="Q149" s="1">
        <f>data[[#This Row],[Nilai Kepentingan Dimensi Persyaratan]]-data[[#This Row],[Nilai Kepuasan Dimensi Persyaratan]]</f>
        <v>0</v>
      </c>
      <c r="R149" s="1">
        <v>4</v>
      </c>
      <c r="S149" s="1">
        <v>3</v>
      </c>
      <c r="T149" s="1">
        <f>data[[#This Row],[Nilai Kepentingan Dimensi Prosedur]]-data[[#This Row],[Nilai Kepuasan Dimensi Prosedur]]</f>
        <v>-1</v>
      </c>
      <c r="U149" s="1">
        <v>4</v>
      </c>
      <c r="V149" s="1">
        <v>4</v>
      </c>
      <c r="W149" s="1">
        <f>data[[#This Row],[Nilai Kepentingan Dimensi Waktu Pelayanan/Penyelesaian]]-data[[#This Row],[Nilai Kepuasan Dimensi Waktu Pelayanan/Penyelesaian]]</f>
        <v>0</v>
      </c>
      <c r="X149" s="1">
        <v>3</v>
      </c>
      <c r="Y149" s="1">
        <v>3</v>
      </c>
      <c r="Z149" s="1">
        <f>data[[#This Row],[Nilai Kepentingan Dimensi Tarif/ Biaya]]-data[[#This Row],[Nilai Kepuasan Dimensi Tarif / Biaya]]</f>
        <v>0</v>
      </c>
      <c r="AA149" s="1">
        <v>4</v>
      </c>
      <c r="AB149" s="1">
        <v>4</v>
      </c>
      <c r="AC149" s="1">
        <f>data[[#This Row],[Nilai Kepentingan Dimensi Produk Spesifikasi Jenis Layanan]]-data[[#This Row],[Nilai Kepuasan Dimensi Produk Spesifikasi Jenis Layanan]]</f>
        <v>0</v>
      </c>
      <c r="AD149" s="1">
        <v>3</v>
      </c>
      <c r="AE149" s="1">
        <v>3</v>
      </c>
      <c r="AF149" s="1">
        <f>data[[#This Row],[Nilai Kepentingan Dimensi Kompetensi Pelaksana]]-data[[#This Row],[Nilai Kepuasan Dimensi Kompetensi Pelaksana]]</f>
        <v>0</v>
      </c>
      <c r="AG149" s="1">
        <v>4</v>
      </c>
      <c r="AH149" s="1">
        <v>4</v>
      </c>
      <c r="AI149" s="1">
        <f>data[[#This Row],[Nilai Kepentingan Dimensi Perilaku Pelaksana]]-data[[#This Row],[Nilai Kepuasan Dimensi Perilaku Pelaksana]]</f>
        <v>0</v>
      </c>
      <c r="AJ149" s="1">
        <v>3</v>
      </c>
      <c r="AK149" s="1">
        <v>3</v>
      </c>
      <c r="AL149" s="1">
        <f>data[[#This Row],[Nilai Kepentingan Dimensi Penanganan Pengaduan, Saran &amp; Masukan]]-data[[#This Row],[Nilai Kepuasan Dimensi Penanganan Pengaduan, Saran &amp; Masukan]]</f>
        <v>0</v>
      </c>
      <c r="AM149" s="1">
        <v>4</v>
      </c>
      <c r="AN149" s="1">
        <v>3</v>
      </c>
      <c r="AO149" s="1">
        <f>data[[#This Row],[Nilai Kepentingan Dimensi Kualitas Sarana dan Prasarana]]-data[[#This Row],[Nilai Kepuasan Dimensi Kualitas Sarana dan Prasarana]]</f>
        <v>-1</v>
      </c>
      <c r="AP149" s="1">
        <v>0</v>
      </c>
      <c r="AQ149" s="1" t="s">
        <v>69</v>
      </c>
      <c r="AR149" s="1">
        <v>4</v>
      </c>
      <c r="AS149" s="1" t="s">
        <v>75</v>
      </c>
      <c r="AT149" s="1">
        <v>0</v>
      </c>
      <c r="AU149" s="1" t="s">
        <v>69</v>
      </c>
      <c r="AV149" s="1" t="s">
        <v>83</v>
      </c>
      <c r="AW149" s="1" t="s">
        <v>96</v>
      </c>
      <c r="AX149" s="1">
        <v>0</v>
      </c>
      <c r="AY149" s="1">
        <v>0</v>
      </c>
      <c r="AZ149" s="1" t="s">
        <v>98</v>
      </c>
      <c r="BA149" s="1" t="s">
        <v>99</v>
      </c>
      <c r="BB149" s="1" t="s">
        <v>98</v>
      </c>
      <c r="BC149" s="1" t="s">
        <v>99</v>
      </c>
      <c r="BD149" s="1" t="s">
        <v>98</v>
      </c>
      <c r="BE149" s="1" t="s">
        <v>99</v>
      </c>
      <c r="BF149" s="5" t="s">
        <v>98</v>
      </c>
    </row>
    <row r="150" spans="1:58" x14ac:dyDescent="0.35">
      <c r="A150" s="4">
        <v>149</v>
      </c>
      <c r="B150" s="1" t="s">
        <v>1074</v>
      </c>
      <c r="C150" s="1" t="s">
        <v>63</v>
      </c>
      <c r="D150" s="1" t="s">
        <v>179</v>
      </c>
      <c r="E150" s="1" t="s">
        <v>69</v>
      </c>
      <c r="F150" s="1" t="s">
        <v>69</v>
      </c>
      <c r="G150" s="1" t="s">
        <v>69</v>
      </c>
      <c r="H150" s="1" t="s">
        <v>69</v>
      </c>
      <c r="I150" s="1" t="s">
        <v>106</v>
      </c>
      <c r="J150" s="1" t="s">
        <v>107</v>
      </c>
      <c r="K150" s="1">
        <v>44</v>
      </c>
      <c r="L150" s="1" t="s">
        <v>197</v>
      </c>
      <c r="M150" s="1" t="s">
        <v>273</v>
      </c>
      <c r="N150" s="1" t="s">
        <v>110</v>
      </c>
      <c r="O150" s="1">
        <v>4</v>
      </c>
      <c r="P150" s="1">
        <v>4</v>
      </c>
      <c r="Q150" s="1">
        <f>data[[#This Row],[Nilai Kepentingan Dimensi Persyaratan]]-data[[#This Row],[Nilai Kepuasan Dimensi Persyaratan]]</f>
        <v>0</v>
      </c>
      <c r="R150" s="1">
        <v>4</v>
      </c>
      <c r="S150" s="1">
        <v>4</v>
      </c>
      <c r="T150" s="1">
        <f>data[[#This Row],[Nilai Kepentingan Dimensi Prosedur]]-data[[#This Row],[Nilai Kepuasan Dimensi Prosedur]]</f>
        <v>0</v>
      </c>
      <c r="U150" s="1">
        <v>4</v>
      </c>
      <c r="V150" s="1">
        <v>4</v>
      </c>
      <c r="W150" s="1">
        <f>data[[#This Row],[Nilai Kepentingan Dimensi Waktu Pelayanan/Penyelesaian]]-data[[#This Row],[Nilai Kepuasan Dimensi Waktu Pelayanan/Penyelesaian]]</f>
        <v>0</v>
      </c>
      <c r="X150" s="1">
        <v>0</v>
      </c>
      <c r="Y150" s="1">
        <v>0</v>
      </c>
      <c r="Z150" s="1">
        <f>data[[#This Row],[Nilai Kepentingan Dimensi Tarif/ Biaya]]-data[[#This Row],[Nilai Kepuasan Dimensi Tarif / Biaya]]</f>
        <v>0</v>
      </c>
      <c r="AA150" s="1">
        <v>4</v>
      </c>
      <c r="AB150" s="1">
        <v>4</v>
      </c>
      <c r="AC150" s="1">
        <f>data[[#This Row],[Nilai Kepentingan Dimensi Produk Spesifikasi Jenis Layanan]]-data[[#This Row],[Nilai Kepuasan Dimensi Produk Spesifikasi Jenis Layanan]]</f>
        <v>0</v>
      </c>
      <c r="AD150" s="1">
        <v>4</v>
      </c>
      <c r="AE150" s="1">
        <v>4</v>
      </c>
      <c r="AF150" s="1">
        <f>data[[#This Row],[Nilai Kepentingan Dimensi Kompetensi Pelaksana]]-data[[#This Row],[Nilai Kepuasan Dimensi Kompetensi Pelaksana]]</f>
        <v>0</v>
      </c>
      <c r="AG150" s="1">
        <v>4</v>
      </c>
      <c r="AH150" s="1">
        <v>4</v>
      </c>
      <c r="AI150" s="1">
        <f>data[[#This Row],[Nilai Kepentingan Dimensi Perilaku Pelaksana]]-data[[#This Row],[Nilai Kepuasan Dimensi Perilaku Pelaksana]]</f>
        <v>0</v>
      </c>
      <c r="AJ150" s="1">
        <v>4</v>
      </c>
      <c r="AK150" s="1">
        <v>4</v>
      </c>
      <c r="AL150" s="1">
        <f>data[[#This Row],[Nilai Kepentingan Dimensi Penanganan Pengaduan, Saran &amp; Masukan]]-data[[#This Row],[Nilai Kepuasan Dimensi Penanganan Pengaduan, Saran &amp; Masukan]]</f>
        <v>0</v>
      </c>
      <c r="AM150" s="1">
        <v>4</v>
      </c>
      <c r="AN150" s="1">
        <v>4</v>
      </c>
      <c r="AO150" s="1">
        <f>data[[#This Row],[Nilai Kepentingan Dimensi Kualitas Sarana dan Prasarana]]-data[[#This Row],[Nilai Kepuasan Dimensi Kualitas Sarana dan Prasarana]]</f>
        <v>0</v>
      </c>
      <c r="AP150" s="1">
        <v>0</v>
      </c>
      <c r="AQ150" s="1" t="s">
        <v>69</v>
      </c>
      <c r="AR150" s="1">
        <v>0</v>
      </c>
      <c r="AS150" s="1" t="s">
        <v>69</v>
      </c>
      <c r="AT150" s="1">
        <v>0</v>
      </c>
      <c r="AU150" s="1" t="s">
        <v>75</v>
      </c>
      <c r="AV150" s="1" t="s">
        <v>1078</v>
      </c>
      <c r="AW150" s="1" t="s">
        <v>144</v>
      </c>
      <c r="AX150" s="1">
        <v>3</v>
      </c>
      <c r="AY150" s="1">
        <v>2</v>
      </c>
      <c r="AZ150" s="1" t="s">
        <v>98</v>
      </c>
      <c r="BA150" s="1" t="s">
        <v>99</v>
      </c>
      <c r="BB150" s="1" t="s">
        <v>98</v>
      </c>
      <c r="BC150" s="1" t="s">
        <v>99</v>
      </c>
      <c r="BD150" s="1" t="s">
        <v>98</v>
      </c>
      <c r="BE150" s="1" t="s">
        <v>99</v>
      </c>
      <c r="BF150" s="5" t="s">
        <v>83</v>
      </c>
    </row>
    <row r="151" spans="1:58" x14ac:dyDescent="0.35">
      <c r="A151" s="4">
        <v>150</v>
      </c>
      <c r="B151" s="1" t="s">
        <v>1079</v>
      </c>
      <c r="C151" s="1" t="s">
        <v>63</v>
      </c>
      <c r="D151" s="1" t="s">
        <v>179</v>
      </c>
      <c r="E151" s="1" t="s">
        <v>69</v>
      </c>
      <c r="F151" s="1" t="s">
        <v>69</v>
      </c>
      <c r="G151" s="1" t="s">
        <v>69</v>
      </c>
      <c r="H151" s="1" t="s">
        <v>69</v>
      </c>
      <c r="I151" s="1" t="s">
        <v>106</v>
      </c>
      <c r="J151" s="1" t="s">
        <v>107</v>
      </c>
      <c r="K151" s="1">
        <v>28</v>
      </c>
      <c r="L151" s="1" t="s">
        <v>92</v>
      </c>
      <c r="M151" s="1" t="s">
        <v>73</v>
      </c>
      <c r="N151" s="1" t="s">
        <v>74</v>
      </c>
      <c r="O151" s="1">
        <v>4</v>
      </c>
      <c r="P151" s="1">
        <v>4</v>
      </c>
      <c r="Q151" s="1">
        <f>data[[#This Row],[Nilai Kepentingan Dimensi Persyaratan]]-data[[#This Row],[Nilai Kepuasan Dimensi Persyaratan]]</f>
        <v>0</v>
      </c>
      <c r="R151" s="1">
        <v>4</v>
      </c>
      <c r="S151" s="1">
        <v>4</v>
      </c>
      <c r="T151" s="1">
        <f>data[[#This Row],[Nilai Kepentingan Dimensi Prosedur]]-data[[#This Row],[Nilai Kepuasan Dimensi Prosedur]]</f>
        <v>0</v>
      </c>
      <c r="U151" s="1">
        <v>4</v>
      </c>
      <c r="V151" s="1">
        <v>4</v>
      </c>
      <c r="W151" s="1">
        <f>data[[#This Row],[Nilai Kepentingan Dimensi Waktu Pelayanan/Penyelesaian]]-data[[#This Row],[Nilai Kepuasan Dimensi Waktu Pelayanan/Penyelesaian]]</f>
        <v>0</v>
      </c>
      <c r="X151" s="1">
        <v>0</v>
      </c>
      <c r="Y151" s="1">
        <v>0</v>
      </c>
      <c r="Z151" s="1">
        <f>data[[#This Row],[Nilai Kepentingan Dimensi Tarif/ Biaya]]-data[[#This Row],[Nilai Kepuasan Dimensi Tarif / Biaya]]</f>
        <v>0</v>
      </c>
      <c r="AA151" s="1">
        <v>4</v>
      </c>
      <c r="AB151" s="1">
        <v>4</v>
      </c>
      <c r="AC151" s="1">
        <f>data[[#This Row],[Nilai Kepentingan Dimensi Produk Spesifikasi Jenis Layanan]]-data[[#This Row],[Nilai Kepuasan Dimensi Produk Spesifikasi Jenis Layanan]]</f>
        <v>0</v>
      </c>
      <c r="AD151" s="1">
        <v>4</v>
      </c>
      <c r="AE151" s="1">
        <v>4</v>
      </c>
      <c r="AF151" s="1">
        <f>data[[#This Row],[Nilai Kepentingan Dimensi Kompetensi Pelaksana]]-data[[#This Row],[Nilai Kepuasan Dimensi Kompetensi Pelaksana]]</f>
        <v>0</v>
      </c>
      <c r="AG151" s="1">
        <v>4</v>
      </c>
      <c r="AH151" s="1">
        <v>4</v>
      </c>
      <c r="AI151" s="1">
        <f>data[[#This Row],[Nilai Kepentingan Dimensi Perilaku Pelaksana]]-data[[#This Row],[Nilai Kepuasan Dimensi Perilaku Pelaksana]]</f>
        <v>0</v>
      </c>
      <c r="AJ151" s="1">
        <v>4</v>
      </c>
      <c r="AK151" s="1">
        <v>4</v>
      </c>
      <c r="AL151" s="1">
        <f>data[[#This Row],[Nilai Kepentingan Dimensi Penanganan Pengaduan, Saran &amp; Masukan]]-data[[#This Row],[Nilai Kepuasan Dimensi Penanganan Pengaduan, Saran &amp; Masukan]]</f>
        <v>0</v>
      </c>
      <c r="AM151" s="1">
        <v>4</v>
      </c>
      <c r="AN151" s="1">
        <v>4</v>
      </c>
      <c r="AO151" s="1">
        <f>data[[#This Row],[Nilai Kepentingan Dimensi Kualitas Sarana dan Prasarana]]-data[[#This Row],[Nilai Kepuasan Dimensi Kualitas Sarana dan Prasarana]]</f>
        <v>0</v>
      </c>
      <c r="AP151" s="1">
        <v>0</v>
      </c>
      <c r="AQ151" s="1" t="s">
        <v>69</v>
      </c>
      <c r="AR151" s="1">
        <v>0</v>
      </c>
      <c r="AS151" s="1" t="s">
        <v>69</v>
      </c>
      <c r="AT151" s="1">
        <v>0</v>
      </c>
      <c r="AU151" s="1" t="s">
        <v>69</v>
      </c>
      <c r="AV151" s="1" t="s">
        <v>144</v>
      </c>
      <c r="AW151" s="1" t="s">
        <v>144</v>
      </c>
      <c r="AX151" s="1">
        <v>1</v>
      </c>
      <c r="AY151" s="1">
        <v>4</v>
      </c>
      <c r="AZ151" s="1" t="s">
        <v>98</v>
      </c>
      <c r="BA151" s="1" t="s">
        <v>99</v>
      </c>
      <c r="BB151" s="1" t="s">
        <v>98</v>
      </c>
      <c r="BC151" s="1" t="s">
        <v>99</v>
      </c>
      <c r="BD151" s="1" t="s">
        <v>98</v>
      </c>
      <c r="BE151" s="1" t="s">
        <v>99</v>
      </c>
      <c r="BF151" s="5" t="s">
        <v>98</v>
      </c>
    </row>
    <row r="152" spans="1:58" x14ac:dyDescent="0.35">
      <c r="A152" s="4">
        <v>151</v>
      </c>
      <c r="B152" s="1" t="s">
        <v>1082</v>
      </c>
      <c r="C152" s="1" t="s">
        <v>63</v>
      </c>
      <c r="D152" s="1" t="s">
        <v>179</v>
      </c>
      <c r="E152" s="1" t="s">
        <v>69</v>
      </c>
      <c r="F152" s="1" t="s">
        <v>69</v>
      </c>
      <c r="G152" s="1" t="s">
        <v>69</v>
      </c>
      <c r="H152" s="1" t="s">
        <v>69</v>
      </c>
      <c r="I152" s="1" t="s">
        <v>70</v>
      </c>
      <c r="J152" s="1" t="s">
        <v>71</v>
      </c>
      <c r="K152" s="1">
        <v>21</v>
      </c>
      <c r="L152" s="1" t="s">
        <v>72</v>
      </c>
      <c r="M152" s="1" t="s">
        <v>73</v>
      </c>
      <c r="N152" s="1" t="s">
        <v>133</v>
      </c>
      <c r="O152" s="1">
        <v>3</v>
      </c>
      <c r="P152" s="1">
        <v>3</v>
      </c>
      <c r="Q152" s="1">
        <f>data[[#This Row],[Nilai Kepentingan Dimensi Persyaratan]]-data[[#This Row],[Nilai Kepuasan Dimensi Persyaratan]]</f>
        <v>0</v>
      </c>
      <c r="R152" s="1">
        <v>4</v>
      </c>
      <c r="S152" s="1">
        <v>3</v>
      </c>
      <c r="T152" s="1">
        <f>data[[#This Row],[Nilai Kepentingan Dimensi Prosedur]]-data[[#This Row],[Nilai Kepuasan Dimensi Prosedur]]</f>
        <v>-1</v>
      </c>
      <c r="U152" s="1">
        <v>3</v>
      </c>
      <c r="V152" s="1">
        <v>3</v>
      </c>
      <c r="W152" s="1">
        <f>data[[#This Row],[Nilai Kepentingan Dimensi Waktu Pelayanan/Penyelesaian]]-data[[#This Row],[Nilai Kepuasan Dimensi Waktu Pelayanan/Penyelesaian]]</f>
        <v>0</v>
      </c>
      <c r="X152" s="1">
        <v>3</v>
      </c>
      <c r="Y152" s="1">
        <v>3</v>
      </c>
      <c r="Z152" s="1">
        <f>data[[#This Row],[Nilai Kepentingan Dimensi Tarif/ Biaya]]-data[[#This Row],[Nilai Kepuasan Dimensi Tarif / Biaya]]</f>
        <v>0</v>
      </c>
      <c r="AA152" s="1">
        <v>4</v>
      </c>
      <c r="AB152" s="1">
        <v>3</v>
      </c>
      <c r="AC152" s="1">
        <f>data[[#This Row],[Nilai Kepentingan Dimensi Produk Spesifikasi Jenis Layanan]]-data[[#This Row],[Nilai Kepuasan Dimensi Produk Spesifikasi Jenis Layanan]]</f>
        <v>-1</v>
      </c>
      <c r="AD152" s="1">
        <v>3</v>
      </c>
      <c r="AE152" s="1">
        <v>3</v>
      </c>
      <c r="AF152" s="1">
        <f>data[[#This Row],[Nilai Kepentingan Dimensi Kompetensi Pelaksana]]-data[[#This Row],[Nilai Kepuasan Dimensi Kompetensi Pelaksana]]</f>
        <v>0</v>
      </c>
      <c r="AG152" s="1">
        <v>4</v>
      </c>
      <c r="AH152" s="1">
        <v>3</v>
      </c>
      <c r="AI152" s="1">
        <f>data[[#This Row],[Nilai Kepentingan Dimensi Perilaku Pelaksana]]-data[[#This Row],[Nilai Kepuasan Dimensi Perilaku Pelaksana]]</f>
        <v>-1</v>
      </c>
      <c r="AJ152" s="1">
        <v>3</v>
      </c>
      <c r="AK152" s="1">
        <v>3</v>
      </c>
      <c r="AL152" s="1">
        <f>data[[#This Row],[Nilai Kepentingan Dimensi Penanganan Pengaduan, Saran &amp; Masukan]]-data[[#This Row],[Nilai Kepuasan Dimensi Penanganan Pengaduan, Saran &amp; Masukan]]</f>
        <v>0</v>
      </c>
      <c r="AM152" s="1">
        <v>3</v>
      </c>
      <c r="AN152" s="1">
        <v>3</v>
      </c>
      <c r="AO152" s="1">
        <f>data[[#This Row],[Nilai Kepentingan Dimensi Kualitas Sarana dan Prasarana]]-data[[#This Row],[Nilai Kepuasan Dimensi Kualitas Sarana dan Prasarana]]</f>
        <v>0</v>
      </c>
      <c r="AP152" s="1">
        <v>0</v>
      </c>
      <c r="AQ152" s="1" t="s">
        <v>69</v>
      </c>
      <c r="AR152" s="1">
        <v>3</v>
      </c>
      <c r="AS152" s="1" t="s">
        <v>75</v>
      </c>
      <c r="AT152" s="1">
        <v>0</v>
      </c>
      <c r="AU152" s="1" t="s">
        <v>69</v>
      </c>
      <c r="AV152" s="1" t="s">
        <v>83</v>
      </c>
      <c r="AW152" s="1" t="s">
        <v>96</v>
      </c>
      <c r="AX152" s="1">
        <v>0</v>
      </c>
      <c r="AY152" s="1">
        <v>0</v>
      </c>
      <c r="AZ152" s="1" t="s">
        <v>98</v>
      </c>
      <c r="BA152" s="1" t="s">
        <v>99</v>
      </c>
      <c r="BB152" s="1" t="s">
        <v>98</v>
      </c>
      <c r="BC152" s="1" t="s">
        <v>99</v>
      </c>
      <c r="BD152" s="1" t="s">
        <v>98</v>
      </c>
      <c r="BE152" s="1" t="s">
        <v>99</v>
      </c>
      <c r="BF152" s="5" t="s">
        <v>98</v>
      </c>
    </row>
    <row r="153" spans="1:58" x14ac:dyDescent="0.35">
      <c r="A153" s="4">
        <v>152</v>
      </c>
      <c r="B153" s="1" t="s">
        <v>1086</v>
      </c>
      <c r="C153" s="1" t="s">
        <v>63</v>
      </c>
      <c r="D153" s="1" t="s">
        <v>179</v>
      </c>
      <c r="E153" s="1" t="s">
        <v>69</v>
      </c>
      <c r="F153" s="1" t="s">
        <v>69</v>
      </c>
      <c r="G153" s="1" t="s">
        <v>69</v>
      </c>
      <c r="H153" s="1" t="s">
        <v>69</v>
      </c>
      <c r="I153" s="1" t="s">
        <v>70</v>
      </c>
      <c r="J153" s="1" t="s">
        <v>107</v>
      </c>
      <c r="K153" s="1">
        <v>34</v>
      </c>
      <c r="L153" s="1" t="s">
        <v>109</v>
      </c>
      <c r="M153" s="1" t="s">
        <v>73</v>
      </c>
      <c r="N153" s="1" t="s">
        <v>110</v>
      </c>
      <c r="O153" s="1">
        <v>4</v>
      </c>
      <c r="P153" s="1">
        <v>4</v>
      </c>
      <c r="Q153" s="1">
        <f>data[[#This Row],[Nilai Kepentingan Dimensi Persyaratan]]-data[[#This Row],[Nilai Kepuasan Dimensi Persyaratan]]</f>
        <v>0</v>
      </c>
      <c r="R153" s="1">
        <v>3</v>
      </c>
      <c r="S153" s="1">
        <v>4</v>
      </c>
      <c r="T153" s="1">
        <f>data[[#This Row],[Nilai Kepentingan Dimensi Prosedur]]-data[[#This Row],[Nilai Kepuasan Dimensi Prosedur]]</f>
        <v>1</v>
      </c>
      <c r="U153" s="1">
        <v>4</v>
      </c>
      <c r="V153" s="1">
        <v>4</v>
      </c>
      <c r="W153" s="1">
        <f>data[[#This Row],[Nilai Kepentingan Dimensi Waktu Pelayanan/Penyelesaian]]-data[[#This Row],[Nilai Kepuasan Dimensi Waktu Pelayanan/Penyelesaian]]</f>
        <v>0</v>
      </c>
      <c r="X153" s="1">
        <v>0</v>
      </c>
      <c r="Y153" s="1">
        <v>0</v>
      </c>
      <c r="Z153" s="1">
        <f>data[[#This Row],[Nilai Kepentingan Dimensi Tarif/ Biaya]]-data[[#This Row],[Nilai Kepuasan Dimensi Tarif / Biaya]]</f>
        <v>0</v>
      </c>
      <c r="AA153" s="1">
        <v>3</v>
      </c>
      <c r="AB153" s="1">
        <v>4</v>
      </c>
      <c r="AC153" s="1">
        <f>data[[#This Row],[Nilai Kepentingan Dimensi Produk Spesifikasi Jenis Layanan]]-data[[#This Row],[Nilai Kepuasan Dimensi Produk Spesifikasi Jenis Layanan]]</f>
        <v>1</v>
      </c>
      <c r="AD153" s="1">
        <v>4</v>
      </c>
      <c r="AE153" s="1">
        <v>4</v>
      </c>
      <c r="AF153" s="1">
        <f>data[[#This Row],[Nilai Kepentingan Dimensi Kompetensi Pelaksana]]-data[[#This Row],[Nilai Kepuasan Dimensi Kompetensi Pelaksana]]</f>
        <v>0</v>
      </c>
      <c r="AG153" s="1">
        <v>4</v>
      </c>
      <c r="AH153" s="1">
        <v>4</v>
      </c>
      <c r="AI153" s="1">
        <f>data[[#This Row],[Nilai Kepentingan Dimensi Perilaku Pelaksana]]-data[[#This Row],[Nilai Kepuasan Dimensi Perilaku Pelaksana]]</f>
        <v>0</v>
      </c>
      <c r="AJ153" s="1">
        <v>3</v>
      </c>
      <c r="AK153" s="1">
        <v>4</v>
      </c>
      <c r="AL153" s="1">
        <f>data[[#This Row],[Nilai Kepentingan Dimensi Penanganan Pengaduan, Saran &amp; Masukan]]-data[[#This Row],[Nilai Kepuasan Dimensi Penanganan Pengaduan, Saran &amp; Masukan]]</f>
        <v>1</v>
      </c>
      <c r="AM153" s="1">
        <v>4</v>
      </c>
      <c r="AN153" s="1">
        <v>4</v>
      </c>
      <c r="AO153" s="1">
        <f>data[[#This Row],[Nilai Kepentingan Dimensi Kualitas Sarana dan Prasarana]]-data[[#This Row],[Nilai Kepuasan Dimensi Kualitas Sarana dan Prasarana]]</f>
        <v>0</v>
      </c>
      <c r="AP153" s="1">
        <v>3</v>
      </c>
      <c r="AQ153" s="1" t="s">
        <v>75</v>
      </c>
      <c r="AR153" s="1">
        <v>0</v>
      </c>
      <c r="AS153" s="1" t="s">
        <v>69</v>
      </c>
      <c r="AT153" s="1">
        <v>0</v>
      </c>
      <c r="AU153" s="1" t="s">
        <v>69</v>
      </c>
      <c r="AV153" s="1" t="s">
        <v>83</v>
      </c>
      <c r="AW153" s="1" t="s">
        <v>96</v>
      </c>
      <c r="AX153" s="1">
        <v>0</v>
      </c>
      <c r="AY153" s="1">
        <v>0</v>
      </c>
      <c r="AZ153" s="1" t="s">
        <v>1089</v>
      </c>
      <c r="BA153" s="1" t="s">
        <v>235</v>
      </c>
      <c r="BB153" s="1" t="s">
        <v>98</v>
      </c>
      <c r="BC153" s="1" t="s">
        <v>99</v>
      </c>
      <c r="BD153" s="1" t="s">
        <v>98</v>
      </c>
      <c r="BE153" s="1" t="s">
        <v>99</v>
      </c>
      <c r="BF153" s="5" t="s">
        <v>98</v>
      </c>
    </row>
    <row r="154" spans="1:58" x14ac:dyDescent="0.35">
      <c r="A154" s="4">
        <v>153</v>
      </c>
      <c r="B154" s="1" t="s">
        <v>1090</v>
      </c>
      <c r="C154" s="1" t="s">
        <v>63</v>
      </c>
      <c r="D154" s="1" t="s">
        <v>240</v>
      </c>
      <c r="E154" s="1" t="s">
        <v>69</v>
      </c>
      <c r="F154" s="1" t="s">
        <v>69</v>
      </c>
      <c r="G154" s="1" t="s">
        <v>69</v>
      </c>
      <c r="H154" s="1" t="s">
        <v>69</v>
      </c>
      <c r="I154" s="1" t="s">
        <v>70</v>
      </c>
      <c r="J154" s="1" t="s">
        <v>292</v>
      </c>
      <c r="K154" s="1">
        <v>44</v>
      </c>
      <c r="L154" s="1" t="s">
        <v>197</v>
      </c>
      <c r="M154" s="1" t="s">
        <v>254</v>
      </c>
      <c r="N154" s="1" t="s">
        <v>232</v>
      </c>
      <c r="O154" s="1">
        <v>3</v>
      </c>
      <c r="P154" s="1">
        <v>3</v>
      </c>
      <c r="Q154" s="1">
        <f>data[[#This Row],[Nilai Kepentingan Dimensi Persyaratan]]-data[[#This Row],[Nilai Kepuasan Dimensi Persyaratan]]</f>
        <v>0</v>
      </c>
      <c r="R154" s="1">
        <v>3</v>
      </c>
      <c r="S154" s="1">
        <v>3</v>
      </c>
      <c r="T154" s="1">
        <f>data[[#This Row],[Nilai Kepentingan Dimensi Prosedur]]-data[[#This Row],[Nilai Kepuasan Dimensi Prosedur]]</f>
        <v>0</v>
      </c>
      <c r="U154" s="1">
        <v>3</v>
      </c>
      <c r="V154" s="1">
        <v>3</v>
      </c>
      <c r="W154" s="1">
        <f>data[[#This Row],[Nilai Kepentingan Dimensi Waktu Pelayanan/Penyelesaian]]-data[[#This Row],[Nilai Kepuasan Dimensi Waktu Pelayanan/Penyelesaian]]</f>
        <v>0</v>
      </c>
      <c r="X154" s="1">
        <v>3</v>
      </c>
      <c r="Y154" s="1">
        <v>3</v>
      </c>
      <c r="Z154" s="1">
        <f>data[[#This Row],[Nilai Kepentingan Dimensi Tarif/ Biaya]]-data[[#This Row],[Nilai Kepuasan Dimensi Tarif / Biaya]]</f>
        <v>0</v>
      </c>
      <c r="AA154" s="1">
        <v>3</v>
      </c>
      <c r="AB154" s="1">
        <v>3</v>
      </c>
      <c r="AC154" s="1">
        <f>data[[#This Row],[Nilai Kepentingan Dimensi Produk Spesifikasi Jenis Layanan]]-data[[#This Row],[Nilai Kepuasan Dimensi Produk Spesifikasi Jenis Layanan]]</f>
        <v>0</v>
      </c>
      <c r="AD154" s="1">
        <v>3</v>
      </c>
      <c r="AE154" s="1">
        <v>3</v>
      </c>
      <c r="AF154" s="1">
        <f>data[[#This Row],[Nilai Kepentingan Dimensi Kompetensi Pelaksana]]-data[[#This Row],[Nilai Kepuasan Dimensi Kompetensi Pelaksana]]</f>
        <v>0</v>
      </c>
      <c r="AG154" s="1">
        <v>3</v>
      </c>
      <c r="AH154" s="1">
        <v>3</v>
      </c>
      <c r="AI154" s="1">
        <f>data[[#This Row],[Nilai Kepentingan Dimensi Perilaku Pelaksana]]-data[[#This Row],[Nilai Kepuasan Dimensi Perilaku Pelaksana]]</f>
        <v>0</v>
      </c>
      <c r="AJ154" s="1">
        <v>3</v>
      </c>
      <c r="AK154" s="1">
        <v>4</v>
      </c>
      <c r="AL154" s="1">
        <f>data[[#This Row],[Nilai Kepentingan Dimensi Penanganan Pengaduan, Saran &amp; Masukan]]-data[[#This Row],[Nilai Kepuasan Dimensi Penanganan Pengaduan, Saran &amp; Masukan]]</f>
        <v>1</v>
      </c>
      <c r="AM154" s="1">
        <v>3</v>
      </c>
      <c r="AN154" s="1">
        <v>3</v>
      </c>
      <c r="AO154" s="1">
        <f>data[[#This Row],[Nilai Kepentingan Dimensi Kualitas Sarana dan Prasarana]]-data[[#This Row],[Nilai Kepuasan Dimensi Kualitas Sarana dan Prasarana]]</f>
        <v>0</v>
      </c>
      <c r="AP154" s="1">
        <v>0</v>
      </c>
      <c r="AQ154" s="1" t="s">
        <v>69</v>
      </c>
      <c r="AR154" s="1">
        <v>0</v>
      </c>
      <c r="AS154" s="1" t="s">
        <v>69</v>
      </c>
      <c r="AT154" s="1">
        <v>0</v>
      </c>
      <c r="AU154" s="1" t="s">
        <v>69</v>
      </c>
      <c r="AV154" s="1" t="s">
        <v>293</v>
      </c>
      <c r="AW154" s="1" t="s">
        <v>144</v>
      </c>
      <c r="AX154" s="1">
        <v>2</v>
      </c>
      <c r="AY154" s="1">
        <v>3</v>
      </c>
      <c r="AZ154" s="1" t="s">
        <v>1094</v>
      </c>
      <c r="BA154" s="1" t="s">
        <v>79</v>
      </c>
      <c r="BB154" s="1" t="s">
        <v>98</v>
      </c>
      <c r="BC154" s="1" t="s">
        <v>99</v>
      </c>
      <c r="BD154" s="1" t="s">
        <v>98</v>
      </c>
      <c r="BE154" s="1" t="s">
        <v>99</v>
      </c>
      <c r="BF154" s="5" t="s">
        <v>98</v>
      </c>
    </row>
    <row r="155" spans="1:58" x14ac:dyDescent="0.35">
      <c r="A155" s="4">
        <v>154</v>
      </c>
      <c r="B155" s="1" t="s">
        <v>1095</v>
      </c>
      <c r="C155" s="1" t="s">
        <v>63</v>
      </c>
      <c r="D155" s="1" t="s">
        <v>136</v>
      </c>
      <c r="E155" s="1" t="s">
        <v>69</v>
      </c>
      <c r="F155" s="1" t="s">
        <v>69</v>
      </c>
      <c r="G155" s="1" t="s">
        <v>69</v>
      </c>
      <c r="H155" s="1" t="s">
        <v>69</v>
      </c>
      <c r="I155" s="1" t="s">
        <v>70</v>
      </c>
      <c r="J155" s="1" t="s">
        <v>271</v>
      </c>
      <c r="K155" s="1">
        <v>18</v>
      </c>
      <c r="L155" s="1" t="s">
        <v>131</v>
      </c>
      <c r="M155" s="1" t="s">
        <v>73</v>
      </c>
      <c r="N155" s="1" t="s">
        <v>133</v>
      </c>
      <c r="O155" s="1">
        <v>3</v>
      </c>
      <c r="P155" s="1">
        <v>4</v>
      </c>
      <c r="Q155" s="1">
        <f>data[[#This Row],[Nilai Kepentingan Dimensi Persyaratan]]-data[[#This Row],[Nilai Kepuasan Dimensi Persyaratan]]</f>
        <v>1</v>
      </c>
      <c r="R155" s="1">
        <v>4</v>
      </c>
      <c r="S155" s="1">
        <v>4</v>
      </c>
      <c r="T155" s="1">
        <f>data[[#This Row],[Nilai Kepentingan Dimensi Prosedur]]-data[[#This Row],[Nilai Kepuasan Dimensi Prosedur]]</f>
        <v>0</v>
      </c>
      <c r="U155" s="1">
        <v>3</v>
      </c>
      <c r="V155" s="1">
        <v>4</v>
      </c>
      <c r="W155" s="1">
        <f>data[[#This Row],[Nilai Kepentingan Dimensi Waktu Pelayanan/Penyelesaian]]-data[[#This Row],[Nilai Kepuasan Dimensi Waktu Pelayanan/Penyelesaian]]</f>
        <v>1</v>
      </c>
      <c r="X155" s="1">
        <v>4</v>
      </c>
      <c r="Y155" s="1">
        <v>4</v>
      </c>
      <c r="Z155" s="1">
        <f>data[[#This Row],[Nilai Kepentingan Dimensi Tarif/ Biaya]]-data[[#This Row],[Nilai Kepuasan Dimensi Tarif / Biaya]]</f>
        <v>0</v>
      </c>
      <c r="AA155" s="1">
        <v>4</v>
      </c>
      <c r="AB155" s="1">
        <v>4</v>
      </c>
      <c r="AC155" s="1">
        <f>data[[#This Row],[Nilai Kepentingan Dimensi Produk Spesifikasi Jenis Layanan]]-data[[#This Row],[Nilai Kepuasan Dimensi Produk Spesifikasi Jenis Layanan]]</f>
        <v>0</v>
      </c>
      <c r="AD155" s="1">
        <v>4</v>
      </c>
      <c r="AE155" s="1">
        <v>4</v>
      </c>
      <c r="AF155" s="1">
        <f>data[[#This Row],[Nilai Kepentingan Dimensi Kompetensi Pelaksana]]-data[[#This Row],[Nilai Kepuasan Dimensi Kompetensi Pelaksana]]</f>
        <v>0</v>
      </c>
      <c r="AG155" s="1">
        <v>3</v>
      </c>
      <c r="AH155" s="1">
        <v>4</v>
      </c>
      <c r="AI155" s="1">
        <f>data[[#This Row],[Nilai Kepentingan Dimensi Perilaku Pelaksana]]-data[[#This Row],[Nilai Kepuasan Dimensi Perilaku Pelaksana]]</f>
        <v>1</v>
      </c>
      <c r="AJ155" s="1">
        <v>4</v>
      </c>
      <c r="AK155" s="1">
        <v>4</v>
      </c>
      <c r="AL155" s="1">
        <f>data[[#This Row],[Nilai Kepentingan Dimensi Penanganan Pengaduan, Saran &amp; Masukan]]-data[[#This Row],[Nilai Kepuasan Dimensi Penanganan Pengaduan, Saran &amp; Masukan]]</f>
        <v>0</v>
      </c>
      <c r="AM155" s="1">
        <v>4</v>
      </c>
      <c r="AN155" s="1">
        <v>4</v>
      </c>
      <c r="AO155" s="1">
        <f>data[[#This Row],[Nilai Kepentingan Dimensi Kualitas Sarana dan Prasarana]]-data[[#This Row],[Nilai Kepuasan Dimensi Kualitas Sarana dan Prasarana]]</f>
        <v>0</v>
      </c>
      <c r="AP155" s="1">
        <v>0</v>
      </c>
      <c r="AQ155" s="1" t="s">
        <v>69</v>
      </c>
      <c r="AR155" s="1">
        <v>0</v>
      </c>
      <c r="AS155" s="1" t="s">
        <v>69</v>
      </c>
      <c r="AT155" s="1">
        <v>4</v>
      </c>
      <c r="AU155" s="1" t="s">
        <v>75</v>
      </c>
      <c r="AV155" s="1" t="s">
        <v>83</v>
      </c>
      <c r="AW155" s="1" t="s">
        <v>96</v>
      </c>
      <c r="AX155" s="1">
        <v>0</v>
      </c>
      <c r="AY155" s="1">
        <v>0</v>
      </c>
      <c r="AZ155" s="1" t="s">
        <v>98</v>
      </c>
      <c r="BA155" s="1" t="s">
        <v>99</v>
      </c>
      <c r="BB155" s="1" t="s">
        <v>98</v>
      </c>
      <c r="BC155" s="1" t="s">
        <v>99</v>
      </c>
      <c r="BD155" s="1" t="s">
        <v>98</v>
      </c>
      <c r="BE155" s="1" t="s">
        <v>99</v>
      </c>
      <c r="BF155" s="5" t="s">
        <v>98</v>
      </c>
    </row>
    <row r="156" spans="1:58" x14ac:dyDescent="0.35">
      <c r="A156" s="4">
        <v>155</v>
      </c>
      <c r="B156" s="1" t="s">
        <v>1099</v>
      </c>
      <c r="C156" s="1" t="s">
        <v>63</v>
      </c>
      <c r="D156" s="1" t="s">
        <v>338</v>
      </c>
      <c r="E156" s="1" t="s">
        <v>69</v>
      </c>
      <c r="F156" s="1" t="s">
        <v>69</v>
      </c>
      <c r="G156" s="1" t="s">
        <v>69</v>
      </c>
      <c r="H156" s="1" t="s">
        <v>69</v>
      </c>
      <c r="I156" s="1" t="s">
        <v>106</v>
      </c>
      <c r="J156" s="1" t="s">
        <v>292</v>
      </c>
      <c r="K156" s="1">
        <v>26</v>
      </c>
      <c r="L156" s="1" t="s">
        <v>92</v>
      </c>
      <c r="M156" s="1" t="s">
        <v>73</v>
      </c>
      <c r="N156" s="1" t="s">
        <v>74</v>
      </c>
      <c r="O156" s="1">
        <v>3</v>
      </c>
      <c r="P156" s="1">
        <v>4</v>
      </c>
      <c r="Q156" s="1">
        <f>data[[#This Row],[Nilai Kepentingan Dimensi Persyaratan]]-data[[#This Row],[Nilai Kepuasan Dimensi Persyaratan]]</f>
        <v>1</v>
      </c>
      <c r="R156" s="1">
        <v>3</v>
      </c>
      <c r="S156" s="1">
        <v>3</v>
      </c>
      <c r="T156" s="1">
        <f>data[[#This Row],[Nilai Kepentingan Dimensi Prosedur]]-data[[#This Row],[Nilai Kepuasan Dimensi Prosedur]]</f>
        <v>0</v>
      </c>
      <c r="U156" s="1">
        <v>3</v>
      </c>
      <c r="V156" s="1">
        <v>4</v>
      </c>
      <c r="W156" s="1">
        <f>data[[#This Row],[Nilai Kepentingan Dimensi Waktu Pelayanan/Penyelesaian]]-data[[#This Row],[Nilai Kepuasan Dimensi Waktu Pelayanan/Penyelesaian]]</f>
        <v>1</v>
      </c>
      <c r="X156" s="1">
        <v>4</v>
      </c>
      <c r="Y156" s="1">
        <v>3</v>
      </c>
      <c r="Z156" s="1">
        <f>data[[#This Row],[Nilai Kepentingan Dimensi Tarif/ Biaya]]-data[[#This Row],[Nilai Kepuasan Dimensi Tarif / Biaya]]</f>
        <v>-1</v>
      </c>
      <c r="AA156" s="1">
        <v>3</v>
      </c>
      <c r="AB156" s="1">
        <v>4</v>
      </c>
      <c r="AC156" s="1">
        <f>data[[#This Row],[Nilai Kepentingan Dimensi Produk Spesifikasi Jenis Layanan]]-data[[#This Row],[Nilai Kepuasan Dimensi Produk Spesifikasi Jenis Layanan]]</f>
        <v>1</v>
      </c>
      <c r="AD156" s="1">
        <v>3</v>
      </c>
      <c r="AE156" s="1">
        <v>3</v>
      </c>
      <c r="AF156" s="1">
        <f>data[[#This Row],[Nilai Kepentingan Dimensi Kompetensi Pelaksana]]-data[[#This Row],[Nilai Kepuasan Dimensi Kompetensi Pelaksana]]</f>
        <v>0</v>
      </c>
      <c r="AG156" s="1">
        <v>3</v>
      </c>
      <c r="AH156" s="1">
        <v>3</v>
      </c>
      <c r="AI156" s="1">
        <f>data[[#This Row],[Nilai Kepentingan Dimensi Perilaku Pelaksana]]-data[[#This Row],[Nilai Kepuasan Dimensi Perilaku Pelaksana]]</f>
        <v>0</v>
      </c>
      <c r="AJ156" s="1">
        <v>3</v>
      </c>
      <c r="AK156" s="1">
        <v>3</v>
      </c>
      <c r="AL156" s="1">
        <f>data[[#This Row],[Nilai Kepentingan Dimensi Penanganan Pengaduan, Saran &amp; Masukan]]-data[[#This Row],[Nilai Kepuasan Dimensi Penanganan Pengaduan, Saran &amp; Masukan]]</f>
        <v>0</v>
      </c>
      <c r="AM156" s="1">
        <v>4</v>
      </c>
      <c r="AN156" s="1">
        <v>4</v>
      </c>
      <c r="AO156" s="1">
        <f>data[[#This Row],[Nilai Kepentingan Dimensi Kualitas Sarana dan Prasarana]]-data[[#This Row],[Nilai Kepuasan Dimensi Kualitas Sarana dan Prasarana]]</f>
        <v>0</v>
      </c>
      <c r="AP156" s="1">
        <v>3</v>
      </c>
      <c r="AQ156" s="1" t="s">
        <v>75</v>
      </c>
      <c r="AR156" s="1">
        <v>0</v>
      </c>
      <c r="AS156" s="1" t="s">
        <v>69</v>
      </c>
      <c r="AT156" s="1">
        <v>0</v>
      </c>
      <c r="AU156" s="1" t="s">
        <v>69</v>
      </c>
      <c r="AV156" s="1" t="s">
        <v>83</v>
      </c>
      <c r="AW156" s="1" t="s">
        <v>96</v>
      </c>
      <c r="AX156" s="1">
        <v>0</v>
      </c>
      <c r="AY156" s="1">
        <v>0</v>
      </c>
      <c r="AZ156" s="1" t="s">
        <v>1102</v>
      </c>
      <c r="BA156" s="1" t="s">
        <v>540</v>
      </c>
      <c r="BB156" s="1" t="s">
        <v>98</v>
      </c>
      <c r="BC156" s="1" t="s">
        <v>99</v>
      </c>
      <c r="BD156" s="1" t="s">
        <v>98</v>
      </c>
      <c r="BE156" s="1" t="s">
        <v>99</v>
      </c>
      <c r="BF156" s="5" t="s">
        <v>98</v>
      </c>
    </row>
    <row r="157" spans="1:58" x14ac:dyDescent="0.35">
      <c r="A157" s="4">
        <v>156</v>
      </c>
      <c r="B157" s="1" t="s">
        <v>1103</v>
      </c>
      <c r="C157" s="1" t="s">
        <v>63</v>
      </c>
      <c r="D157" s="1" t="s">
        <v>63</v>
      </c>
      <c r="E157" s="1" t="s">
        <v>69</v>
      </c>
      <c r="F157" s="1" t="s">
        <v>69</v>
      </c>
      <c r="G157" s="1" t="s">
        <v>69</v>
      </c>
      <c r="H157" s="1" t="s">
        <v>69</v>
      </c>
      <c r="I157" s="1" t="s">
        <v>70</v>
      </c>
      <c r="J157" s="1" t="s">
        <v>71</v>
      </c>
      <c r="K157" s="1">
        <v>22</v>
      </c>
      <c r="L157" s="1" t="s">
        <v>72</v>
      </c>
      <c r="M157" s="1" t="s">
        <v>73</v>
      </c>
      <c r="N157" s="1" t="s">
        <v>74</v>
      </c>
      <c r="O157" s="1">
        <v>4</v>
      </c>
      <c r="P157" s="1">
        <v>4</v>
      </c>
      <c r="Q157" s="1">
        <f>data[[#This Row],[Nilai Kepentingan Dimensi Persyaratan]]-data[[#This Row],[Nilai Kepuasan Dimensi Persyaratan]]</f>
        <v>0</v>
      </c>
      <c r="R157" s="1">
        <v>4</v>
      </c>
      <c r="S157" s="1">
        <v>3</v>
      </c>
      <c r="T157" s="1">
        <f>data[[#This Row],[Nilai Kepentingan Dimensi Prosedur]]-data[[#This Row],[Nilai Kepuasan Dimensi Prosedur]]</f>
        <v>-1</v>
      </c>
      <c r="U157" s="1">
        <v>4</v>
      </c>
      <c r="V157" s="1">
        <v>4</v>
      </c>
      <c r="W157" s="1">
        <f>data[[#This Row],[Nilai Kepentingan Dimensi Waktu Pelayanan/Penyelesaian]]-data[[#This Row],[Nilai Kepuasan Dimensi Waktu Pelayanan/Penyelesaian]]</f>
        <v>0</v>
      </c>
      <c r="X157" s="1">
        <v>4</v>
      </c>
      <c r="Y157" s="1">
        <v>4</v>
      </c>
      <c r="Z157" s="1">
        <f>data[[#This Row],[Nilai Kepentingan Dimensi Tarif/ Biaya]]-data[[#This Row],[Nilai Kepuasan Dimensi Tarif / Biaya]]</f>
        <v>0</v>
      </c>
      <c r="AA157" s="1">
        <v>4</v>
      </c>
      <c r="AB157" s="1">
        <v>4</v>
      </c>
      <c r="AC157" s="1">
        <f>data[[#This Row],[Nilai Kepentingan Dimensi Produk Spesifikasi Jenis Layanan]]-data[[#This Row],[Nilai Kepuasan Dimensi Produk Spesifikasi Jenis Layanan]]</f>
        <v>0</v>
      </c>
      <c r="AD157" s="1">
        <v>4</v>
      </c>
      <c r="AE157" s="1">
        <v>4</v>
      </c>
      <c r="AF157" s="1">
        <f>data[[#This Row],[Nilai Kepentingan Dimensi Kompetensi Pelaksana]]-data[[#This Row],[Nilai Kepuasan Dimensi Kompetensi Pelaksana]]</f>
        <v>0</v>
      </c>
      <c r="AG157" s="1">
        <v>4</v>
      </c>
      <c r="AH157" s="1">
        <v>4</v>
      </c>
      <c r="AI157" s="1">
        <f>data[[#This Row],[Nilai Kepentingan Dimensi Perilaku Pelaksana]]-data[[#This Row],[Nilai Kepuasan Dimensi Perilaku Pelaksana]]</f>
        <v>0</v>
      </c>
      <c r="AJ157" s="1">
        <v>4</v>
      </c>
      <c r="AK157" s="1">
        <v>4</v>
      </c>
      <c r="AL157" s="1">
        <f>data[[#This Row],[Nilai Kepentingan Dimensi Penanganan Pengaduan, Saran &amp; Masukan]]-data[[#This Row],[Nilai Kepuasan Dimensi Penanganan Pengaduan, Saran &amp; Masukan]]</f>
        <v>0</v>
      </c>
      <c r="AM157" s="1">
        <v>3</v>
      </c>
      <c r="AN157" s="1">
        <v>3</v>
      </c>
      <c r="AO157" s="1">
        <f>data[[#This Row],[Nilai Kepentingan Dimensi Kualitas Sarana dan Prasarana]]-data[[#This Row],[Nilai Kepuasan Dimensi Kualitas Sarana dan Prasarana]]</f>
        <v>0</v>
      </c>
      <c r="AP157" s="1">
        <v>0</v>
      </c>
      <c r="AQ157" s="1" t="s">
        <v>69</v>
      </c>
      <c r="AR157" s="1">
        <v>0</v>
      </c>
      <c r="AS157" s="1" t="s">
        <v>69</v>
      </c>
      <c r="AT157" s="1">
        <v>0</v>
      </c>
      <c r="AU157" s="1" t="s">
        <v>69</v>
      </c>
      <c r="AV157" s="1" t="s">
        <v>144</v>
      </c>
      <c r="AW157" s="1" t="s">
        <v>144</v>
      </c>
      <c r="AX157" s="1">
        <v>2</v>
      </c>
      <c r="AY157" s="1">
        <v>3</v>
      </c>
      <c r="AZ157" s="1" t="s">
        <v>985</v>
      </c>
      <c r="BA157" s="1" t="s">
        <v>79</v>
      </c>
      <c r="BB157" s="1" t="s">
        <v>985</v>
      </c>
      <c r="BC157" s="1" t="s">
        <v>79</v>
      </c>
      <c r="BD157" s="1" t="s">
        <v>985</v>
      </c>
      <c r="BE157" s="1" t="s">
        <v>79</v>
      </c>
      <c r="BF157" s="5" t="s">
        <v>83</v>
      </c>
    </row>
    <row r="158" spans="1:58" x14ac:dyDescent="0.35">
      <c r="A158" s="4">
        <v>157</v>
      </c>
      <c r="B158" s="1" t="s">
        <v>1108</v>
      </c>
      <c r="C158" s="1" t="s">
        <v>63</v>
      </c>
      <c r="D158" s="1" t="s">
        <v>179</v>
      </c>
      <c r="E158" s="1" t="s">
        <v>69</v>
      </c>
      <c r="F158" s="1" t="s">
        <v>69</v>
      </c>
      <c r="G158" s="1" t="s">
        <v>69</v>
      </c>
      <c r="H158" s="1" t="s">
        <v>69</v>
      </c>
      <c r="I158" s="1" t="s">
        <v>106</v>
      </c>
      <c r="J158" s="1" t="s">
        <v>71</v>
      </c>
      <c r="K158" s="1">
        <v>20</v>
      </c>
      <c r="L158" s="1" t="s">
        <v>131</v>
      </c>
      <c r="M158" s="1" t="s">
        <v>73</v>
      </c>
      <c r="N158" s="1" t="s">
        <v>133</v>
      </c>
      <c r="O158" s="1">
        <v>3</v>
      </c>
      <c r="P158" s="1">
        <v>4</v>
      </c>
      <c r="Q158" s="1">
        <f>data[[#This Row],[Nilai Kepentingan Dimensi Persyaratan]]-data[[#This Row],[Nilai Kepuasan Dimensi Persyaratan]]</f>
        <v>1</v>
      </c>
      <c r="R158" s="1">
        <v>4</v>
      </c>
      <c r="S158" s="1">
        <v>3</v>
      </c>
      <c r="T158" s="1">
        <f>data[[#This Row],[Nilai Kepentingan Dimensi Prosedur]]-data[[#This Row],[Nilai Kepuasan Dimensi Prosedur]]</f>
        <v>-1</v>
      </c>
      <c r="U158" s="1">
        <v>4</v>
      </c>
      <c r="V158" s="1">
        <v>4</v>
      </c>
      <c r="W158" s="1">
        <f>data[[#This Row],[Nilai Kepentingan Dimensi Waktu Pelayanan/Penyelesaian]]-data[[#This Row],[Nilai Kepuasan Dimensi Waktu Pelayanan/Penyelesaian]]</f>
        <v>0</v>
      </c>
      <c r="X158" s="1">
        <v>4</v>
      </c>
      <c r="Y158" s="1">
        <v>4</v>
      </c>
      <c r="Z158" s="1">
        <f>data[[#This Row],[Nilai Kepentingan Dimensi Tarif/ Biaya]]-data[[#This Row],[Nilai Kepuasan Dimensi Tarif / Biaya]]</f>
        <v>0</v>
      </c>
      <c r="AA158" s="1">
        <v>4</v>
      </c>
      <c r="AB158" s="1">
        <v>4</v>
      </c>
      <c r="AC158" s="1">
        <f>data[[#This Row],[Nilai Kepentingan Dimensi Produk Spesifikasi Jenis Layanan]]-data[[#This Row],[Nilai Kepuasan Dimensi Produk Spesifikasi Jenis Layanan]]</f>
        <v>0</v>
      </c>
      <c r="AD158" s="1">
        <v>4</v>
      </c>
      <c r="AE158" s="1">
        <v>4</v>
      </c>
      <c r="AF158" s="1">
        <f>data[[#This Row],[Nilai Kepentingan Dimensi Kompetensi Pelaksana]]-data[[#This Row],[Nilai Kepuasan Dimensi Kompetensi Pelaksana]]</f>
        <v>0</v>
      </c>
      <c r="AG158" s="1">
        <v>4</v>
      </c>
      <c r="AH158" s="1">
        <v>4</v>
      </c>
      <c r="AI158" s="1">
        <f>data[[#This Row],[Nilai Kepentingan Dimensi Perilaku Pelaksana]]-data[[#This Row],[Nilai Kepuasan Dimensi Perilaku Pelaksana]]</f>
        <v>0</v>
      </c>
      <c r="AJ158" s="1">
        <v>4</v>
      </c>
      <c r="AK158" s="1">
        <v>4</v>
      </c>
      <c r="AL158" s="1">
        <f>data[[#This Row],[Nilai Kepentingan Dimensi Penanganan Pengaduan, Saran &amp; Masukan]]-data[[#This Row],[Nilai Kepuasan Dimensi Penanganan Pengaduan, Saran &amp; Masukan]]</f>
        <v>0</v>
      </c>
      <c r="AM158" s="1">
        <v>4</v>
      </c>
      <c r="AN158" s="1">
        <v>3</v>
      </c>
      <c r="AO158" s="1">
        <f>data[[#This Row],[Nilai Kepentingan Dimensi Kualitas Sarana dan Prasarana]]-data[[#This Row],[Nilai Kepuasan Dimensi Kualitas Sarana dan Prasarana]]</f>
        <v>-1</v>
      </c>
      <c r="AP158" s="1">
        <v>4</v>
      </c>
      <c r="AQ158" s="1" t="s">
        <v>75</v>
      </c>
      <c r="AR158" s="1">
        <v>0</v>
      </c>
      <c r="AS158" s="1" t="s">
        <v>69</v>
      </c>
      <c r="AT158" s="1">
        <v>0</v>
      </c>
      <c r="AU158" s="1" t="s">
        <v>69</v>
      </c>
      <c r="AV158" s="1" t="s">
        <v>83</v>
      </c>
      <c r="AW158" s="1" t="s">
        <v>96</v>
      </c>
      <c r="AX158" s="1">
        <v>0</v>
      </c>
      <c r="AY158" s="1">
        <v>0</v>
      </c>
      <c r="AZ158" s="1" t="s">
        <v>985</v>
      </c>
      <c r="BA158" s="1" t="s">
        <v>79</v>
      </c>
      <c r="BB158" s="1" t="s">
        <v>342</v>
      </c>
      <c r="BC158" s="1" t="s">
        <v>79</v>
      </c>
      <c r="BD158" s="1" t="s">
        <v>985</v>
      </c>
      <c r="BE158" s="1" t="s">
        <v>79</v>
      </c>
      <c r="BF158" s="5" t="s">
        <v>83</v>
      </c>
    </row>
    <row r="159" spans="1:58" x14ac:dyDescent="0.35">
      <c r="A159" s="4">
        <v>158</v>
      </c>
      <c r="B159" s="1" t="s">
        <v>1113</v>
      </c>
      <c r="C159" s="1" t="s">
        <v>63</v>
      </c>
      <c r="D159" s="1" t="s">
        <v>125</v>
      </c>
      <c r="E159" s="1" t="s">
        <v>69</v>
      </c>
      <c r="F159" s="1" t="s">
        <v>69</v>
      </c>
      <c r="G159" s="1" t="s">
        <v>69</v>
      </c>
      <c r="H159" s="1" t="s">
        <v>69</v>
      </c>
      <c r="I159" s="1" t="s">
        <v>106</v>
      </c>
      <c r="J159" s="1" t="s">
        <v>71</v>
      </c>
      <c r="K159" s="1">
        <v>21</v>
      </c>
      <c r="L159" s="1" t="s">
        <v>72</v>
      </c>
      <c r="M159" s="1" t="s">
        <v>73</v>
      </c>
      <c r="N159" s="1" t="s">
        <v>74</v>
      </c>
      <c r="O159" s="1">
        <v>3</v>
      </c>
      <c r="P159" s="1">
        <v>4</v>
      </c>
      <c r="Q159" s="1">
        <f>data[[#This Row],[Nilai Kepentingan Dimensi Persyaratan]]-data[[#This Row],[Nilai Kepuasan Dimensi Persyaratan]]</f>
        <v>1</v>
      </c>
      <c r="R159" s="1">
        <v>4</v>
      </c>
      <c r="S159" s="1">
        <v>4</v>
      </c>
      <c r="T159" s="1">
        <f>data[[#This Row],[Nilai Kepentingan Dimensi Prosedur]]-data[[#This Row],[Nilai Kepuasan Dimensi Prosedur]]</f>
        <v>0</v>
      </c>
      <c r="U159" s="1">
        <v>3</v>
      </c>
      <c r="V159" s="1">
        <v>4</v>
      </c>
      <c r="W159" s="1">
        <f>data[[#This Row],[Nilai Kepentingan Dimensi Waktu Pelayanan/Penyelesaian]]-data[[#This Row],[Nilai Kepuasan Dimensi Waktu Pelayanan/Penyelesaian]]</f>
        <v>1</v>
      </c>
      <c r="X159" s="1">
        <v>3</v>
      </c>
      <c r="Y159" s="1">
        <v>4</v>
      </c>
      <c r="Z159" s="1">
        <f>data[[#This Row],[Nilai Kepentingan Dimensi Tarif/ Biaya]]-data[[#This Row],[Nilai Kepuasan Dimensi Tarif / Biaya]]</f>
        <v>1</v>
      </c>
      <c r="AA159" s="1">
        <v>4</v>
      </c>
      <c r="AB159" s="1">
        <v>4</v>
      </c>
      <c r="AC159" s="1">
        <f>data[[#This Row],[Nilai Kepentingan Dimensi Produk Spesifikasi Jenis Layanan]]-data[[#This Row],[Nilai Kepuasan Dimensi Produk Spesifikasi Jenis Layanan]]</f>
        <v>0</v>
      </c>
      <c r="AD159" s="1">
        <v>4</v>
      </c>
      <c r="AE159" s="1">
        <v>4</v>
      </c>
      <c r="AF159" s="1">
        <f>data[[#This Row],[Nilai Kepentingan Dimensi Kompetensi Pelaksana]]-data[[#This Row],[Nilai Kepuasan Dimensi Kompetensi Pelaksana]]</f>
        <v>0</v>
      </c>
      <c r="AG159" s="1">
        <v>4</v>
      </c>
      <c r="AH159" s="1">
        <v>4</v>
      </c>
      <c r="AI159" s="1">
        <f>data[[#This Row],[Nilai Kepentingan Dimensi Perilaku Pelaksana]]-data[[#This Row],[Nilai Kepuasan Dimensi Perilaku Pelaksana]]</f>
        <v>0</v>
      </c>
      <c r="AJ159" s="1">
        <v>4</v>
      </c>
      <c r="AK159" s="1">
        <v>4</v>
      </c>
      <c r="AL159" s="1">
        <f>data[[#This Row],[Nilai Kepentingan Dimensi Penanganan Pengaduan, Saran &amp; Masukan]]-data[[#This Row],[Nilai Kepuasan Dimensi Penanganan Pengaduan, Saran &amp; Masukan]]</f>
        <v>0</v>
      </c>
      <c r="AM159" s="1">
        <v>3</v>
      </c>
      <c r="AN159" s="1">
        <v>4</v>
      </c>
      <c r="AO159" s="1">
        <f>data[[#This Row],[Nilai Kepentingan Dimensi Kualitas Sarana dan Prasarana]]-data[[#This Row],[Nilai Kepuasan Dimensi Kualitas Sarana dan Prasarana]]</f>
        <v>1</v>
      </c>
      <c r="AP159" s="1">
        <v>0</v>
      </c>
      <c r="AQ159" s="1" t="s">
        <v>69</v>
      </c>
      <c r="AR159" s="1">
        <v>3</v>
      </c>
      <c r="AS159" s="1" t="s">
        <v>75</v>
      </c>
      <c r="AT159" s="1">
        <v>0</v>
      </c>
      <c r="AU159" s="1" t="s">
        <v>69</v>
      </c>
      <c r="AV159" s="1" t="s">
        <v>83</v>
      </c>
      <c r="AW159" s="1" t="s">
        <v>96</v>
      </c>
      <c r="AX159" s="1">
        <v>0</v>
      </c>
      <c r="AY159" s="1">
        <v>0</v>
      </c>
      <c r="AZ159" s="1" t="s">
        <v>1118</v>
      </c>
      <c r="BA159" s="1" t="s">
        <v>79</v>
      </c>
      <c r="BB159" s="1" t="s">
        <v>1119</v>
      </c>
      <c r="BC159" s="1" t="s">
        <v>81</v>
      </c>
      <c r="BD159" s="1" t="s">
        <v>624</v>
      </c>
      <c r="BE159" s="1" t="s">
        <v>79</v>
      </c>
      <c r="BF159" s="5" t="s">
        <v>83</v>
      </c>
    </row>
    <row r="160" spans="1:58" x14ac:dyDescent="0.35">
      <c r="A160" s="4">
        <v>159</v>
      </c>
      <c r="B160" s="1" t="s">
        <v>1120</v>
      </c>
      <c r="C160" s="1" t="s">
        <v>63</v>
      </c>
      <c r="D160" s="1" t="s">
        <v>179</v>
      </c>
      <c r="E160" s="1" t="s">
        <v>69</v>
      </c>
      <c r="F160" s="1" t="s">
        <v>69</v>
      </c>
      <c r="G160" s="1" t="s">
        <v>69</v>
      </c>
      <c r="H160" s="1" t="s">
        <v>69</v>
      </c>
      <c r="I160" s="1" t="s">
        <v>106</v>
      </c>
      <c r="J160" s="1" t="s">
        <v>71</v>
      </c>
      <c r="K160" s="1">
        <v>48</v>
      </c>
      <c r="L160" s="1" t="s">
        <v>225</v>
      </c>
      <c r="M160" s="1" t="s">
        <v>73</v>
      </c>
      <c r="N160" s="1" t="s">
        <v>274</v>
      </c>
      <c r="O160" s="1">
        <v>3</v>
      </c>
      <c r="P160" s="1">
        <v>3</v>
      </c>
      <c r="Q160" s="1">
        <f>data[[#This Row],[Nilai Kepentingan Dimensi Persyaratan]]-data[[#This Row],[Nilai Kepuasan Dimensi Persyaratan]]</f>
        <v>0</v>
      </c>
      <c r="R160" s="1">
        <v>3</v>
      </c>
      <c r="S160" s="1">
        <v>4</v>
      </c>
      <c r="T160" s="1">
        <f>data[[#This Row],[Nilai Kepentingan Dimensi Prosedur]]-data[[#This Row],[Nilai Kepuasan Dimensi Prosedur]]</f>
        <v>1</v>
      </c>
      <c r="U160" s="1">
        <v>3</v>
      </c>
      <c r="V160" s="1">
        <v>3</v>
      </c>
      <c r="W160" s="1">
        <f>data[[#This Row],[Nilai Kepentingan Dimensi Waktu Pelayanan/Penyelesaian]]-data[[#This Row],[Nilai Kepuasan Dimensi Waktu Pelayanan/Penyelesaian]]</f>
        <v>0</v>
      </c>
      <c r="X160" s="1">
        <v>3</v>
      </c>
      <c r="Y160" s="1">
        <v>3</v>
      </c>
      <c r="Z160" s="1">
        <f>data[[#This Row],[Nilai Kepentingan Dimensi Tarif/ Biaya]]-data[[#This Row],[Nilai Kepuasan Dimensi Tarif / Biaya]]</f>
        <v>0</v>
      </c>
      <c r="AA160" s="1">
        <v>4</v>
      </c>
      <c r="AB160" s="1">
        <v>3</v>
      </c>
      <c r="AC160" s="1">
        <f>data[[#This Row],[Nilai Kepentingan Dimensi Produk Spesifikasi Jenis Layanan]]-data[[#This Row],[Nilai Kepuasan Dimensi Produk Spesifikasi Jenis Layanan]]</f>
        <v>-1</v>
      </c>
      <c r="AD160" s="1">
        <v>4</v>
      </c>
      <c r="AE160" s="1">
        <v>4</v>
      </c>
      <c r="AF160" s="1">
        <f>data[[#This Row],[Nilai Kepentingan Dimensi Kompetensi Pelaksana]]-data[[#This Row],[Nilai Kepuasan Dimensi Kompetensi Pelaksana]]</f>
        <v>0</v>
      </c>
      <c r="AG160" s="1">
        <v>4</v>
      </c>
      <c r="AH160" s="1">
        <v>4</v>
      </c>
      <c r="AI160" s="1">
        <f>data[[#This Row],[Nilai Kepentingan Dimensi Perilaku Pelaksana]]-data[[#This Row],[Nilai Kepuasan Dimensi Perilaku Pelaksana]]</f>
        <v>0</v>
      </c>
      <c r="AJ160" s="1">
        <v>3</v>
      </c>
      <c r="AK160" s="1">
        <v>4</v>
      </c>
      <c r="AL160" s="1">
        <f>data[[#This Row],[Nilai Kepentingan Dimensi Penanganan Pengaduan, Saran &amp; Masukan]]-data[[#This Row],[Nilai Kepuasan Dimensi Penanganan Pengaduan, Saran &amp; Masukan]]</f>
        <v>1</v>
      </c>
      <c r="AM160" s="1">
        <v>3</v>
      </c>
      <c r="AN160" s="1">
        <v>4</v>
      </c>
      <c r="AO160" s="1">
        <f>data[[#This Row],[Nilai Kepentingan Dimensi Kualitas Sarana dan Prasarana]]-data[[#This Row],[Nilai Kepuasan Dimensi Kualitas Sarana dan Prasarana]]</f>
        <v>1</v>
      </c>
      <c r="AP160" s="1">
        <v>0</v>
      </c>
      <c r="AQ160" s="1" t="s">
        <v>75</v>
      </c>
      <c r="AR160" s="1">
        <v>0</v>
      </c>
      <c r="AS160" s="1" t="s">
        <v>69</v>
      </c>
      <c r="AT160" s="1">
        <v>4</v>
      </c>
      <c r="AU160" s="1" t="s">
        <v>69</v>
      </c>
      <c r="AV160" s="1" t="s">
        <v>83</v>
      </c>
      <c r="AW160" s="1" t="s">
        <v>96</v>
      </c>
      <c r="AX160" s="1">
        <v>0</v>
      </c>
      <c r="AY160" s="1">
        <v>0</v>
      </c>
      <c r="AZ160" s="1" t="s">
        <v>985</v>
      </c>
      <c r="BA160" s="1" t="s">
        <v>79</v>
      </c>
      <c r="BB160" s="1" t="s">
        <v>985</v>
      </c>
      <c r="BC160" s="1" t="s">
        <v>79</v>
      </c>
      <c r="BD160" s="1" t="s">
        <v>1124</v>
      </c>
      <c r="BE160" s="1" t="s">
        <v>146</v>
      </c>
      <c r="BF160" s="5" t="s">
        <v>83</v>
      </c>
    </row>
    <row r="161" spans="1:58" x14ac:dyDescent="0.35">
      <c r="A161" s="4">
        <v>160</v>
      </c>
      <c r="B161" s="1" t="s">
        <v>1125</v>
      </c>
      <c r="C161" s="1" t="s">
        <v>63</v>
      </c>
      <c r="D161" s="1" t="s">
        <v>86</v>
      </c>
      <c r="E161" s="1" t="s">
        <v>69</v>
      </c>
      <c r="F161" s="1" t="s">
        <v>69</v>
      </c>
      <c r="G161" s="1" t="s">
        <v>69</v>
      </c>
      <c r="H161" s="1" t="s">
        <v>69</v>
      </c>
      <c r="I161" s="1" t="s">
        <v>70</v>
      </c>
      <c r="J161" s="1" t="s">
        <v>71</v>
      </c>
      <c r="K161" s="1">
        <v>31</v>
      </c>
      <c r="L161" s="1" t="s">
        <v>109</v>
      </c>
      <c r="M161" s="1" t="s">
        <v>73</v>
      </c>
      <c r="N161" s="1" t="s">
        <v>232</v>
      </c>
      <c r="O161" s="1">
        <v>3</v>
      </c>
      <c r="P161" s="1">
        <v>3</v>
      </c>
      <c r="Q161" s="1">
        <f>data[[#This Row],[Nilai Kepentingan Dimensi Persyaratan]]-data[[#This Row],[Nilai Kepuasan Dimensi Persyaratan]]</f>
        <v>0</v>
      </c>
      <c r="R161" s="1">
        <v>3</v>
      </c>
      <c r="S161" s="1">
        <v>4</v>
      </c>
      <c r="T161" s="1">
        <f>data[[#This Row],[Nilai Kepentingan Dimensi Prosedur]]-data[[#This Row],[Nilai Kepuasan Dimensi Prosedur]]</f>
        <v>1</v>
      </c>
      <c r="U161" s="1">
        <v>4</v>
      </c>
      <c r="V161" s="1">
        <v>4</v>
      </c>
      <c r="W161" s="1">
        <f>data[[#This Row],[Nilai Kepentingan Dimensi Waktu Pelayanan/Penyelesaian]]-data[[#This Row],[Nilai Kepuasan Dimensi Waktu Pelayanan/Penyelesaian]]</f>
        <v>0</v>
      </c>
      <c r="X161" s="1">
        <v>4</v>
      </c>
      <c r="Y161" s="1">
        <v>4</v>
      </c>
      <c r="Z161" s="1">
        <f>data[[#This Row],[Nilai Kepentingan Dimensi Tarif/ Biaya]]-data[[#This Row],[Nilai Kepuasan Dimensi Tarif / Biaya]]</f>
        <v>0</v>
      </c>
      <c r="AA161" s="1">
        <v>4</v>
      </c>
      <c r="AB161" s="1">
        <v>4</v>
      </c>
      <c r="AC161" s="1">
        <f>data[[#This Row],[Nilai Kepentingan Dimensi Produk Spesifikasi Jenis Layanan]]-data[[#This Row],[Nilai Kepuasan Dimensi Produk Spesifikasi Jenis Layanan]]</f>
        <v>0</v>
      </c>
      <c r="AD161" s="1">
        <v>4</v>
      </c>
      <c r="AE161" s="1">
        <v>4</v>
      </c>
      <c r="AF161" s="1">
        <f>data[[#This Row],[Nilai Kepentingan Dimensi Kompetensi Pelaksana]]-data[[#This Row],[Nilai Kepuasan Dimensi Kompetensi Pelaksana]]</f>
        <v>0</v>
      </c>
      <c r="AG161" s="1">
        <v>4</v>
      </c>
      <c r="AH161" s="1">
        <v>4</v>
      </c>
      <c r="AI161" s="1">
        <f>data[[#This Row],[Nilai Kepentingan Dimensi Perilaku Pelaksana]]-data[[#This Row],[Nilai Kepuasan Dimensi Perilaku Pelaksana]]</f>
        <v>0</v>
      </c>
      <c r="AJ161" s="1">
        <v>4</v>
      </c>
      <c r="AK161" s="1">
        <v>4</v>
      </c>
      <c r="AL161" s="1">
        <f>data[[#This Row],[Nilai Kepentingan Dimensi Penanganan Pengaduan, Saran &amp; Masukan]]-data[[#This Row],[Nilai Kepuasan Dimensi Penanganan Pengaduan, Saran &amp; Masukan]]</f>
        <v>0</v>
      </c>
      <c r="AM161" s="1">
        <v>4</v>
      </c>
      <c r="AN161" s="1">
        <v>4</v>
      </c>
      <c r="AO161" s="1">
        <f>data[[#This Row],[Nilai Kepentingan Dimensi Kualitas Sarana dan Prasarana]]-data[[#This Row],[Nilai Kepuasan Dimensi Kualitas Sarana dan Prasarana]]</f>
        <v>0</v>
      </c>
      <c r="AP161" s="1">
        <v>0</v>
      </c>
      <c r="AQ161" s="1" t="s">
        <v>69</v>
      </c>
      <c r="AR161" s="1">
        <v>0</v>
      </c>
      <c r="AS161" s="1" t="s">
        <v>69</v>
      </c>
      <c r="AT161" s="1">
        <v>0</v>
      </c>
      <c r="AU161" s="1" t="s">
        <v>69</v>
      </c>
      <c r="AV161" s="1" t="s">
        <v>144</v>
      </c>
      <c r="AW161" s="1" t="s">
        <v>144</v>
      </c>
      <c r="AX161" s="1">
        <v>2</v>
      </c>
      <c r="AY161" s="1">
        <v>3</v>
      </c>
      <c r="AZ161" s="1" t="s">
        <v>624</v>
      </c>
      <c r="BA161" s="1" t="s">
        <v>79</v>
      </c>
      <c r="BB161" s="1" t="s">
        <v>624</v>
      </c>
      <c r="BC161" s="1" t="s">
        <v>79</v>
      </c>
      <c r="BD161" s="1" t="s">
        <v>624</v>
      </c>
      <c r="BE161" s="1" t="s">
        <v>79</v>
      </c>
      <c r="BF161" s="5" t="s">
        <v>83</v>
      </c>
    </row>
    <row r="162" spans="1:58" x14ac:dyDescent="0.35">
      <c r="A162" s="4">
        <v>161</v>
      </c>
      <c r="B162" s="1" t="s">
        <v>1130</v>
      </c>
      <c r="C162" s="1" t="s">
        <v>63</v>
      </c>
      <c r="D162" s="1" t="s">
        <v>63</v>
      </c>
      <c r="E162" s="1" t="s">
        <v>69</v>
      </c>
      <c r="F162" s="1" t="s">
        <v>69</v>
      </c>
      <c r="G162" s="1" t="s">
        <v>69</v>
      </c>
      <c r="H162" s="1" t="s">
        <v>69</v>
      </c>
      <c r="I162" s="1" t="s">
        <v>106</v>
      </c>
      <c r="J162" s="1" t="s">
        <v>107</v>
      </c>
      <c r="K162" s="1">
        <v>60</v>
      </c>
      <c r="L162" s="1" t="s">
        <v>182</v>
      </c>
      <c r="M162" s="1" t="s">
        <v>93</v>
      </c>
      <c r="N162" s="1" t="s">
        <v>74</v>
      </c>
      <c r="O162" s="1">
        <v>4</v>
      </c>
      <c r="P162" s="1">
        <v>4</v>
      </c>
      <c r="Q162" s="1">
        <f>data[[#This Row],[Nilai Kepentingan Dimensi Persyaratan]]-data[[#This Row],[Nilai Kepuasan Dimensi Persyaratan]]</f>
        <v>0</v>
      </c>
      <c r="R162" s="1">
        <v>4</v>
      </c>
      <c r="S162" s="1">
        <v>4</v>
      </c>
      <c r="T162" s="1">
        <f>data[[#This Row],[Nilai Kepentingan Dimensi Prosedur]]-data[[#This Row],[Nilai Kepuasan Dimensi Prosedur]]</f>
        <v>0</v>
      </c>
      <c r="U162" s="1">
        <v>4</v>
      </c>
      <c r="V162" s="1">
        <v>4</v>
      </c>
      <c r="W162" s="1">
        <f>data[[#This Row],[Nilai Kepentingan Dimensi Waktu Pelayanan/Penyelesaian]]-data[[#This Row],[Nilai Kepuasan Dimensi Waktu Pelayanan/Penyelesaian]]</f>
        <v>0</v>
      </c>
      <c r="X162" s="1">
        <v>0</v>
      </c>
      <c r="Y162" s="1">
        <v>0</v>
      </c>
      <c r="Z162" s="1">
        <f>data[[#This Row],[Nilai Kepentingan Dimensi Tarif/ Biaya]]-data[[#This Row],[Nilai Kepuasan Dimensi Tarif / Biaya]]</f>
        <v>0</v>
      </c>
      <c r="AA162" s="1">
        <v>4</v>
      </c>
      <c r="AB162" s="1">
        <v>4</v>
      </c>
      <c r="AC162" s="1">
        <f>data[[#This Row],[Nilai Kepentingan Dimensi Produk Spesifikasi Jenis Layanan]]-data[[#This Row],[Nilai Kepuasan Dimensi Produk Spesifikasi Jenis Layanan]]</f>
        <v>0</v>
      </c>
      <c r="AD162" s="1">
        <v>4</v>
      </c>
      <c r="AE162" s="1">
        <v>4</v>
      </c>
      <c r="AF162" s="1">
        <f>data[[#This Row],[Nilai Kepentingan Dimensi Kompetensi Pelaksana]]-data[[#This Row],[Nilai Kepuasan Dimensi Kompetensi Pelaksana]]</f>
        <v>0</v>
      </c>
      <c r="AG162" s="1">
        <v>4</v>
      </c>
      <c r="AH162" s="1">
        <v>4</v>
      </c>
      <c r="AI162" s="1">
        <f>data[[#This Row],[Nilai Kepentingan Dimensi Perilaku Pelaksana]]-data[[#This Row],[Nilai Kepuasan Dimensi Perilaku Pelaksana]]</f>
        <v>0</v>
      </c>
      <c r="AJ162" s="1">
        <v>4</v>
      </c>
      <c r="AK162" s="1">
        <v>4</v>
      </c>
      <c r="AL162" s="1">
        <f>data[[#This Row],[Nilai Kepentingan Dimensi Penanganan Pengaduan, Saran &amp; Masukan]]-data[[#This Row],[Nilai Kepuasan Dimensi Penanganan Pengaduan, Saran &amp; Masukan]]</f>
        <v>0</v>
      </c>
      <c r="AM162" s="1">
        <v>4</v>
      </c>
      <c r="AN162" s="1">
        <v>4</v>
      </c>
      <c r="AO162" s="1">
        <f>data[[#This Row],[Nilai Kepentingan Dimensi Kualitas Sarana dan Prasarana]]-data[[#This Row],[Nilai Kepuasan Dimensi Kualitas Sarana dan Prasarana]]</f>
        <v>0</v>
      </c>
      <c r="AP162" s="1">
        <v>0</v>
      </c>
      <c r="AQ162" s="1" t="s">
        <v>69</v>
      </c>
      <c r="AR162" s="1">
        <v>0</v>
      </c>
      <c r="AS162" s="1" t="s">
        <v>69</v>
      </c>
      <c r="AT162" s="1">
        <v>0</v>
      </c>
      <c r="AU162" s="1" t="s">
        <v>69</v>
      </c>
      <c r="AV162" s="1" t="s">
        <v>1134</v>
      </c>
      <c r="AW162" s="1" t="s">
        <v>77</v>
      </c>
      <c r="AX162" s="1">
        <v>1</v>
      </c>
      <c r="AY162" s="1">
        <v>4</v>
      </c>
      <c r="AZ162" s="1" t="s">
        <v>985</v>
      </c>
      <c r="BA162" s="1" t="s">
        <v>79</v>
      </c>
      <c r="BB162" s="1" t="s">
        <v>985</v>
      </c>
      <c r="BC162" s="1" t="s">
        <v>79</v>
      </c>
      <c r="BD162" s="1" t="s">
        <v>1135</v>
      </c>
      <c r="BE162" s="1" t="s">
        <v>190</v>
      </c>
      <c r="BF162" s="5" t="s">
        <v>83</v>
      </c>
    </row>
    <row r="163" spans="1:58" x14ac:dyDescent="0.35">
      <c r="A163" s="4">
        <v>162</v>
      </c>
      <c r="B163" s="1" t="s">
        <v>1136</v>
      </c>
      <c r="C163" s="1" t="s">
        <v>63</v>
      </c>
      <c r="D163" s="1" t="s">
        <v>63</v>
      </c>
      <c r="E163" s="1" t="s">
        <v>69</v>
      </c>
      <c r="F163" s="1" t="s">
        <v>69</v>
      </c>
      <c r="G163" s="1" t="s">
        <v>69</v>
      </c>
      <c r="H163" s="1" t="s">
        <v>69</v>
      </c>
      <c r="I163" s="1" t="s">
        <v>106</v>
      </c>
      <c r="J163" s="1" t="s">
        <v>107</v>
      </c>
      <c r="K163" s="1">
        <v>45</v>
      </c>
      <c r="L163" s="1" t="s">
        <v>197</v>
      </c>
      <c r="M163" s="1" t="s">
        <v>73</v>
      </c>
      <c r="N163" s="1" t="s">
        <v>74</v>
      </c>
      <c r="O163" s="1">
        <v>4</v>
      </c>
      <c r="P163" s="1">
        <v>4</v>
      </c>
      <c r="Q163" s="1">
        <f>data[[#This Row],[Nilai Kepentingan Dimensi Persyaratan]]-data[[#This Row],[Nilai Kepuasan Dimensi Persyaratan]]</f>
        <v>0</v>
      </c>
      <c r="R163" s="1">
        <v>4</v>
      </c>
      <c r="S163" s="1">
        <v>4</v>
      </c>
      <c r="T163" s="1">
        <f>data[[#This Row],[Nilai Kepentingan Dimensi Prosedur]]-data[[#This Row],[Nilai Kepuasan Dimensi Prosedur]]</f>
        <v>0</v>
      </c>
      <c r="U163" s="1">
        <v>4</v>
      </c>
      <c r="V163" s="1">
        <v>4</v>
      </c>
      <c r="W163" s="1">
        <f>data[[#This Row],[Nilai Kepentingan Dimensi Waktu Pelayanan/Penyelesaian]]-data[[#This Row],[Nilai Kepuasan Dimensi Waktu Pelayanan/Penyelesaian]]</f>
        <v>0</v>
      </c>
      <c r="X163" s="1">
        <v>0</v>
      </c>
      <c r="Y163" s="1">
        <v>0</v>
      </c>
      <c r="Z163" s="1">
        <f>data[[#This Row],[Nilai Kepentingan Dimensi Tarif/ Biaya]]-data[[#This Row],[Nilai Kepuasan Dimensi Tarif / Biaya]]</f>
        <v>0</v>
      </c>
      <c r="AA163" s="1">
        <v>4</v>
      </c>
      <c r="AB163" s="1">
        <v>4</v>
      </c>
      <c r="AC163" s="1">
        <f>data[[#This Row],[Nilai Kepentingan Dimensi Produk Spesifikasi Jenis Layanan]]-data[[#This Row],[Nilai Kepuasan Dimensi Produk Spesifikasi Jenis Layanan]]</f>
        <v>0</v>
      </c>
      <c r="AD163" s="1">
        <v>4</v>
      </c>
      <c r="AE163" s="1">
        <v>4</v>
      </c>
      <c r="AF163" s="1">
        <f>data[[#This Row],[Nilai Kepentingan Dimensi Kompetensi Pelaksana]]-data[[#This Row],[Nilai Kepuasan Dimensi Kompetensi Pelaksana]]</f>
        <v>0</v>
      </c>
      <c r="AG163" s="1">
        <v>4</v>
      </c>
      <c r="AH163" s="1">
        <v>4</v>
      </c>
      <c r="AI163" s="1">
        <f>data[[#This Row],[Nilai Kepentingan Dimensi Perilaku Pelaksana]]-data[[#This Row],[Nilai Kepuasan Dimensi Perilaku Pelaksana]]</f>
        <v>0</v>
      </c>
      <c r="AJ163" s="1">
        <v>4</v>
      </c>
      <c r="AK163" s="1">
        <v>4</v>
      </c>
      <c r="AL163" s="1">
        <f>data[[#This Row],[Nilai Kepentingan Dimensi Penanganan Pengaduan, Saran &amp; Masukan]]-data[[#This Row],[Nilai Kepuasan Dimensi Penanganan Pengaduan, Saran &amp; Masukan]]</f>
        <v>0</v>
      </c>
      <c r="AM163" s="1">
        <v>4</v>
      </c>
      <c r="AN163" s="1">
        <v>4</v>
      </c>
      <c r="AO163" s="1">
        <f>data[[#This Row],[Nilai Kepentingan Dimensi Kualitas Sarana dan Prasarana]]-data[[#This Row],[Nilai Kepuasan Dimensi Kualitas Sarana dan Prasarana]]</f>
        <v>0</v>
      </c>
      <c r="AP163" s="1">
        <v>0</v>
      </c>
      <c r="AQ163" s="1" t="s">
        <v>69</v>
      </c>
      <c r="AR163" s="1">
        <v>4</v>
      </c>
      <c r="AS163" s="1" t="s">
        <v>75</v>
      </c>
      <c r="AT163" s="1">
        <v>0</v>
      </c>
      <c r="AU163" s="1" t="s">
        <v>69</v>
      </c>
      <c r="AV163" s="1" t="s">
        <v>83</v>
      </c>
      <c r="AW163" s="1" t="s">
        <v>96</v>
      </c>
      <c r="AX163" s="1">
        <v>0</v>
      </c>
      <c r="AY163" s="1">
        <v>0</v>
      </c>
      <c r="AZ163" s="1" t="s">
        <v>992</v>
      </c>
      <c r="BA163" s="1" t="s">
        <v>112</v>
      </c>
      <c r="BB163" s="1" t="s">
        <v>985</v>
      </c>
      <c r="BC163" s="1" t="s">
        <v>79</v>
      </c>
      <c r="BD163" s="1" t="s">
        <v>985</v>
      </c>
      <c r="BE163" s="1" t="s">
        <v>79</v>
      </c>
      <c r="BF163" s="5" t="s">
        <v>83</v>
      </c>
    </row>
    <row r="164" spans="1:58" x14ac:dyDescent="0.35">
      <c r="A164" s="4">
        <v>163</v>
      </c>
      <c r="B164" s="1" t="s">
        <v>1140</v>
      </c>
      <c r="C164" s="1" t="s">
        <v>63</v>
      </c>
      <c r="D164" s="1" t="s">
        <v>397</v>
      </c>
      <c r="E164" s="1" t="s">
        <v>69</v>
      </c>
      <c r="F164" s="1" t="s">
        <v>69</v>
      </c>
      <c r="G164" s="1" t="s">
        <v>69</v>
      </c>
      <c r="H164" s="1" t="s">
        <v>69</v>
      </c>
      <c r="I164" s="1" t="s">
        <v>70</v>
      </c>
      <c r="J164" s="1" t="s">
        <v>71</v>
      </c>
      <c r="K164" s="1">
        <v>29</v>
      </c>
      <c r="L164" s="1" t="s">
        <v>92</v>
      </c>
      <c r="M164" s="1" t="s">
        <v>73</v>
      </c>
      <c r="N164" s="1" t="s">
        <v>232</v>
      </c>
      <c r="O164" s="1">
        <v>3</v>
      </c>
      <c r="P164" s="1">
        <v>4</v>
      </c>
      <c r="Q164" s="1">
        <f>data[[#This Row],[Nilai Kepentingan Dimensi Persyaratan]]-data[[#This Row],[Nilai Kepuasan Dimensi Persyaratan]]</f>
        <v>1</v>
      </c>
      <c r="R164" s="1">
        <v>4</v>
      </c>
      <c r="S164" s="1">
        <v>4</v>
      </c>
      <c r="T164" s="1">
        <f>data[[#This Row],[Nilai Kepentingan Dimensi Prosedur]]-data[[#This Row],[Nilai Kepuasan Dimensi Prosedur]]</f>
        <v>0</v>
      </c>
      <c r="U164" s="1">
        <v>4</v>
      </c>
      <c r="V164" s="1">
        <v>4</v>
      </c>
      <c r="W164" s="1">
        <f>data[[#This Row],[Nilai Kepentingan Dimensi Waktu Pelayanan/Penyelesaian]]-data[[#This Row],[Nilai Kepuasan Dimensi Waktu Pelayanan/Penyelesaian]]</f>
        <v>0</v>
      </c>
      <c r="X164" s="1">
        <v>4</v>
      </c>
      <c r="Y164" s="1">
        <v>4</v>
      </c>
      <c r="Z164" s="1">
        <f>data[[#This Row],[Nilai Kepentingan Dimensi Tarif/ Biaya]]-data[[#This Row],[Nilai Kepuasan Dimensi Tarif / Biaya]]</f>
        <v>0</v>
      </c>
      <c r="AA164" s="1">
        <v>4</v>
      </c>
      <c r="AB164" s="1">
        <v>4</v>
      </c>
      <c r="AC164" s="1">
        <f>data[[#This Row],[Nilai Kepentingan Dimensi Produk Spesifikasi Jenis Layanan]]-data[[#This Row],[Nilai Kepuasan Dimensi Produk Spesifikasi Jenis Layanan]]</f>
        <v>0</v>
      </c>
      <c r="AD164" s="1">
        <v>4</v>
      </c>
      <c r="AE164" s="1">
        <v>4</v>
      </c>
      <c r="AF164" s="1">
        <f>data[[#This Row],[Nilai Kepentingan Dimensi Kompetensi Pelaksana]]-data[[#This Row],[Nilai Kepuasan Dimensi Kompetensi Pelaksana]]</f>
        <v>0</v>
      </c>
      <c r="AG164" s="1">
        <v>4</v>
      </c>
      <c r="AH164" s="1">
        <v>4</v>
      </c>
      <c r="AI164" s="1">
        <f>data[[#This Row],[Nilai Kepentingan Dimensi Perilaku Pelaksana]]-data[[#This Row],[Nilai Kepuasan Dimensi Perilaku Pelaksana]]</f>
        <v>0</v>
      </c>
      <c r="AJ164" s="1">
        <v>3</v>
      </c>
      <c r="AK164" s="1">
        <v>4</v>
      </c>
      <c r="AL164" s="1">
        <f>data[[#This Row],[Nilai Kepentingan Dimensi Penanganan Pengaduan, Saran &amp; Masukan]]-data[[#This Row],[Nilai Kepuasan Dimensi Penanganan Pengaduan, Saran &amp; Masukan]]</f>
        <v>1</v>
      </c>
      <c r="AM164" s="1">
        <v>3</v>
      </c>
      <c r="AN164" s="1">
        <v>3</v>
      </c>
      <c r="AO164" s="1">
        <f>data[[#This Row],[Nilai Kepentingan Dimensi Kualitas Sarana dan Prasarana]]-data[[#This Row],[Nilai Kepuasan Dimensi Kualitas Sarana dan Prasarana]]</f>
        <v>0</v>
      </c>
      <c r="AP164" s="1">
        <v>0</v>
      </c>
      <c r="AQ164" s="1" t="s">
        <v>69</v>
      </c>
      <c r="AR164" s="1">
        <v>0</v>
      </c>
      <c r="AS164" s="1" t="s">
        <v>69</v>
      </c>
      <c r="AT164" s="1">
        <v>3</v>
      </c>
      <c r="AU164" s="1" t="s">
        <v>75</v>
      </c>
      <c r="AV164" s="1" t="s">
        <v>83</v>
      </c>
      <c r="AW164" s="1" t="s">
        <v>96</v>
      </c>
      <c r="AX164" s="1">
        <v>0</v>
      </c>
      <c r="AY164" s="1">
        <v>0</v>
      </c>
      <c r="AZ164" s="1" t="s">
        <v>624</v>
      </c>
      <c r="BA164" s="1" t="s">
        <v>79</v>
      </c>
      <c r="BB164" s="1" t="s">
        <v>624</v>
      </c>
      <c r="BC164" s="1" t="s">
        <v>79</v>
      </c>
      <c r="BD164" s="1" t="s">
        <v>1144</v>
      </c>
      <c r="BE164" s="1" t="s">
        <v>79</v>
      </c>
      <c r="BF164" s="5" t="s">
        <v>83</v>
      </c>
    </row>
    <row r="165" spans="1:58" x14ac:dyDescent="0.35">
      <c r="A165" s="4">
        <v>164</v>
      </c>
      <c r="B165" s="1" t="s">
        <v>1145</v>
      </c>
      <c r="C165" s="1" t="s">
        <v>63</v>
      </c>
      <c r="D165" s="1" t="s">
        <v>179</v>
      </c>
      <c r="E165" s="1" t="s">
        <v>69</v>
      </c>
      <c r="F165" s="1" t="s">
        <v>69</v>
      </c>
      <c r="G165" s="1" t="s">
        <v>69</v>
      </c>
      <c r="H165" s="1" t="s">
        <v>69</v>
      </c>
      <c r="I165" s="1" t="s">
        <v>106</v>
      </c>
      <c r="J165" s="1" t="s">
        <v>107</v>
      </c>
      <c r="K165" s="1">
        <v>39</v>
      </c>
      <c r="L165" s="1" t="s">
        <v>153</v>
      </c>
      <c r="M165" s="1" t="s">
        <v>73</v>
      </c>
      <c r="N165" s="1" t="s">
        <v>74</v>
      </c>
      <c r="O165" s="1">
        <v>3</v>
      </c>
      <c r="P165" s="1">
        <v>3</v>
      </c>
      <c r="Q165" s="1">
        <f>data[[#This Row],[Nilai Kepentingan Dimensi Persyaratan]]-data[[#This Row],[Nilai Kepuasan Dimensi Persyaratan]]</f>
        <v>0</v>
      </c>
      <c r="R165" s="1">
        <v>3</v>
      </c>
      <c r="S165" s="1">
        <v>3</v>
      </c>
      <c r="T165" s="1">
        <f>data[[#This Row],[Nilai Kepentingan Dimensi Prosedur]]-data[[#This Row],[Nilai Kepuasan Dimensi Prosedur]]</f>
        <v>0</v>
      </c>
      <c r="U165" s="1">
        <v>3</v>
      </c>
      <c r="V165" s="1">
        <v>3</v>
      </c>
      <c r="W165" s="1">
        <f>data[[#This Row],[Nilai Kepentingan Dimensi Waktu Pelayanan/Penyelesaian]]-data[[#This Row],[Nilai Kepuasan Dimensi Waktu Pelayanan/Penyelesaian]]</f>
        <v>0</v>
      </c>
      <c r="X165" s="1">
        <v>0</v>
      </c>
      <c r="Y165" s="1">
        <v>0</v>
      </c>
      <c r="Z165" s="1">
        <f>data[[#This Row],[Nilai Kepentingan Dimensi Tarif/ Biaya]]-data[[#This Row],[Nilai Kepuasan Dimensi Tarif / Biaya]]</f>
        <v>0</v>
      </c>
      <c r="AA165" s="1">
        <v>3</v>
      </c>
      <c r="AB165" s="1">
        <v>4</v>
      </c>
      <c r="AC165" s="1">
        <f>data[[#This Row],[Nilai Kepentingan Dimensi Produk Spesifikasi Jenis Layanan]]-data[[#This Row],[Nilai Kepuasan Dimensi Produk Spesifikasi Jenis Layanan]]</f>
        <v>1</v>
      </c>
      <c r="AD165" s="1">
        <v>3</v>
      </c>
      <c r="AE165" s="1">
        <v>4</v>
      </c>
      <c r="AF165" s="1">
        <f>data[[#This Row],[Nilai Kepentingan Dimensi Kompetensi Pelaksana]]-data[[#This Row],[Nilai Kepuasan Dimensi Kompetensi Pelaksana]]</f>
        <v>1</v>
      </c>
      <c r="AG165" s="1">
        <v>3</v>
      </c>
      <c r="AH165" s="1">
        <v>4</v>
      </c>
      <c r="AI165" s="1">
        <f>data[[#This Row],[Nilai Kepentingan Dimensi Perilaku Pelaksana]]-data[[#This Row],[Nilai Kepuasan Dimensi Perilaku Pelaksana]]</f>
        <v>1</v>
      </c>
      <c r="AJ165" s="1">
        <v>3</v>
      </c>
      <c r="AK165" s="1">
        <v>4</v>
      </c>
      <c r="AL165" s="1">
        <f>data[[#This Row],[Nilai Kepentingan Dimensi Penanganan Pengaduan, Saran &amp; Masukan]]-data[[#This Row],[Nilai Kepuasan Dimensi Penanganan Pengaduan, Saran &amp; Masukan]]</f>
        <v>1</v>
      </c>
      <c r="AM165" s="1">
        <v>3</v>
      </c>
      <c r="AN165" s="1">
        <v>4</v>
      </c>
      <c r="AO165" s="1">
        <f>data[[#This Row],[Nilai Kepentingan Dimensi Kualitas Sarana dan Prasarana]]-data[[#This Row],[Nilai Kepuasan Dimensi Kualitas Sarana dan Prasarana]]</f>
        <v>1</v>
      </c>
      <c r="AP165" s="1">
        <v>4</v>
      </c>
      <c r="AQ165" s="1" t="s">
        <v>75</v>
      </c>
      <c r="AR165" s="1">
        <v>0</v>
      </c>
      <c r="AS165" s="1" t="s">
        <v>69</v>
      </c>
      <c r="AT165" s="1">
        <v>0</v>
      </c>
      <c r="AU165" s="1" t="s">
        <v>69</v>
      </c>
      <c r="AV165" s="1" t="s">
        <v>83</v>
      </c>
      <c r="AW165" s="1" t="s">
        <v>96</v>
      </c>
      <c r="AX165" s="1">
        <v>0</v>
      </c>
      <c r="AY165" s="1">
        <v>0</v>
      </c>
      <c r="AZ165" s="1" t="s">
        <v>1148</v>
      </c>
      <c r="BA165" s="1" t="s">
        <v>235</v>
      </c>
      <c r="BB165" s="1" t="s">
        <v>985</v>
      </c>
      <c r="BC165" s="1" t="s">
        <v>79</v>
      </c>
      <c r="BD165" s="1" t="s">
        <v>1149</v>
      </c>
      <c r="BE165" s="1" t="s">
        <v>237</v>
      </c>
      <c r="BF165" s="5" t="s">
        <v>83</v>
      </c>
    </row>
    <row r="166" spans="1:58" x14ac:dyDescent="0.35">
      <c r="A166" s="4">
        <v>165</v>
      </c>
      <c r="B166" s="1" t="s">
        <v>1150</v>
      </c>
      <c r="C166" s="1" t="s">
        <v>63</v>
      </c>
      <c r="D166" s="1" t="s">
        <v>125</v>
      </c>
      <c r="E166" s="1" t="s">
        <v>69</v>
      </c>
      <c r="F166" s="1" t="s">
        <v>69</v>
      </c>
      <c r="G166" s="1" t="s">
        <v>69</v>
      </c>
      <c r="H166" s="1" t="s">
        <v>69</v>
      </c>
      <c r="I166" s="1" t="s">
        <v>106</v>
      </c>
      <c r="J166" s="1" t="s">
        <v>107</v>
      </c>
      <c r="K166" s="1">
        <v>39</v>
      </c>
      <c r="L166" s="1" t="s">
        <v>153</v>
      </c>
      <c r="M166" s="1" t="s">
        <v>93</v>
      </c>
      <c r="N166" s="1" t="s">
        <v>74</v>
      </c>
      <c r="O166" s="1">
        <v>4</v>
      </c>
      <c r="P166" s="1">
        <v>4</v>
      </c>
      <c r="Q166" s="1">
        <f>data[[#This Row],[Nilai Kepentingan Dimensi Persyaratan]]-data[[#This Row],[Nilai Kepuasan Dimensi Persyaratan]]</f>
        <v>0</v>
      </c>
      <c r="R166" s="1">
        <v>4</v>
      </c>
      <c r="S166" s="1">
        <v>4</v>
      </c>
      <c r="T166" s="1">
        <f>data[[#This Row],[Nilai Kepentingan Dimensi Prosedur]]-data[[#This Row],[Nilai Kepuasan Dimensi Prosedur]]</f>
        <v>0</v>
      </c>
      <c r="U166" s="1">
        <v>4</v>
      </c>
      <c r="V166" s="1">
        <v>4</v>
      </c>
      <c r="W166" s="1">
        <f>data[[#This Row],[Nilai Kepentingan Dimensi Waktu Pelayanan/Penyelesaian]]-data[[#This Row],[Nilai Kepuasan Dimensi Waktu Pelayanan/Penyelesaian]]</f>
        <v>0</v>
      </c>
      <c r="X166" s="1">
        <v>0</v>
      </c>
      <c r="Y166" s="1">
        <v>0</v>
      </c>
      <c r="Z166" s="1">
        <f>data[[#This Row],[Nilai Kepentingan Dimensi Tarif/ Biaya]]-data[[#This Row],[Nilai Kepuasan Dimensi Tarif / Biaya]]</f>
        <v>0</v>
      </c>
      <c r="AA166" s="1">
        <v>4</v>
      </c>
      <c r="AB166" s="1">
        <v>4</v>
      </c>
      <c r="AC166" s="1">
        <f>data[[#This Row],[Nilai Kepentingan Dimensi Produk Spesifikasi Jenis Layanan]]-data[[#This Row],[Nilai Kepuasan Dimensi Produk Spesifikasi Jenis Layanan]]</f>
        <v>0</v>
      </c>
      <c r="AD166" s="1">
        <v>4</v>
      </c>
      <c r="AE166" s="1">
        <v>4</v>
      </c>
      <c r="AF166" s="1">
        <f>data[[#This Row],[Nilai Kepentingan Dimensi Kompetensi Pelaksana]]-data[[#This Row],[Nilai Kepuasan Dimensi Kompetensi Pelaksana]]</f>
        <v>0</v>
      </c>
      <c r="AG166" s="1">
        <v>4</v>
      </c>
      <c r="AH166" s="1">
        <v>4</v>
      </c>
      <c r="AI166" s="1">
        <f>data[[#This Row],[Nilai Kepentingan Dimensi Perilaku Pelaksana]]-data[[#This Row],[Nilai Kepuasan Dimensi Perilaku Pelaksana]]</f>
        <v>0</v>
      </c>
      <c r="AJ166" s="1">
        <v>4</v>
      </c>
      <c r="AK166" s="1">
        <v>4</v>
      </c>
      <c r="AL166" s="1">
        <f>data[[#This Row],[Nilai Kepentingan Dimensi Penanganan Pengaduan, Saran &amp; Masukan]]-data[[#This Row],[Nilai Kepuasan Dimensi Penanganan Pengaduan, Saran &amp; Masukan]]</f>
        <v>0</v>
      </c>
      <c r="AM166" s="1">
        <v>4</v>
      </c>
      <c r="AN166" s="1">
        <v>4</v>
      </c>
      <c r="AO166" s="1">
        <f>data[[#This Row],[Nilai Kepentingan Dimensi Kualitas Sarana dan Prasarana]]-data[[#This Row],[Nilai Kepuasan Dimensi Kualitas Sarana dan Prasarana]]</f>
        <v>0</v>
      </c>
      <c r="AP166" s="1">
        <v>0</v>
      </c>
      <c r="AQ166" s="1" t="s">
        <v>69</v>
      </c>
      <c r="AR166" s="1">
        <v>0</v>
      </c>
      <c r="AS166" s="1" t="s">
        <v>69</v>
      </c>
      <c r="AT166" s="1">
        <v>0</v>
      </c>
      <c r="AU166" s="1" t="s">
        <v>69</v>
      </c>
      <c r="AV166" s="1" t="s">
        <v>233</v>
      </c>
      <c r="AW166" s="1" t="s">
        <v>144</v>
      </c>
      <c r="AX166" s="1">
        <v>2</v>
      </c>
      <c r="AY166" s="1">
        <v>3</v>
      </c>
      <c r="AZ166" s="1" t="s">
        <v>1154</v>
      </c>
      <c r="BA166" s="1" t="s">
        <v>79</v>
      </c>
      <c r="BB166" s="1" t="s">
        <v>1155</v>
      </c>
      <c r="BC166" s="1" t="s">
        <v>81</v>
      </c>
      <c r="BD166" s="1" t="s">
        <v>555</v>
      </c>
      <c r="BE166" s="1" t="s">
        <v>79</v>
      </c>
      <c r="BF166" s="5" t="s">
        <v>83</v>
      </c>
    </row>
    <row r="167" spans="1:58" x14ac:dyDescent="0.35">
      <c r="A167" s="4">
        <v>166</v>
      </c>
      <c r="B167" s="1" t="s">
        <v>1156</v>
      </c>
      <c r="C167" s="1" t="s">
        <v>63</v>
      </c>
      <c r="D167" s="1" t="s">
        <v>179</v>
      </c>
      <c r="E167" s="1" t="s">
        <v>69</v>
      </c>
      <c r="F167" s="1" t="s">
        <v>69</v>
      </c>
      <c r="G167" s="1" t="s">
        <v>69</v>
      </c>
      <c r="H167" s="1" t="s">
        <v>69</v>
      </c>
      <c r="I167" s="1" t="s">
        <v>106</v>
      </c>
      <c r="J167" s="1" t="s">
        <v>107</v>
      </c>
      <c r="K167" s="1">
        <v>56</v>
      </c>
      <c r="L167" s="1" t="s">
        <v>182</v>
      </c>
      <c r="M167" s="1" t="s">
        <v>73</v>
      </c>
      <c r="N167" s="1" t="s">
        <v>110</v>
      </c>
      <c r="O167" s="1">
        <v>4</v>
      </c>
      <c r="P167" s="1">
        <v>4</v>
      </c>
      <c r="Q167" s="1">
        <f>data[[#This Row],[Nilai Kepentingan Dimensi Persyaratan]]-data[[#This Row],[Nilai Kepuasan Dimensi Persyaratan]]</f>
        <v>0</v>
      </c>
      <c r="R167" s="1">
        <v>4</v>
      </c>
      <c r="S167" s="1">
        <v>4</v>
      </c>
      <c r="T167" s="1">
        <f>data[[#This Row],[Nilai Kepentingan Dimensi Prosedur]]-data[[#This Row],[Nilai Kepuasan Dimensi Prosedur]]</f>
        <v>0</v>
      </c>
      <c r="U167" s="1">
        <v>4</v>
      </c>
      <c r="V167" s="1">
        <v>3</v>
      </c>
      <c r="W167" s="1">
        <f>data[[#This Row],[Nilai Kepentingan Dimensi Waktu Pelayanan/Penyelesaian]]-data[[#This Row],[Nilai Kepuasan Dimensi Waktu Pelayanan/Penyelesaian]]</f>
        <v>-1</v>
      </c>
      <c r="X167" s="1">
        <v>0</v>
      </c>
      <c r="Y167" s="1">
        <v>0</v>
      </c>
      <c r="Z167" s="1">
        <f>data[[#This Row],[Nilai Kepentingan Dimensi Tarif/ Biaya]]-data[[#This Row],[Nilai Kepuasan Dimensi Tarif / Biaya]]</f>
        <v>0</v>
      </c>
      <c r="AA167" s="1">
        <v>4</v>
      </c>
      <c r="AB167" s="1">
        <v>4</v>
      </c>
      <c r="AC167" s="1">
        <f>data[[#This Row],[Nilai Kepentingan Dimensi Produk Spesifikasi Jenis Layanan]]-data[[#This Row],[Nilai Kepuasan Dimensi Produk Spesifikasi Jenis Layanan]]</f>
        <v>0</v>
      </c>
      <c r="AD167" s="1">
        <v>4</v>
      </c>
      <c r="AE167" s="1">
        <v>4</v>
      </c>
      <c r="AF167" s="1">
        <f>data[[#This Row],[Nilai Kepentingan Dimensi Kompetensi Pelaksana]]-data[[#This Row],[Nilai Kepuasan Dimensi Kompetensi Pelaksana]]</f>
        <v>0</v>
      </c>
      <c r="AG167" s="1">
        <v>4</v>
      </c>
      <c r="AH167" s="1">
        <v>4</v>
      </c>
      <c r="AI167" s="1">
        <f>data[[#This Row],[Nilai Kepentingan Dimensi Perilaku Pelaksana]]-data[[#This Row],[Nilai Kepuasan Dimensi Perilaku Pelaksana]]</f>
        <v>0</v>
      </c>
      <c r="AJ167" s="1">
        <v>4</v>
      </c>
      <c r="AK167" s="1">
        <v>4</v>
      </c>
      <c r="AL167" s="1">
        <f>data[[#This Row],[Nilai Kepentingan Dimensi Penanganan Pengaduan, Saran &amp; Masukan]]-data[[#This Row],[Nilai Kepuasan Dimensi Penanganan Pengaduan, Saran &amp; Masukan]]</f>
        <v>0</v>
      </c>
      <c r="AM167" s="1">
        <v>4</v>
      </c>
      <c r="AN167" s="1">
        <v>4</v>
      </c>
      <c r="AO167" s="1">
        <f>data[[#This Row],[Nilai Kepentingan Dimensi Kualitas Sarana dan Prasarana]]-data[[#This Row],[Nilai Kepuasan Dimensi Kualitas Sarana dan Prasarana]]</f>
        <v>0</v>
      </c>
      <c r="AP167" s="1">
        <v>0</v>
      </c>
      <c r="AQ167" s="1" t="s">
        <v>69</v>
      </c>
      <c r="AR167" s="1">
        <v>0</v>
      </c>
      <c r="AS167" s="1" t="s">
        <v>69</v>
      </c>
      <c r="AT167" s="1">
        <v>0</v>
      </c>
      <c r="AU167" s="1" t="s">
        <v>69</v>
      </c>
      <c r="AV167" s="1" t="s">
        <v>1161</v>
      </c>
      <c r="AW167" s="1" t="s">
        <v>1162</v>
      </c>
      <c r="AX167" s="1">
        <v>4</v>
      </c>
      <c r="AY167" s="1">
        <v>0</v>
      </c>
      <c r="AZ167" s="1" t="s">
        <v>1163</v>
      </c>
      <c r="BA167" s="1" t="s">
        <v>79</v>
      </c>
      <c r="BB167" s="1" t="s">
        <v>985</v>
      </c>
      <c r="BC167" s="1" t="s">
        <v>79</v>
      </c>
      <c r="BD167" s="1" t="s">
        <v>985</v>
      </c>
      <c r="BE167" s="1" t="s">
        <v>79</v>
      </c>
      <c r="BF167" s="5" t="s">
        <v>83</v>
      </c>
    </row>
    <row r="168" spans="1:58" x14ac:dyDescent="0.35">
      <c r="A168" s="4">
        <v>167</v>
      </c>
      <c r="B168" s="1" t="s">
        <v>1164</v>
      </c>
      <c r="C168" s="1" t="s">
        <v>63</v>
      </c>
      <c r="D168" s="1" t="s">
        <v>757</v>
      </c>
      <c r="E168" s="1" t="s">
        <v>69</v>
      </c>
      <c r="F168" s="1" t="s">
        <v>69</v>
      </c>
      <c r="G168" s="1" t="s">
        <v>69</v>
      </c>
      <c r="H168" s="1" t="s">
        <v>69</v>
      </c>
      <c r="I168" s="1" t="s">
        <v>70</v>
      </c>
      <c r="J168" s="1" t="s">
        <v>1168</v>
      </c>
      <c r="K168" s="1">
        <v>40</v>
      </c>
      <c r="L168" s="1" t="s">
        <v>153</v>
      </c>
      <c r="M168" s="1" t="s">
        <v>254</v>
      </c>
      <c r="N168" s="1" t="s">
        <v>154</v>
      </c>
      <c r="O168" s="1">
        <v>3</v>
      </c>
      <c r="P168" s="1">
        <v>4</v>
      </c>
      <c r="Q168" s="1">
        <f>data[[#This Row],[Nilai Kepentingan Dimensi Persyaratan]]-data[[#This Row],[Nilai Kepuasan Dimensi Persyaratan]]</f>
        <v>1</v>
      </c>
      <c r="R168" s="1">
        <v>3</v>
      </c>
      <c r="S168" s="1">
        <v>3</v>
      </c>
      <c r="T168" s="1">
        <f>data[[#This Row],[Nilai Kepentingan Dimensi Prosedur]]-data[[#This Row],[Nilai Kepuasan Dimensi Prosedur]]</f>
        <v>0</v>
      </c>
      <c r="U168" s="1">
        <v>3</v>
      </c>
      <c r="V168" s="1">
        <v>4</v>
      </c>
      <c r="W168" s="1">
        <f>data[[#This Row],[Nilai Kepentingan Dimensi Waktu Pelayanan/Penyelesaian]]-data[[#This Row],[Nilai Kepuasan Dimensi Waktu Pelayanan/Penyelesaian]]</f>
        <v>1</v>
      </c>
      <c r="X168" s="1">
        <v>0</v>
      </c>
      <c r="Y168" s="1">
        <v>0</v>
      </c>
      <c r="Z168" s="1">
        <f>data[[#This Row],[Nilai Kepentingan Dimensi Tarif/ Biaya]]-data[[#This Row],[Nilai Kepuasan Dimensi Tarif / Biaya]]</f>
        <v>0</v>
      </c>
      <c r="AA168" s="1">
        <v>3</v>
      </c>
      <c r="AB168" s="1">
        <v>4</v>
      </c>
      <c r="AC168" s="1">
        <f>data[[#This Row],[Nilai Kepentingan Dimensi Produk Spesifikasi Jenis Layanan]]-data[[#This Row],[Nilai Kepuasan Dimensi Produk Spesifikasi Jenis Layanan]]</f>
        <v>1</v>
      </c>
      <c r="AD168" s="1">
        <v>3</v>
      </c>
      <c r="AE168" s="1">
        <v>4</v>
      </c>
      <c r="AF168" s="1">
        <f>data[[#This Row],[Nilai Kepentingan Dimensi Kompetensi Pelaksana]]-data[[#This Row],[Nilai Kepuasan Dimensi Kompetensi Pelaksana]]</f>
        <v>1</v>
      </c>
      <c r="AG168" s="1">
        <v>4</v>
      </c>
      <c r="AH168" s="1">
        <v>4</v>
      </c>
      <c r="AI168" s="1">
        <f>data[[#This Row],[Nilai Kepentingan Dimensi Perilaku Pelaksana]]-data[[#This Row],[Nilai Kepuasan Dimensi Perilaku Pelaksana]]</f>
        <v>0</v>
      </c>
      <c r="AJ168" s="1">
        <v>3</v>
      </c>
      <c r="AK168" s="1">
        <v>4</v>
      </c>
      <c r="AL168" s="1">
        <f>data[[#This Row],[Nilai Kepentingan Dimensi Penanganan Pengaduan, Saran &amp; Masukan]]-data[[#This Row],[Nilai Kepuasan Dimensi Penanganan Pengaduan, Saran &amp; Masukan]]</f>
        <v>1</v>
      </c>
      <c r="AM168" s="1">
        <v>4</v>
      </c>
      <c r="AN168" s="1">
        <v>4</v>
      </c>
      <c r="AO168" s="1">
        <f>data[[#This Row],[Nilai Kepentingan Dimensi Kualitas Sarana dan Prasarana]]-data[[#This Row],[Nilai Kepuasan Dimensi Kualitas Sarana dan Prasarana]]</f>
        <v>0</v>
      </c>
      <c r="AP168" s="1">
        <v>0</v>
      </c>
      <c r="AQ168" s="1" t="s">
        <v>69</v>
      </c>
      <c r="AR168" s="1">
        <v>0</v>
      </c>
      <c r="AS168" s="1" t="s">
        <v>69</v>
      </c>
      <c r="AT168" s="1">
        <v>0</v>
      </c>
      <c r="AU168" s="1" t="s">
        <v>69</v>
      </c>
      <c r="AV168" s="1" t="s">
        <v>1170</v>
      </c>
      <c r="AW168" s="1" t="s">
        <v>144</v>
      </c>
      <c r="AX168" s="1">
        <v>1</v>
      </c>
      <c r="AY168" s="1">
        <v>4</v>
      </c>
      <c r="AZ168" s="1" t="s">
        <v>1171</v>
      </c>
      <c r="BA168" s="1" t="s">
        <v>486</v>
      </c>
      <c r="BB168" s="1" t="s">
        <v>1172</v>
      </c>
      <c r="BC168" s="1" t="s">
        <v>112</v>
      </c>
      <c r="BD168" s="1" t="s">
        <v>1173</v>
      </c>
      <c r="BE168" s="1" t="s">
        <v>685</v>
      </c>
      <c r="BF168" s="5" t="s">
        <v>1174</v>
      </c>
    </row>
    <row r="169" spans="1:58" x14ac:dyDescent="0.35">
      <c r="A169" s="4">
        <v>168</v>
      </c>
      <c r="B169" s="1" t="s">
        <v>1175</v>
      </c>
      <c r="C169" s="1" t="s">
        <v>904</v>
      </c>
      <c r="D169" s="1" t="s">
        <v>1177</v>
      </c>
      <c r="E169" s="1" t="s">
        <v>69</v>
      </c>
      <c r="F169" s="1" t="s">
        <v>69</v>
      </c>
      <c r="G169" s="1" t="s">
        <v>69</v>
      </c>
      <c r="H169" s="1" t="s">
        <v>69</v>
      </c>
      <c r="I169" s="1" t="s">
        <v>70</v>
      </c>
      <c r="J169" s="1" t="s">
        <v>1180</v>
      </c>
      <c r="K169" s="1">
        <v>44</v>
      </c>
      <c r="L169" s="1" t="s">
        <v>197</v>
      </c>
      <c r="M169" s="1" t="s">
        <v>93</v>
      </c>
      <c r="N169" s="1" t="s">
        <v>74</v>
      </c>
      <c r="O169" s="1">
        <v>3</v>
      </c>
      <c r="P169" s="1">
        <v>3</v>
      </c>
      <c r="Q169" s="1">
        <f>data[[#This Row],[Nilai Kepentingan Dimensi Persyaratan]]-data[[#This Row],[Nilai Kepuasan Dimensi Persyaratan]]</f>
        <v>0</v>
      </c>
      <c r="R169" s="1">
        <v>3</v>
      </c>
      <c r="S169" s="1">
        <v>4</v>
      </c>
      <c r="T169" s="1">
        <f>data[[#This Row],[Nilai Kepentingan Dimensi Prosedur]]-data[[#This Row],[Nilai Kepuasan Dimensi Prosedur]]</f>
        <v>1</v>
      </c>
      <c r="U169" s="1">
        <v>3</v>
      </c>
      <c r="V169" s="1">
        <v>4</v>
      </c>
      <c r="W169" s="1">
        <f>data[[#This Row],[Nilai Kepentingan Dimensi Waktu Pelayanan/Penyelesaian]]-data[[#This Row],[Nilai Kepuasan Dimensi Waktu Pelayanan/Penyelesaian]]</f>
        <v>1</v>
      </c>
      <c r="X169" s="1">
        <v>0</v>
      </c>
      <c r="Y169" s="1">
        <v>0</v>
      </c>
      <c r="Z169" s="1">
        <f>data[[#This Row],[Nilai Kepentingan Dimensi Tarif/ Biaya]]-data[[#This Row],[Nilai Kepuasan Dimensi Tarif / Biaya]]</f>
        <v>0</v>
      </c>
      <c r="AA169" s="1">
        <v>3</v>
      </c>
      <c r="AB169" s="1">
        <v>3</v>
      </c>
      <c r="AC169" s="1">
        <f>data[[#This Row],[Nilai Kepentingan Dimensi Produk Spesifikasi Jenis Layanan]]-data[[#This Row],[Nilai Kepuasan Dimensi Produk Spesifikasi Jenis Layanan]]</f>
        <v>0</v>
      </c>
      <c r="AD169" s="1">
        <v>3</v>
      </c>
      <c r="AE169" s="1">
        <v>3</v>
      </c>
      <c r="AF169" s="1">
        <f>data[[#This Row],[Nilai Kepentingan Dimensi Kompetensi Pelaksana]]-data[[#This Row],[Nilai Kepuasan Dimensi Kompetensi Pelaksana]]</f>
        <v>0</v>
      </c>
      <c r="AG169" s="1">
        <v>3</v>
      </c>
      <c r="AH169" s="1">
        <v>3</v>
      </c>
      <c r="AI169" s="1">
        <f>data[[#This Row],[Nilai Kepentingan Dimensi Perilaku Pelaksana]]-data[[#This Row],[Nilai Kepuasan Dimensi Perilaku Pelaksana]]</f>
        <v>0</v>
      </c>
      <c r="AJ169" s="1">
        <v>3</v>
      </c>
      <c r="AK169" s="1">
        <v>3</v>
      </c>
      <c r="AL169" s="1">
        <f>data[[#This Row],[Nilai Kepentingan Dimensi Penanganan Pengaduan, Saran &amp; Masukan]]-data[[#This Row],[Nilai Kepuasan Dimensi Penanganan Pengaduan, Saran &amp; Masukan]]</f>
        <v>0</v>
      </c>
      <c r="AM169" s="1">
        <v>4</v>
      </c>
      <c r="AN169" s="1">
        <v>3</v>
      </c>
      <c r="AO169" s="1">
        <f>data[[#This Row],[Nilai Kepentingan Dimensi Kualitas Sarana dan Prasarana]]-data[[#This Row],[Nilai Kepuasan Dimensi Kualitas Sarana dan Prasarana]]</f>
        <v>-1</v>
      </c>
      <c r="AP169" s="1">
        <v>0</v>
      </c>
      <c r="AQ169" s="1" t="s">
        <v>69</v>
      </c>
      <c r="AR169" s="1">
        <v>0</v>
      </c>
      <c r="AS169" s="1" t="s">
        <v>69</v>
      </c>
      <c r="AT169" s="1">
        <v>4</v>
      </c>
      <c r="AU169" s="1" t="s">
        <v>75</v>
      </c>
      <c r="AV169" s="1" t="s">
        <v>83</v>
      </c>
      <c r="AW169" s="1" t="s">
        <v>96</v>
      </c>
      <c r="AX169" s="1">
        <v>0</v>
      </c>
      <c r="AY169" s="1">
        <v>0</v>
      </c>
      <c r="AZ169" s="1" t="s">
        <v>1182</v>
      </c>
      <c r="BA169" s="1" t="s">
        <v>79</v>
      </c>
      <c r="BB169" s="1" t="s">
        <v>624</v>
      </c>
      <c r="BC169" s="1" t="s">
        <v>79</v>
      </c>
      <c r="BD169" s="1" t="s">
        <v>1183</v>
      </c>
      <c r="BE169" s="1" t="s">
        <v>1184</v>
      </c>
      <c r="BF169" s="5" t="s">
        <v>1185</v>
      </c>
    </row>
    <row r="170" spans="1:58" x14ac:dyDescent="0.35">
      <c r="A170" s="4">
        <v>169</v>
      </c>
      <c r="B170" s="1" t="s">
        <v>1186</v>
      </c>
      <c r="C170" s="1" t="s">
        <v>63</v>
      </c>
      <c r="D170" s="1" t="s">
        <v>179</v>
      </c>
      <c r="E170" s="1" t="s">
        <v>69</v>
      </c>
      <c r="F170" s="1" t="s">
        <v>69</v>
      </c>
      <c r="G170" s="1" t="s">
        <v>69</v>
      </c>
      <c r="H170" s="1" t="s">
        <v>69</v>
      </c>
      <c r="I170" s="1" t="s">
        <v>106</v>
      </c>
      <c r="J170" s="1" t="s">
        <v>71</v>
      </c>
      <c r="K170" s="1">
        <v>49</v>
      </c>
      <c r="L170" s="1" t="s">
        <v>225</v>
      </c>
      <c r="M170" s="1" t="s">
        <v>73</v>
      </c>
      <c r="N170" s="1" t="s">
        <v>74</v>
      </c>
      <c r="O170" s="1">
        <v>4</v>
      </c>
      <c r="P170" s="1">
        <v>4</v>
      </c>
      <c r="Q170" s="1">
        <f>data[[#This Row],[Nilai Kepentingan Dimensi Persyaratan]]-data[[#This Row],[Nilai Kepuasan Dimensi Persyaratan]]</f>
        <v>0</v>
      </c>
      <c r="R170" s="1">
        <v>4</v>
      </c>
      <c r="S170" s="1">
        <v>4</v>
      </c>
      <c r="T170" s="1">
        <f>data[[#This Row],[Nilai Kepentingan Dimensi Prosedur]]-data[[#This Row],[Nilai Kepuasan Dimensi Prosedur]]</f>
        <v>0</v>
      </c>
      <c r="U170" s="1">
        <v>4</v>
      </c>
      <c r="V170" s="1">
        <v>4</v>
      </c>
      <c r="W170" s="1">
        <f>data[[#This Row],[Nilai Kepentingan Dimensi Waktu Pelayanan/Penyelesaian]]-data[[#This Row],[Nilai Kepuasan Dimensi Waktu Pelayanan/Penyelesaian]]</f>
        <v>0</v>
      </c>
      <c r="X170" s="1">
        <v>4</v>
      </c>
      <c r="Y170" s="1">
        <v>4</v>
      </c>
      <c r="Z170" s="1">
        <f>data[[#This Row],[Nilai Kepentingan Dimensi Tarif/ Biaya]]-data[[#This Row],[Nilai Kepuasan Dimensi Tarif / Biaya]]</f>
        <v>0</v>
      </c>
      <c r="AA170" s="1">
        <v>4</v>
      </c>
      <c r="AB170" s="1">
        <v>4</v>
      </c>
      <c r="AC170" s="1">
        <f>data[[#This Row],[Nilai Kepentingan Dimensi Produk Spesifikasi Jenis Layanan]]-data[[#This Row],[Nilai Kepuasan Dimensi Produk Spesifikasi Jenis Layanan]]</f>
        <v>0</v>
      </c>
      <c r="AD170" s="1">
        <v>4</v>
      </c>
      <c r="AE170" s="1">
        <v>4</v>
      </c>
      <c r="AF170" s="1">
        <f>data[[#This Row],[Nilai Kepentingan Dimensi Kompetensi Pelaksana]]-data[[#This Row],[Nilai Kepuasan Dimensi Kompetensi Pelaksana]]</f>
        <v>0</v>
      </c>
      <c r="AG170" s="1">
        <v>4</v>
      </c>
      <c r="AH170" s="1">
        <v>4</v>
      </c>
      <c r="AI170" s="1">
        <f>data[[#This Row],[Nilai Kepentingan Dimensi Perilaku Pelaksana]]-data[[#This Row],[Nilai Kepuasan Dimensi Perilaku Pelaksana]]</f>
        <v>0</v>
      </c>
      <c r="AJ170" s="1">
        <v>4</v>
      </c>
      <c r="AK170" s="1">
        <v>4</v>
      </c>
      <c r="AL170" s="1">
        <f>data[[#This Row],[Nilai Kepentingan Dimensi Penanganan Pengaduan, Saran &amp; Masukan]]-data[[#This Row],[Nilai Kepuasan Dimensi Penanganan Pengaduan, Saran &amp; Masukan]]</f>
        <v>0</v>
      </c>
      <c r="AM170" s="1">
        <v>4</v>
      </c>
      <c r="AN170" s="1">
        <v>4</v>
      </c>
      <c r="AO170" s="1">
        <f>data[[#This Row],[Nilai Kepentingan Dimensi Kualitas Sarana dan Prasarana]]-data[[#This Row],[Nilai Kepuasan Dimensi Kualitas Sarana dan Prasarana]]</f>
        <v>0</v>
      </c>
      <c r="AP170" s="1">
        <v>0</v>
      </c>
      <c r="AQ170" s="1" t="s">
        <v>69</v>
      </c>
      <c r="AR170" s="1">
        <v>4</v>
      </c>
      <c r="AS170" s="1" t="s">
        <v>69</v>
      </c>
      <c r="AT170" s="1">
        <v>0</v>
      </c>
      <c r="AU170" s="1" t="s">
        <v>69</v>
      </c>
      <c r="AV170" s="1" t="s">
        <v>83</v>
      </c>
      <c r="AW170" s="1" t="s">
        <v>96</v>
      </c>
      <c r="AX170" s="1">
        <v>0</v>
      </c>
      <c r="AY170" s="1">
        <v>0</v>
      </c>
      <c r="AZ170" s="1" t="s">
        <v>1190</v>
      </c>
      <c r="BA170" s="1" t="s">
        <v>79</v>
      </c>
      <c r="BB170" s="1" t="s">
        <v>248</v>
      </c>
      <c r="BC170" s="1" t="s">
        <v>79</v>
      </c>
      <c r="BD170" s="1" t="s">
        <v>248</v>
      </c>
      <c r="BE170" s="1" t="s">
        <v>79</v>
      </c>
      <c r="BF170" s="5" t="s">
        <v>278</v>
      </c>
    </row>
    <row r="171" spans="1:58" x14ac:dyDescent="0.35">
      <c r="A171" s="4">
        <v>170</v>
      </c>
      <c r="B171" s="1" t="s">
        <v>1191</v>
      </c>
      <c r="C171" s="1" t="s">
        <v>63</v>
      </c>
      <c r="D171" s="1" t="s">
        <v>63</v>
      </c>
      <c r="E171" s="1" t="s">
        <v>69</v>
      </c>
      <c r="F171" s="1" t="s">
        <v>69</v>
      </c>
      <c r="G171" s="1" t="s">
        <v>69</v>
      </c>
      <c r="H171" s="1" t="s">
        <v>69</v>
      </c>
      <c r="I171" s="1" t="s">
        <v>70</v>
      </c>
      <c r="J171" s="1" t="s">
        <v>71</v>
      </c>
      <c r="K171" s="1">
        <v>23</v>
      </c>
      <c r="L171" s="1" t="s">
        <v>72</v>
      </c>
      <c r="M171" s="1" t="s">
        <v>93</v>
      </c>
      <c r="N171" s="1" t="s">
        <v>74</v>
      </c>
      <c r="O171" s="1">
        <v>4</v>
      </c>
      <c r="P171" s="1">
        <v>4</v>
      </c>
      <c r="Q171" s="1">
        <f>data[[#This Row],[Nilai Kepentingan Dimensi Persyaratan]]-data[[#This Row],[Nilai Kepuasan Dimensi Persyaratan]]</f>
        <v>0</v>
      </c>
      <c r="R171" s="1">
        <v>4</v>
      </c>
      <c r="S171" s="1">
        <v>4</v>
      </c>
      <c r="T171" s="1">
        <f>data[[#This Row],[Nilai Kepentingan Dimensi Prosedur]]-data[[#This Row],[Nilai Kepuasan Dimensi Prosedur]]</f>
        <v>0</v>
      </c>
      <c r="U171" s="1">
        <v>4</v>
      </c>
      <c r="V171" s="1">
        <v>4</v>
      </c>
      <c r="W171" s="1">
        <f>data[[#This Row],[Nilai Kepentingan Dimensi Waktu Pelayanan/Penyelesaian]]-data[[#This Row],[Nilai Kepuasan Dimensi Waktu Pelayanan/Penyelesaian]]</f>
        <v>0</v>
      </c>
      <c r="X171" s="1">
        <v>4</v>
      </c>
      <c r="Y171" s="1">
        <v>4</v>
      </c>
      <c r="Z171" s="1">
        <f>data[[#This Row],[Nilai Kepentingan Dimensi Tarif/ Biaya]]-data[[#This Row],[Nilai Kepuasan Dimensi Tarif / Biaya]]</f>
        <v>0</v>
      </c>
      <c r="AA171" s="1">
        <v>4</v>
      </c>
      <c r="AB171" s="1">
        <v>4</v>
      </c>
      <c r="AC171" s="1">
        <f>data[[#This Row],[Nilai Kepentingan Dimensi Produk Spesifikasi Jenis Layanan]]-data[[#This Row],[Nilai Kepuasan Dimensi Produk Spesifikasi Jenis Layanan]]</f>
        <v>0</v>
      </c>
      <c r="AD171" s="1">
        <v>4</v>
      </c>
      <c r="AE171" s="1">
        <v>4</v>
      </c>
      <c r="AF171" s="1">
        <f>data[[#This Row],[Nilai Kepentingan Dimensi Kompetensi Pelaksana]]-data[[#This Row],[Nilai Kepuasan Dimensi Kompetensi Pelaksana]]</f>
        <v>0</v>
      </c>
      <c r="AG171" s="1">
        <v>4</v>
      </c>
      <c r="AH171" s="1">
        <v>4</v>
      </c>
      <c r="AI171" s="1">
        <f>data[[#This Row],[Nilai Kepentingan Dimensi Perilaku Pelaksana]]-data[[#This Row],[Nilai Kepuasan Dimensi Perilaku Pelaksana]]</f>
        <v>0</v>
      </c>
      <c r="AJ171" s="1">
        <v>4</v>
      </c>
      <c r="AK171" s="1">
        <v>4</v>
      </c>
      <c r="AL171" s="1">
        <f>data[[#This Row],[Nilai Kepentingan Dimensi Penanganan Pengaduan, Saran &amp; Masukan]]-data[[#This Row],[Nilai Kepuasan Dimensi Penanganan Pengaduan, Saran &amp; Masukan]]</f>
        <v>0</v>
      </c>
      <c r="AM171" s="1">
        <v>4</v>
      </c>
      <c r="AN171" s="1">
        <v>4</v>
      </c>
      <c r="AO171" s="1">
        <f>data[[#This Row],[Nilai Kepentingan Dimensi Kualitas Sarana dan Prasarana]]-data[[#This Row],[Nilai Kepuasan Dimensi Kualitas Sarana dan Prasarana]]</f>
        <v>0</v>
      </c>
      <c r="AP171" s="1">
        <v>0</v>
      </c>
      <c r="AQ171" s="1" t="s">
        <v>69</v>
      </c>
      <c r="AR171" s="1">
        <v>4</v>
      </c>
      <c r="AS171" s="1" t="s">
        <v>75</v>
      </c>
      <c r="AT171" s="1">
        <v>0</v>
      </c>
      <c r="AU171" s="1" t="s">
        <v>69</v>
      </c>
      <c r="AV171" s="1" t="s">
        <v>83</v>
      </c>
      <c r="AW171" s="1" t="s">
        <v>96</v>
      </c>
      <c r="AX171" s="1">
        <v>0</v>
      </c>
      <c r="AY171" s="1">
        <v>0</v>
      </c>
      <c r="AZ171" s="1" t="s">
        <v>278</v>
      </c>
      <c r="BA171" s="1" t="s">
        <v>79</v>
      </c>
      <c r="BB171" s="1" t="s">
        <v>278</v>
      </c>
      <c r="BC171" s="1" t="s">
        <v>79</v>
      </c>
      <c r="BD171" s="1" t="s">
        <v>278</v>
      </c>
      <c r="BE171" s="1" t="s">
        <v>79</v>
      </c>
      <c r="BF171" s="5" t="s">
        <v>1194</v>
      </c>
    </row>
    <row r="172" spans="1:58" x14ac:dyDescent="0.35">
      <c r="A172" s="4">
        <v>171</v>
      </c>
      <c r="B172" s="1" t="s">
        <v>1195</v>
      </c>
      <c r="C172" s="1" t="s">
        <v>63</v>
      </c>
      <c r="D172" s="1" t="s">
        <v>397</v>
      </c>
      <c r="E172" s="1" t="s">
        <v>69</v>
      </c>
      <c r="F172" s="1" t="s">
        <v>69</v>
      </c>
      <c r="G172" s="1" t="s">
        <v>69</v>
      </c>
      <c r="H172" s="1" t="s">
        <v>69</v>
      </c>
      <c r="I172" s="1" t="s">
        <v>70</v>
      </c>
      <c r="J172" s="1" t="s">
        <v>71</v>
      </c>
      <c r="K172" s="1">
        <v>25</v>
      </c>
      <c r="L172" s="1" t="s">
        <v>72</v>
      </c>
      <c r="M172" s="1" t="s">
        <v>93</v>
      </c>
      <c r="N172" s="1" t="s">
        <v>74</v>
      </c>
      <c r="O172" s="1">
        <v>4</v>
      </c>
      <c r="P172" s="1">
        <v>3</v>
      </c>
      <c r="Q172" s="1">
        <f>data[[#This Row],[Nilai Kepentingan Dimensi Persyaratan]]-data[[#This Row],[Nilai Kepuasan Dimensi Persyaratan]]</f>
        <v>-1</v>
      </c>
      <c r="R172" s="1">
        <v>4</v>
      </c>
      <c r="S172" s="1">
        <v>4</v>
      </c>
      <c r="T172" s="1">
        <f>data[[#This Row],[Nilai Kepentingan Dimensi Prosedur]]-data[[#This Row],[Nilai Kepuasan Dimensi Prosedur]]</f>
        <v>0</v>
      </c>
      <c r="U172" s="1">
        <v>4</v>
      </c>
      <c r="V172" s="1">
        <v>4</v>
      </c>
      <c r="W172" s="1">
        <f>data[[#This Row],[Nilai Kepentingan Dimensi Waktu Pelayanan/Penyelesaian]]-data[[#This Row],[Nilai Kepuasan Dimensi Waktu Pelayanan/Penyelesaian]]</f>
        <v>0</v>
      </c>
      <c r="X172" s="1">
        <v>4</v>
      </c>
      <c r="Y172" s="1">
        <v>4</v>
      </c>
      <c r="Z172" s="1">
        <f>data[[#This Row],[Nilai Kepentingan Dimensi Tarif/ Biaya]]-data[[#This Row],[Nilai Kepuasan Dimensi Tarif / Biaya]]</f>
        <v>0</v>
      </c>
      <c r="AA172" s="1">
        <v>4</v>
      </c>
      <c r="AB172" s="1">
        <v>4</v>
      </c>
      <c r="AC172" s="1">
        <f>data[[#This Row],[Nilai Kepentingan Dimensi Produk Spesifikasi Jenis Layanan]]-data[[#This Row],[Nilai Kepuasan Dimensi Produk Spesifikasi Jenis Layanan]]</f>
        <v>0</v>
      </c>
      <c r="AD172" s="1">
        <v>4</v>
      </c>
      <c r="AE172" s="1">
        <v>4</v>
      </c>
      <c r="AF172" s="1">
        <f>data[[#This Row],[Nilai Kepentingan Dimensi Kompetensi Pelaksana]]-data[[#This Row],[Nilai Kepuasan Dimensi Kompetensi Pelaksana]]</f>
        <v>0</v>
      </c>
      <c r="AG172" s="1">
        <v>4</v>
      </c>
      <c r="AH172" s="1">
        <v>4</v>
      </c>
      <c r="AI172" s="1">
        <f>data[[#This Row],[Nilai Kepentingan Dimensi Perilaku Pelaksana]]-data[[#This Row],[Nilai Kepuasan Dimensi Perilaku Pelaksana]]</f>
        <v>0</v>
      </c>
      <c r="AJ172" s="1">
        <v>4</v>
      </c>
      <c r="AK172" s="1">
        <v>4</v>
      </c>
      <c r="AL172" s="1">
        <f>data[[#This Row],[Nilai Kepentingan Dimensi Penanganan Pengaduan, Saran &amp; Masukan]]-data[[#This Row],[Nilai Kepuasan Dimensi Penanganan Pengaduan, Saran &amp; Masukan]]</f>
        <v>0</v>
      </c>
      <c r="AM172" s="1">
        <v>4</v>
      </c>
      <c r="AN172" s="1">
        <v>4</v>
      </c>
      <c r="AO172" s="1">
        <f>data[[#This Row],[Nilai Kepentingan Dimensi Kualitas Sarana dan Prasarana]]-data[[#This Row],[Nilai Kepuasan Dimensi Kualitas Sarana dan Prasarana]]</f>
        <v>0</v>
      </c>
      <c r="AP172" s="1">
        <v>0</v>
      </c>
      <c r="AQ172" s="1" t="s">
        <v>69</v>
      </c>
      <c r="AR172" s="1">
        <v>4</v>
      </c>
      <c r="AS172" s="1" t="s">
        <v>75</v>
      </c>
      <c r="AT172" s="1">
        <v>0</v>
      </c>
      <c r="AU172" s="1" t="s">
        <v>69</v>
      </c>
      <c r="AV172" s="1" t="s">
        <v>83</v>
      </c>
      <c r="AW172" s="1" t="s">
        <v>96</v>
      </c>
      <c r="AX172" s="1">
        <v>0</v>
      </c>
      <c r="AY172" s="1">
        <v>0</v>
      </c>
      <c r="AZ172" s="1" t="s">
        <v>802</v>
      </c>
      <c r="BA172" s="1" t="s">
        <v>79</v>
      </c>
      <c r="BB172" s="1" t="s">
        <v>278</v>
      </c>
      <c r="BC172" s="1" t="s">
        <v>79</v>
      </c>
      <c r="BD172" s="1" t="s">
        <v>278</v>
      </c>
      <c r="BE172" s="1" t="s">
        <v>79</v>
      </c>
      <c r="BF172" s="5" t="s">
        <v>96</v>
      </c>
    </row>
    <row r="173" spans="1:58" x14ac:dyDescent="0.35">
      <c r="A173" s="4">
        <v>172</v>
      </c>
      <c r="B173" s="1" t="s">
        <v>1199</v>
      </c>
      <c r="C173" s="1" t="s">
        <v>63</v>
      </c>
      <c r="D173" s="1" t="s">
        <v>149</v>
      </c>
      <c r="E173" s="1" t="s">
        <v>69</v>
      </c>
      <c r="F173" s="1" t="s">
        <v>69</v>
      </c>
      <c r="G173" s="1" t="s">
        <v>69</v>
      </c>
      <c r="H173" s="1" t="s">
        <v>69</v>
      </c>
      <c r="I173" s="1" t="s">
        <v>106</v>
      </c>
      <c r="J173" s="1" t="s">
        <v>71</v>
      </c>
      <c r="K173" s="1">
        <v>29</v>
      </c>
      <c r="L173" s="1" t="s">
        <v>92</v>
      </c>
      <c r="M173" s="1" t="s">
        <v>93</v>
      </c>
      <c r="N173" s="1" t="s">
        <v>74</v>
      </c>
      <c r="O173" s="1">
        <v>4</v>
      </c>
      <c r="P173" s="1">
        <v>4</v>
      </c>
      <c r="Q173" s="1">
        <f>data[[#This Row],[Nilai Kepentingan Dimensi Persyaratan]]-data[[#This Row],[Nilai Kepuasan Dimensi Persyaratan]]</f>
        <v>0</v>
      </c>
      <c r="R173" s="1">
        <v>4</v>
      </c>
      <c r="S173" s="1">
        <v>4</v>
      </c>
      <c r="T173" s="1">
        <f>data[[#This Row],[Nilai Kepentingan Dimensi Prosedur]]-data[[#This Row],[Nilai Kepuasan Dimensi Prosedur]]</f>
        <v>0</v>
      </c>
      <c r="U173" s="1">
        <v>4</v>
      </c>
      <c r="V173" s="1">
        <v>4</v>
      </c>
      <c r="W173" s="1">
        <f>data[[#This Row],[Nilai Kepentingan Dimensi Waktu Pelayanan/Penyelesaian]]-data[[#This Row],[Nilai Kepuasan Dimensi Waktu Pelayanan/Penyelesaian]]</f>
        <v>0</v>
      </c>
      <c r="X173" s="1">
        <v>4</v>
      </c>
      <c r="Y173" s="1">
        <v>4</v>
      </c>
      <c r="Z173" s="1">
        <f>data[[#This Row],[Nilai Kepentingan Dimensi Tarif/ Biaya]]-data[[#This Row],[Nilai Kepuasan Dimensi Tarif / Biaya]]</f>
        <v>0</v>
      </c>
      <c r="AA173" s="1">
        <v>4</v>
      </c>
      <c r="AB173" s="1">
        <v>4</v>
      </c>
      <c r="AC173" s="1">
        <f>data[[#This Row],[Nilai Kepentingan Dimensi Produk Spesifikasi Jenis Layanan]]-data[[#This Row],[Nilai Kepuasan Dimensi Produk Spesifikasi Jenis Layanan]]</f>
        <v>0</v>
      </c>
      <c r="AD173" s="1">
        <v>4</v>
      </c>
      <c r="AE173" s="1">
        <v>4</v>
      </c>
      <c r="AF173" s="1">
        <f>data[[#This Row],[Nilai Kepentingan Dimensi Kompetensi Pelaksana]]-data[[#This Row],[Nilai Kepuasan Dimensi Kompetensi Pelaksana]]</f>
        <v>0</v>
      </c>
      <c r="AG173" s="1">
        <v>4</v>
      </c>
      <c r="AH173" s="1">
        <v>4</v>
      </c>
      <c r="AI173" s="1">
        <f>data[[#This Row],[Nilai Kepentingan Dimensi Perilaku Pelaksana]]-data[[#This Row],[Nilai Kepuasan Dimensi Perilaku Pelaksana]]</f>
        <v>0</v>
      </c>
      <c r="AJ173" s="1">
        <v>4</v>
      </c>
      <c r="AK173" s="1">
        <v>4</v>
      </c>
      <c r="AL173" s="1">
        <f>data[[#This Row],[Nilai Kepentingan Dimensi Penanganan Pengaduan, Saran &amp; Masukan]]-data[[#This Row],[Nilai Kepuasan Dimensi Penanganan Pengaduan, Saran &amp; Masukan]]</f>
        <v>0</v>
      </c>
      <c r="AM173" s="1">
        <v>4</v>
      </c>
      <c r="AN173" s="1">
        <v>4</v>
      </c>
      <c r="AO173" s="1">
        <f>data[[#This Row],[Nilai Kepentingan Dimensi Kualitas Sarana dan Prasarana]]-data[[#This Row],[Nilai Kepuasan Dimensi Kualitas Sarana dan Prasarana]]</f>
        <v>0</v>
      </c>
      <c r="AP173" s="1">
        <v>0</v>
      </c>
      <c r="AQ173" s="1" t="s">
        <v>69</v>
      </c>
      <c r="AR173" s="1">
        <v>2</v>
      </c>
      <c r="AS173" s="1" t="s">
        <v>75</v>
      </c>
      <c r="AT173" s="1">
        <v>0</v>
      </c>
      <c r="AU173" s="1" t="s">
        <v>69</v>
      </c>
      <c r="AV173" s="1" t="s">
        <v>83</v>
      </c>
      <c r="AW173" s="1" t="s">
        <v>96</v>
      </c>
      <c r="AX173" s="1">
        <v>0</v>
      </c>
      <c r="AY173" s="1">
        <v>0</v>
      </c>
      <c r="AZ173" s="1" t="s">
        <v>248</v>
      </c>
      <c r="BA173" s="1" t="s">
        <v>79</v>
      </c>
      <c r="BB173" s="1" t="s">
        <v>248</v>
      </c>
      <c r="BC173" s="1" t="s">
        <v>79</v>
      </c>
      <c r="BD173" s="1" t="s">
        <v>248</v>
      </c>
      <c r="BE173" s="1" t="s">
        <v>79</v>
      </c>
      <c r="BF173" s="5" t="s">
        <v>1203</v>
      </c>
    </row>
    <row r="174" spans="1:58" x14ac:dyDescent="0.35">
      <c r="A174" s="4">
        <v>173</v>
      </c>
      <c r="B174" s="1" t="s">
        <v>1204</v>
      </c>
      <c r="C174" s="1" t="s">
        <v>63</v>
      </c>
      <c r="D174" s="1" t="s">
        <v>63</v>
      </c>
      <c r="E174" s="1" t="s">
        <v>69</v>
      </c>
      <c r="F174" s="1" t="s">
        <v>69</v>
      </c>
      <c r="G174" s="1" t="s">
        <v>69</v>
      </c>
      <c r="H174" s="1" t="s">
        <v>69</v>
      </c>
      <c r="I174" s="1" t="s">
        <v>106</v>
      </c>
      <c r="J174" s="1" t="s">
        <v>107</v>
      </c>
      <c r="K174" s="1">
        <v>55</v>
      </c>
      <c r="L174" s="1" t="s">
        <v>383</v>
      </c>
      <c r="M174" s="1" t="s">
        <v>73</v>
      </c>
      <c r="N174" s="1" t="s">
        <v>232</v>
      </c>
      <c r="O174" s="1">
        <v>4</v>
      </c>
      <c r="P174" s="1">
        <v>4</v>
      </c>
      <c r="Q174" s="1">
        <f>data[[#This Row],[Nilai Kepentingan Dimensi Persyaratan]]-data[[#This Row],[Nilai Kepuasan Dimensi Persyaratan]]</f>
        <v>0</v>
      </c>
      <c r="R174" s="1">
        <v>4</v>
      </c>
      <c r="S174" s="1">
        <v>4</v>
      </c>
      <c r="T174" s="1">
        <f>data[[#This Row],[Nilai Kepentingan Dimensi Prosedur]]-data[[#This Row],[Nilai Kepuasan Dimensi Prosedur]]</f>
        <v>0</v>
      </c>
      <c r="U174" s="1">
        <v>4</v>
      </c>
      <c r="V174" s="1">
        <v>4</v>
      </c>
      <c r="W174" s="1">
        <f>data[[#This Row],[Nilai Kepentingan Dimensi Waktu Pelayanan/Penyelesaian]]-data[[#This Row],[Nilai Kepuasan Dimensi Waktu Pelayanan/Penyelesaian]]</f>
        <v>0</v>
      </c>
      <c r="X174" s="1">
        <v>4</v>
      </c>
      <c r="Y174" s="1">
        <v>4</v>
      </c>
      <c r="Z174" s="1">
        <f>data[[#This Row],[Nilai Kepentingan Dimensi Tarif/ Biaya]]-data[[#This Row],[Nilai Kepuasan Dimensi Tarif / Biaya]]</f>
        <v>0</v>
      </c>
      <c r="AA174" s="1">
        <v>4</v>
      </c>
      <c r="AB174" s="1">
        <v>4</v>
      </c>
      <c r="AC174" s="1">
        <f>data[[#This Row],[Nilai Kepentingan Dimensi Produk Spesifikasi Jenis Layanan]]-data[[#This Row],[Nilai Kepuasan Dimensi Produk Spesifikasi Jenis Layanan]]</f>
        <v>0</v>
      </c>
      <c r="AD174" s="1">
        <v>4</v>
      </c>
      <c r="AE174" s="1">
        <v>4</v>
      </c>
      <c r="AF174" s="1">
        <f>data[[#This Row],[Nilai Kepentingan Dimensi Kompetensi Pelaksana]]-data[[#This Row],[Nilai Kepuasan Dimensi Kompetensi Pelaksana]]</f>
        <v>0</v>
      </c>
      <c r="AG174" s="1">
        <v>4</v>
      </c>
      <c r="AH174" s="1">
        <v>4</v>
      </c>
      <c r="AI174" s="1">
        <f>data[[#This Row],[Nilai Kepentingan Dimensi Perilaku Pelaksana]]-data[[#This Row],[Nilai Kepuasan Dimensi Perilaku Pelaksana]]</f>
        <v>0</v>
      </c>
      <c r="AJ174" s="1">
        <v>4</v>
      </c>
      <c r="AK174" s="1">
        <v>4</v>
      </c>
      <c r="AL174" s="1">
        <f>data[[#This Row],[Nilai Kepentingan Dimensi Penanganan Pengaduan, Saran &amp; Masukan]]-data[[#This Row],[Nilai Kepuasan Dimensi Penanganan Pengaduan, Saran &amp; Masukan]]</f>
        <v>0</v>
      </c>
      <c r="AM174" s="1">
        <v>4</v>
      </c>
      <c r="AN174" s="1">
        <v>4</v>
      </c>
      <c r="AO174" s="1">
        <f>data[[#This Row],[Nilai Kepentingan Dimensi Kualitas Sarana dan Prasarana]]-data[[#This Row],[Nilai Kepuasan Dimensi Kualitas Sarana dan Prasarana]]</f>
        <v>0</v>
      </c>
      <c r="AP174" s="1">
        <v>0</v>
      </c>
      <c r="AQ174" s="1" t="s">
        <v>69</v>
      </c>
      <c r="AR174" s="1">
        <v>0</v>
      </c>
      <c r="AS174" s="1" t="s">
        <v>69</v>
      </c>
      <c r="AT174" s="1">
        <v>4</v>
      </c>
      <c r="AU174" s="1" t="s">
        <v>75</v>
      </c>
      <c r="AV174" s="1" t="s">
        <v>83</v>
      </c>
      <c r="AW174" s="1" t="s">
        <v>96</v>
      </c>
      <c r="AX174" s="1">
        <v>0</v>
      </c>
      <c r="AY174" s="1">
        <v>0</v>
      </c>
      <c r="AZ174" s="1" t="s">
        <v>248</v>
      </c>
      <c r="BA174" s="1" t="s">
        <v>79</v>
      </c>
      <c r="BB174" s="1" t="s">
        <v>248</v>
      </c>
      <c r="BC174" s="1" t="s">
        <v>79</v>
      </c>
      <c r="BD174" s="1" t="s">
        <v>248</v>
      </c>
      <c r="BE174" s="1" t="s">
        <v>79</v>
      </c>
      <c r="BF174" s="5" t="s">
        <v>96</v>
      </c>
    </row>
    <row r="175" spans="1:58" x14ac:dyDescent="0.35">
      <c r="A175" s="4">
        <v>174</v>
      </c>
      <c r="B175" s="1" t="s">
        <v>1210</v>
      </c>
      <c r="C175" s="1" t="s">
        <v>63</v>
      </c>
      <c r="D175" s="1" t="s">
        <v>179</v>
      </c>
      <c r="E175" s="1" t="s">
        <v>69</v>
      </c>
      <c r="F175" s="1" t="s">
        <v>69</v>
      </c>
      <c r="G175" s="1" t="s">
        <v>69</v>
      </c>
      <c r="H175" s="1" t="s">
        <v>69</v>
      </c>
      <c r="I175" s="1" t="s">
        <v>70</v>
      </c>
      <c r="J175" s="1" t="s">
        <v>107</v>
      </c>
      <c r="K175" s="1">
        <v>42</v>
      </c>
      <c r="L175" s="1" t="s">
        <v>197</v>
      </c>
      <c r="M175" s="1" t="s">
        <v>73</v>
      </c>
      <c r="N175" s="1" t="s">
        <v>232</v>
      </c>
      <c r="O175" s="1">
        <v>4</v>
      </c>
      <c r="P175" s="1">
        <v>4</v>
      </c>
      <c r="Q175" s="1">
        <f>data[[#This Row],[Nilai Kepentingan Dimensi Persyaratan]]-data[[#This Row],[Nilai Kepuasan Dimensi Persyaratan]]</f>
        <v>0</v>
      </c>
      <c r="R175" s="1">
        <v>4</v>
      </c>
      <c r="S175" s="1">
        <v>4</v>
      </c>
      <c r="T175" s="1">
        <f>data[[#This Row],[Nilai Kepentingan Dimensi Prosedur]]-data[[#This Row],[Nilai Kepuasan Dimensi Prosedur]]</f>
        <v>0</v>
      </c>
      <c r="U175" s="1">
        <v>4</v>
      </c>
      <c r="V175" s="1">
        <v>4</v>
      </c>
      <c r="W175" s="1">
        <f>data[[#This Row],[Nilai Kepentingan Dimensi Waktu Pelayanan/Penyelesaian]]-data[[#This Row],[Nilai Kepuasan Dimensi Waktu Pelayanan/Penyelesaian]]</f>
        <v>0</v>
      </c>
      <c r="X175" s="1">
        <v>0</v>
      </c>
      <c r="Y175" s="1">
        <v>0</v>
      </c>
      <c r="Z175" s="1">
        <f>data[[#This Row],[Nilai Kepentingan Dimensi Tarif/ Biaya]]-data[[#This Row],[Nilai Kepuasan Dimensi Tarif / Biaya]]</f>
        <v>0</v>
      </c>
      <c r="AA175" s="1">
        <v>4</v>
      </c>
      <c r="AB175" s="1">
        <v>4</v>
      </c>
      <c r="AC175" s="1">
        <f>data[[#This Row],[Nilai Kepentingan Dimensi Produk Spesifikasi Jenis Layanan]]-data[[#This Row],[Nilai Kepuasan Dimensi Produk Spesifikasi Jenis Layanan]]</f>
        <v>0</v>
      </c>
      <c r="AD175" s="1">
        <v>4</v>
      </c>
      <c r="AE175" s="1">
        <v>4</v>
      </c>
      <c r="AF175" s="1">
        <f>data[[#This Row],[Nilai Kepentingan Dimensi Kompetensi Pelaksana]]-data[[#This Row],[Nilai Kepuasan Dimensi Kompetensi Pelaksana]]</f>
        <v>0</v>
      </c>
      <c r="AG175" s="1">
        <v>4</v>
      </c>
      <c r="AH175" s="1">
        <v>4</v>
      </c>
      <c r="AI175" s="1">
        <f>data[[#This Row],[Nilai Kepentingan Dimensi Perilaku Pelaksana]]-data[[#This Row],[Nilai Kepuasan Dimensi Perilaku Pelaksana]]</f>
        <v>0</v>
      </c>
      <c r="AJ175" s="1">
        <v>4</v>
      </c>
      <c r="AK175" s="1">
        <v>4</v>
      </c>
      <c r="AL175" s="1">
        <f>data[[#This Row],[Nilai Kepentingan Dimensi Penanganan Pengaduan, Saran &amp; Masukan]]-data[[#This Row],[Nilai Kepuasan Dimensi Penanganan Pengaduan, Saran &amp; Masukan]]</f>
        <v>0</v>
      </c>
      <c r="AM175" s="1">
        <v>4</v>
      </c>
      <c r="AN175" s="1">
        <v>4</v>
      </c>
      <c r="AO175" s="1">
        <f>data[[#This Row],[Nilai Kepentingan Dimensi Kualitas Sarana dan Prasarana]]-data[[#This Row],[Nilai Kepuasan Dimensi Kualitas Sarana dan Prasarana]]</f>
        <v>0</v>
      </c>
      <c r="AP175" s="1">
        <v>3</v>
      </c>
      <c r="AQ175" s="1" t="s">
        <v>75</v>
      </c>
      <c r="AR175" s="1">
        <v>3</v>
      </c>
      <c r="AS175" s="1" t="s">
        <v>75</v>
      </c>
      <c r="AT175" s="1">
        <v>3</v>
      </c>
      <c r="AU175" s="1" t="s">
        <v>75</v>
      </c>
      <c r="AV175" s="1" t="s">
        <v>83</v>
      </c>
      <c r="AW175" s="1" t="s">
        <v>96</v>
      </c>
      <c r="AX175" s="1">
        <v>0</v>
      </c>
      <c r="AY175" s="1">
        <v>0</v>
      </c>
      <c r="AZ175" s="1" t="s">
        <v>248</v>
      </c>
      <c r="BA175" s="1" t="s">
        <v>79</v>
      </c>
      <c r="BB175" s="1" t="s">
        <v>248</v>
      </c>
      <c r="BC175" s="1" t="s">
        <v>79</v>
      </c>
      <c r="BD175" s="1" t="s">
        <v>248</v>
      </c>
      <c r="BE175" s="1" t="s">
        <v>79</v>
      </c>
      <c r="BF175" s="5" t="s">
        <v>83</v>
      </c>
    </row>
    <row r="176" spans="1:58" x14ac:dyDescent="0.35">
      <c r="A176" s="4">
        <v>175</v>
      </c>
      <c r="B176" s="1" t="s">
        <v>1214</v>
      </c>
      <c r="C176" s="1" t="s">
        <v>63</v>
      </c>
      <c r="D176" s="1" t="s">
        <v>179</v>
      </c>
      <c r="E176" s="1" t="s">
        <v>69</v>
      </c>
      <c r="F176" s="1" t="s">
        <v>69</v>
      </c>
      <c r="G176" s="1" t="s">
        <v>69</v>
      </c>
      <c r="H176" s="1" t="s">
        <v>69</v>
      </c>
      <c r="I176" s="1" t="s">
        <v>106</v>
      </c>
      <c r="J176" s="1" t="s">
        <v>71</v>
      </c>
      <c r="K176" s="1">
        <v>23</v>
      </c>
      <c r="L176" s="1" t="s">
        <v>72</v>
      </c>
      <c r="M176" s="1" t="s">
        <v>73</v>
      </c>
      <c r="N176" s="1" t="s">
        <v>133</v>
      </c>
      <c r="O176" s="1">
        <v>3</v>
      </c>
      <c r="P176" s="1">
        <v>4</v>
      </c>
      <c r="Q176" s="1">
        <f>data[[#This Row],[Nilai Kepentingan Dimensi Persyaratan]]-data[[#This Row],[Nilai Kepuasan Dimensi Persyaratan]]</f>
        <v>1</v>
      </c>
      <c r="R176" s="1">
        <v>3</v>
      </c>
      <c r="S176" s="1">
        <v>3</v>
      </c>
      <c r="T176" s="1">
        <f>data[[#This Row],[Nilai Kepentingan Dimensi Prosedur]]-data[[#This Row],[Nilai Kepuasan Dimensi Prosedur]]</f>
        <v>0</v>
      </c>
      <c r="U176" s="1">
        <v>4</v>
      </c>
      <c r="V176" s="1">
        <v>4</v>
      </c>
      <c r="W176" s="1">
        <f>data[[#This Row],[Nilai Kepentingan Dimensi Waktu Pelayanan/Penyelesaian]]-data[[#This Row],[Nilai Kepuasan Dimensi Waktu Pelayanan/Penyelesaian]]</f>
        <v>0</v>
      </c>
      <c r="X176" s="1">
        <v>3</v>
      </c>
      <c r="Y176" s="1">
        <v>3</v>
      </c>
      <c r="Z176" s="1">
        <f>data[[#This Row],[Nilai Kepentingan Dimensi Tarif/ Biaya]]-data[[#This Row],[Nilai Kepuasan Dimensi Tarif / Biaya]]</f>
        <v>0</v>
      </c>
      <c r="AA176" s="1">
        <v>3</v>
      </c>
      <c r="AB176" s="1">
        <v>3</v>
      </c>
      <c r="AC176" s="1">
        <f>data[[#This Row],[Nilai Kepentingan Dimensi Produk Spesifikasi Jenis Layanan]]-data[[#This Row],[Nilai Kepuasan Dimensi Produk Spesifikasi Jenis Layanan]]</f>
        <v>0</v>
      </c>
      <c r="AD176" s="1">
        <v>4</v>
      </c>
      <c r="AE176" s="1">
        <v>4</v>
      </c>
      <c r="AF176" s="1">
        <f>data[[#This Row],[Nilai Kepentingan Dimensi Kompetensi Pelaksana]]-data[[#This Row],[Nilai Kepuasan Dimensi Kompetensi Pelaksana]]</f>
        <v>0</v>
      </c>
      <c r="AG176" s="1">
        <v>4</v>
      </c>
      <c r="AH176" s="1">
        <v>4</v>
      </c>
      <c r="AI176" s="1">
        <f>data[[#This Row],[Nilai Kepentingan Dimensi Perilaku Pelaksana]]-data[[#This Row],[Nilai Kepuasan Dimensi Perilaku Pelaksana]]</f>
        <v>0</v>
      </c>
      <c r="AJ176" s="1">
        <v>4</v>
      </c>
      <c r="AK176" s="1">
        <v>4</v>
      </c>
      <c r="AL176" s="1">
        <f>data[[#This Row],[Nilai Kepentingan Dimensi Penanganan Pengaduan, Saran &amp; Masukan]]-data[[#This Row],[Nilai Kepuasan Dimensi Penanganan Pengaduan, Saran &amp; Masukan]]</f>
        <v>0</v>
      </c>
      <c r="AM176" s="1">
        <v>3</v>
      </c>
      <c r="AN176" s="1">
        <v>4</v>
      </c>
      <c r="AO176" s="1">
        <f>data[[#This Row],[Nilai Kepentingan Dimensi Kualitas Sarana dan Prasarana]]-data[[#This Row],[Nilai Kepuasan Dimensi Kualitas Sarana dan Prasarana]]</f>
        <v>1</v>
      </c>
      <c r="AP176" s="1">
        <v>0</v>
      </c>
      <c r="AQ176" s="1" t="s">
        <v>69</v>
      </c>
      <c r="AR176" s="1">
        <v>3</v>
      </c>
      <c r="AS176" s="1" t="s">
        <v>75</v>
      </c>
      <c r="AT176" s="1">
        <v>0</v>
      </c>
      <c r="AU176" s="1" t="s">
        <v>69</v>
      </c>
      <c r="AV176" s="1" t="s">
        <v>83</v>
      </c>
      <c r="AW176" s="1" t="s">
        <v>96</v>
      </c>
      <c r="AX176" s="1">
        <v>0</v>
      </c>
      <c r="AY176" s="1">
        <v>0</v>
      </c>
      <c r="AZ176" s="1" t="s">
        <v>248</v>
      </c>
      <c r="BA176" s="1" t="s">
        <v>79</v>
      </c>
      <c r="BB176" s="1" t="s">
        <v>248</v>
      </c>
      <c r="BC176" s="1" t="s">
        <v>79</v>
      </c>
      <c r="BD176" s="1" t="s">
        <v>248</v>
      </c>
      <c r="BE176" s="1" t="s">
        <v>79</v>
      </c>
      <c r="BF176" s="5" t="s">
        <v>83</v>
      </c>
    </row>
    <row r="177" spans="1:58" x14ac:dyDescent="0.35">
      <c r="A177" s="4">
        <v>176</v>
      </c>
      <c r="B177" s="1" t="s">
        <v>1219</v>
      </c>
      <c r="C177" s="1" t="s">
        <v>63</v>
      </c>
      <c r="D177" s="1" t="s">
        <v>136</v>
      </c>
      <c r="E177" s="1" t="s">
        <v>69</v>
      </c>
      <c r="F177" s="1" t="s">
        <v>69</v>
      </c>
      <c r="G177" s="1" t="s">
        <v>69</v>
      </c>
      <c r="H177" s="1" t="s">
        <v>69</v>
      </c>
      <c r="I177" s="1" t="s">
        <v>70</v>
      </c>
      <c r="J177" s="1" t="s">
        <v>107</v>
      </c>
      <c r="K177" s="1">
        <v>36</v>
      </c>
      <c r="L177" s="1" t="s">
        <v>153</v>
      </c>
      <c r="M177" s="1" t="s">
        <v>254</v>
      </c>
      <c r="N177" s="1" t="s">
        <v>74</v>
      </c>
      <c r="O177" s="1">
        <v>4</v>
      </c>
      <c r="P177" s="1">
        <v>4</v>
      </c>
      <c r="Q177" s="1">
        <f>data[[#This Row],[Nilai Kepentingan Dimensi Persyaratan]]-data[[#This Row],[Nilai Kepuasan Dimensi Persyaratan]]</f>
        <v>0</v>
      </c>
      <c r="R177" s="1">
        <v>4</v>
      </c>
      <c r="S177" s="1">
        <v>4</v>
      </c>
      <c r="T177" s="1">
        <f>data[[#This Row],[Nilai Kepentingan Dimensi Prosedur]]-data[[#This Row],[Nilai Kepuasan Dimensi Prosedur]]</f>
        <v>0</v>
      </c>
      <c r="U177" s="1">
        <v>4</v>
      </c>
      <c r="V177" s="1">
        <v>4</v>
      </c>
      <c r="W177" s="1">
        <f>data[[#This Row],[Nilai Kepentingan Dimensi Waktu Pelayanan/Penyelesaian]]-data[[#This Row],[Nilai Kepuasan Dimensi Waktu Pelayanan/Penyelesaian]]</f>
        <v>0</v>
      </c>
      <c r="X177" s="1">
        <v>0</v>
      </c>
      <c r="Y177" s="1">
        <v>0</v>
      </c>
      <c r="Z177" s="1">
        <f>data[[#This Row],[Nilai Kepentingan Dimensi Tarif/ Biaya]]-data[[#This Row],[Nilai Kepuasan Dimensi Tarif / Biaya]]</f>
        <v>0</v>
      </c>
      <c r="AA177" s="1">
        <v>4</v>
      </c>
      <c r="AB177" s="1">
        <v>4</v>
      </c>
      <c r="AC177" s="1">
        <f>data[[#This Row],[Nilai Kepentingan Dimensi Produk Spesifikasi Jenis Layanan]]-data[[#This Row],[Nilai Kepuasan Dimensi Produk Spesifikasi Jenis Layanan]]</f>
        <v>0</v>
      </c>
      <c r="AD177" s="1">
        <v>4</v>
      </c>
      <c r="AE177" s="1">
        <v>4</v>
      </c>
      <c r="AF177" s="1">
        <f>data[[#This Row],[Nilai Kepentingan Dimensi Kompetensi Pelaksana]]-data[[#This Row],[Nilai Kepuasan Dimensi Kompetensi Pelaksana]]</f>
        <v>0</v>
      </c>
      <c r="AG177" s="1">
        <v>4</v>
      </c>
      <c r="AH177" s="1">
        <v>4</v>
      </c>
      <c r="AI177" s="1">
        <f>data[[#This Row],[Nilai Kepentingan Dimensi Perilaku Pelaksana]]-data[[#This Row],[Nilai Kepuasan Dimensi Perilaku Pelaksana]]</f>
        <v>0</v>
      </c>
      <c r="AJ177" s="1">
        <v>4</v>
      </c>
      <c r="AK177" s="1">
        <v>4</v>
      </c>
      <c r="AL177" s="1">
        <f>data[[#This Row],[Nilai Kepentingan Dimensi Penanganan Pengaduan, Saran &amp; Masukan]]-data[[#This Row],[Nilai Kepuasan Dimensi Penanganan Pengaduan, Saran &amp; Masukan]]</f>
        <v>0</v>
      </c>
      <c r="AM177" s="1">
        <v>4</v>
      </c>
      <c r="AN177" s="1">
        <v>4</v>
      </c>
      <c r="AO177" s="1">
        <f>data[[#This Row],[Nilai Kepentingan Dimensi Kualitas Sarana dan Prasarana]]-data[[#This Row],[Nilai Kepuasan Dimensi Kualitas Sarana dan Prasarana]]</f>
        <v>0</v>
      </c>
      <c r="AP177" s="1">
        <v>0</v>
      </c>
      <c r="AQ177" s="1" t="s">
        <v>69</v>
      </c>
      <c r="AR177" s="1">
        <v>0</v>
      </c>
      <c r="AS177" s="1" t="s">
        <v>69</v>
      </c>
      <c r="AT177" s="1">
        <v>0</v>
      </c>
      <c r="AU177" s="1" t="s">
        <v>69</v>
      </c>
      <c r="AV177" s="1" t="s">
        <v>1223</v>
      </c>
      <c r="AW177" s="1" t="s">
        <v>186</v>
      </c>
      <c r="AX177" s="1">
        <v>1</v>
      </c>
      <c r="AY177" s="1">
        <v>4</v>
      </c>
      <c r="AZ177" s="1" t="s">
        <v>248</v>
      </c>
      <c r="BA177" s="1" t="s">
        <v>79</v>
      </c>
      <c r="BB177" s="1" t="s">
        <v>248</v>
      </c>
      <c r="BC177" s="1" t="s">
        <v>79</v>
      </c>
      <c r="BD177" s="1" t="s">
        <v>248</v>
      </c>
      <c r="BE177" s="1" t="s">
        <v>79</v>
      </c>
      <c r="BF177" s="5" t="s">
        <v>83</v>
      </c>
    </row>
    <row r="178" spans="1:58" x14ac:dyDescent="0.35">
      <c r="A178" s="4">
        <v>177</v>
      </c>
      <c r="B178" s="1" t="s">
        <v>1224</v>
      </c>
      <c r="C178" s="1" t="s">
        <v>63</v>
      </c>
      <c r="D178" s="1" t="s">
        <v>179</v>
      </c>
      <c r="E178" s="1" t="s">
        <v>69</v>
      </c>
      <c r="F178" s="1" t="s">
        <v>69</v>
      </c>
      <c r="G178" s="1" t="s">
        <v>69</v>
      </c>
      <c r="H178" s="1" t="s">
        <v>69</v>
      </c>
      <c r="I178" s="1" t="s">
        <v>70</v>
      </c>
      <c r="J178" s="1" t="s">
        <v>71</v>
      </c>
      <c r="K178" s="1">
        <v>34</v>
      </c>
      <c r="L178" s="1" t="s">
        <v>109</v>
      </c>
      <c r="M178" s="1" t="s">
        <v>93</v>
      </c>
      <c r="N178" s="1" t="s">
        <v>74</v>
      </c>
      <c r="O178" s="1">
        <v>4</v>
      </c>
      <c r="P178" s="1">
        <v>4</v>
      </c>
      <c r="Q178" s="1">
        <f>data[[#This Row],[Nilai Kepentingan Dimensi Persyaratan]]-data[[#This Row],[Nilai Kepuasan Dimensi Persyaratan]]</f>
        <v>0</v>
      </c>
      <c r="R178" s="1">
        <v>4</v>
      </c>
      <c r="S178" s="1">
        <v>4</v>
      </c>
      <c r="T178" s="1">
        <f>data[[#This Row],[Nilai Kepentingan Dimensi Prosedur]]-data[[#This Row],[Nilai Kepuasan Dimensi Prosedur]]</f>
        <v>0</v>
      </c>
      <c r="U178" s="1">
        <v>4</v>
      </c>
      <c r="V178" s="1">
        <v>4</v>
      </c>
      <c r="W178" s="1">
        <f>data[[#This Row],[Nilai Kepentingan Dimensi Waktu Pelayanan/Penyelesaian]]-data[[#This Row],[Nilai Kepuasan Dimensi Waktu Pelayanan/Penyelesaian]]</f>
        <v>0</v>
      </c>
      <c r="X178" s="1">
        <v>4</v>
      </c>
      <c r="Y178" s="1">
        <v>4</v>
      </c>
      <c r="Z178" s="1">
        <f>data[[#This Row],[Nilai Kepentingan Dimensi Tarif/ Biaya]]-data[[#This Row],[Nilai Kepuasan Dimensi Tarif / Biaya]]</f>
        <v>0</v>
      </c>
      <c r="AA178" s="1">
        <v>4</v>
      </c>
      <c r="AB178" s="1">
        <v>4</v>
      </c>
      <c r="AC178" s="1">
        <f>data[[#This Row],[Nilai Kepentingan Dimensi Produk Spesifikasi Jenis Layanan]]-data[[#This Row],[Nilai Kepuasan Dimensi Produk Spesifikasi Jenis Layanan]]</f>
        <v>0</v>
      </c>
      <c r="AD178" s="1">
        <v>4</v>
      </c>
      <c r="AE178" s="1">
        <v>4</v>
      </c>
      <c r="AF178" s="1">
        <f>data[[#This Row],[Nilai Kepentingan Dimensi Kompetensi Pelaksana]]-data[[#This Row],[Nilai Kepuasan Dimensi Kompetensi Pelaksana]]</f>
        <v>0</v>
      </c>
      <c r="AG178" s="1">
        <v>4</v>
      </c>
      <c r="AH178" s="1">
        <v>4</v>
      </c>
      <c r="AI178" s="1">
        <f>data[[#This Row],[Nilai Kepentingan Dimensi Perilaku Pelaksana]]-data[[#This Row],[Nilai Kepuasan Dimensi Perilaku Pelaksana]]</f>
        <v>0</v>
      </c>
      <c r="AJ178" s="1">
        <v>4</v>
      </c>
      <c r="AK178" s="1">
        <v>4</v>
      </c>
      <c r="AL178" s="1">
        <f>data[[#This Row],[Nilai Kepentingan Dimensi Penanganan Pengaduan, Saran &amp; Masukan]]-data[[#This Row],[Nilai Kepuasan Dimensi Penanganan Pengaduan, Saran &amp; Masukan]]</f>
        <v>0</v>
      </c>
      <c r="AM178" s="1">
        <v>4</v>
      </c>
      <c r="AN178" s="1">
        <v>4</v>
      </c>
      <c r="AO178" s="1">
        <f>data[[#This Row],[Nilai Kepentingan Dimensi Kualitas Sarana dan Prasarana]]-data[[#This Row],[Nilai Kepuasan Dimensi Kualitas Sarana dan Prasarana]]</f>
        <v>0</v>
      </c>
      <c r="AP178" s="1">
        <v>4</v>
      </c>
      <c r="AQ178" s="1" t="s">
        <v>75</v>
      </c>
      <c r="AR178" s="1">
        <v>4</v>
      </c>
      <c r="AS178" s="1" t="s">
        <v>75</v>
      </c>
      <c r="AT178" s="1">
        <v>0</v>
      </c>
      <c r="AU178" s="1" t="s">
        <v>69</v>
      </c>
      <c r="AV178" s="1" t="s">
        <v>83</v>
      </c>
      <c r="AW178" s="1" t="s">
        <v>96</v>
      </c>
      <c r="AX178" s="1">
        <v>0</v>
      </c>
      <c r="AY178" s="1">
        <v>0</v>
      </c>
      <c r="AZ178" s="1" t="s">
        <v>554</v>
      </c>
      <c r="BA178" s="1" t="s">
        <v>79</v>
      </c>
      <c r="BB178" s="1" t="s">
        <v>503</v>
      </c>
      <c r="BC178" s="1" t="s">
        <v>79</v>
      </c>
      <c r="BD178" s="1" t="s">
        <v>1228</v>
      </c>
      <c r="BE178" s="1" t="s">
        <v>190</v>
      </c>
      <c r="BF178" s="5" t="s">
        <v>83</v>
      </c>
    </row>
    <row r="179" spans="1:58" x14ac:dyDescent="0.35">
      <c r="A179" s="4">
        <v>178</v>
      </c>
      <c r="B179" s="1" t="s">
        <v>1229</v>
      </c>
      <c r="C179" s="1" t="s">
        <v>63</v>
      </c>
      <c r="D179" s="1" t="s">
        <v>312</v>
      </c>
      <c r="E179" s="1" t="s">
        <v>69</v>
      </c>
      <c r="F179" s="1" t="s">
        <v>69</v>
      </c>
      <c r="G179" s="1" t="s">
        <v>69</v>
      </c>
      <c r="H179" s="1" t="s">
        <v>69</v>
      </c>
      <c r="I179" s="1" t="s">
        <v>106</v>
      </c>
      <c r="J179" s="1" t="s">
        <v>107</v>
      </c>
      <c r="K179" s="1">
        <v>44</v>
      </c>
      <c r="L179" s="1" t="s">
        <v>197</v>
      </c>
      <c r="M179" s="1" t="s">
        <v>73</v>
      </c>
      <c r="N179" s="1" t="s">
        <v>74</v>
      </c>
      <c r="O179" s="1">
        <v>4</v>
      </c>
      <c r="P179" s="1">
        <v>4</v>
      </c>
      <c r="Q179" s="1">
        <f>data[[#This Row],[Nilai Kepentingan Dimensi Persyaratan]]-data[[#This Row],[Nilai Kepuasan Dimensi Persyaratan]]</f>
        <v>0</v>
      </c>
      <c r="R179" s="1">
        <v>4</v>
      </c>
      <c r="S179" s="1">
        <v>4</v>
      </c>
      <c r="T179" s="1">
        <f>data[[#This Row],[Nilai Kepentingan Dimensi Prosedur]]-data[[#This Row],[Nilai Kepuasan Dimensi Prosedur]]</f>
        <v>0</v>
      </c>
      <c r="U179" s="1">
        <v>4</v>
      </c>
      <c r="V179" s="1">
        <v>4</v>
      </c>
      <c r="W179" s="1">
        <f>data[[#This Row],[Nilai Kepentingan Dimensi Waktu Pelayanan/Penyelesaian]]-data[[#This Row],[Nilai Kepuasan Dimensi Waktu Pelayanan/Penyelesaian]]</f>
        <v>0</v>
      </c>
      <c r="X179" s="1">
        <v>0</v>
      </c>
      <c r="Y179" s="1">
        <v>0</v>
      </c>
      <c r="Z179" s="1">
        <f>data[[#This Row],[Nilai Kepentingan Dimensi Tarif/ Biaya]]-data[[#This Row],[Nilai Kepuasan Dimensi Tarif / Biaya]]</f>
        <v>0</v>
      </c>
      <c r="AA179" s="1">
        <v>4</v>
      </c>
      <c r="AB179" s="1">
        <v>4</v>
      </c>
      <c r="AC179" s="1">
        <f>data[[#This Row],[Nilai Kepentingan Dimensi Produk Spesifikasi Jenis Layanan]]-data[[#This Row],[Nilai Kepuasan Dimensi Produk Spesifikasi Jenis Layanan]]</f>
        <v>0</v>
      </c>
      <c r="AD179" s="1">
        <v>4</v>
      </c>
      <c r="AE179" s="1">
        <v>4</v>
      </c>
      <c r="AF179" s="1">
        <f>data[[#This Row],[Nilai Kepentingan Dimensi Kompetensi Pelaksana]]-data[[#This Row],[Nilai Kepuasan Dimensi Kompetensi Pelaksana]]</f>
        <v>0</v>
      </c>
      <c r="AG179" s="1">
        <v>4</v>
      </c>
      <c r="AH179" s="1">
        <v>4</v>
      </c>
      <c r="AI179" s="1">
        <f>data[[#This Row],[Nilai Kepentingan Dimensi Perilaku Pelaksana]]-data[[#This Row],[Nilai Kepuasan Dimensi Perilaku Pelaksana]]</f>
        <v>0</v>
      </c>
      <c r="AJ179" s="1">
        <v>4</v>
      </c>
      <c r="AK179" s="1">
        <v>4</v>
      </c>
      <c r="AL179" s="1">
        <f>data[[#This Row],[Nilai Kepentingan Dimensi Penanganan Pengaduan, Saran &amp; Masukan]]-data[[#This Row],[Nilai Kepuasan Dimensi Penanganan Pengaduan, Saran &amp; Masukan]]</f>
        <v>0</v>
      </c>
      <c r="AM179" s="1">
        <v>4</v>
      </c>
      <c r="AN179" s="1">
        <v>4</v>
      </c>
      <c r="AO179" s="1">
        <f>data[[#This Row],[Nilai Kepentingan Dimensi Kualitas Sarana dan Prasarana]]-data[[#This Row],[Nilai Kepuasan Dimensi Kualitas Sarana dan Prasarana]]</f>
        <v>0</v>
      </c>
      <c r="AP179" s="1">
        <v>0</v>
      </c>
      <c r="AQ179" s="1" t="s">
        <v>69</v>
      </c>
      <c r="AR179" s="1">
        <v>0</v>
      </c>
      <c r="AS179" s="1" t="s">
        <v>69</v>
      </c>
      <c r="AT179" s="1">
        <v>0</v>
      </c>
      <c r="AU179" s="1" t="s">
        <v>69</v>
      </c>
      <c r="AV179" s="1" t="s">
        <v>1232</v>
      </c>
      <c r="AW179" s="1" t="s">
        <v>186</v>
      </c>
      <c r="AX179" s="1">
        <v>2</v>
      </c>
      <c r="AY179" s="1">
        <v>3</v>
      </c>
      <c r="AZ179" s="1" t="s">
        <v>248</v>
      </c>
      <c r="BA179" s="1" t="s">
        <v>79</v>
      </c>
      <c r="BB179" s="1" t="s">
        <v>248</v>
      </c>
      <c r="BC179" s="1" t="s">
        <v>79</v>
      </c>
      <c r="BD179" s="1" t="s">
        <v>248</v>
      </c>
      <c r="BE179" s="1" t="s">
        <v>79</v>
      </c>
      <c r="BF179" s="5" t="s">
        <v>83</v>
      </c>
    </row>
    <row r="180" spans="1:58" x14ac:dyDescent="0.35">
      <c r="A180" s="4">
        <v>179</v>
      </c>
      <c r="B180" s="1" t="s">
        <v>1233</v>
      </c>
      <c r="C180" s="1" t="s">
        <v>63</v>
      </c>
      <c r="D180" s="1" t="s">
        <v>136</v>
      </c>
      <c r="E180" s="1" t="s">
        <v>69</v>
      </c>
      <c r="F180" s="1" t="s">
        <v>69</v>
      </c>
      <c r="G180" s="1" t="s">
        <v>69</v>
      </c>
      <c r="H180" s="1" t="s">
        <v>69</v>
      </c>
      <c r="I180" s="1" t="s">
        <v>106</v>
      </c>
      <c r="J180" s="1" t="s">
        <v>71</v>
      </c>
      <c r="K180" s="1">
        <v>18</v>
      </c>
      <c r="L180" s="1" t="s">
        <v>131</v>
      </c>
      <c r="M180" s="1" t="s">
        <v>73</v>
      </c>
      <c r="N180" s="1" t="s">
        <v>133</v>
      </c>
      <c r="O180" s="1">
        <v>4</v>
      </c>
      <c r="P180" s="1">
        <v>4</v>
      </c>
      <c r="Q180" s="1">
        <f>data[[#This Row],[Nilai Kepentingan Dimensi Persyaratan]]-data[[#This Row],[Nilai Kepuasan Dimensi Persyaratan]]</f>
        <v>0</v>
      </c>
      <c r="R180" s="1">
        <v>4</v>
      </c>
      <c r="S180" s="1">
        <v>4</v>
      </c>
      <c r="T180" s="1">
        <f>data[[#This Row],[Nilai Kepentingan Dimensi Prosedur]]-data[[#This Row],[Nilai Kepuasan Dimensi Prosedur]]</f>
        <v>0</v>
      </c>
      <c r="U180" s="1">
        <v>3</v>
      </c>
      <c r="V180" s="1">
        <v>4</v>
      </c>
      <c r="W180" s="1">
        <f>data[[#This Row],[Nilai Kepentingan Dimensi Waktu Pelayanan/Penyelesaian]]-data[[#This Row],[Nilai Kepuasan Dimensi Waktu Pelayanan/Penyelesaian]]</f>
        <v>1</v>
      </c>
      <c r="X180" s="1">
        <v>4</v>
      </c>
      <c r="Y180" s="1">
        <v>3</v>
      </c>
      <c r="Z180" s="1">
        <f>data[[#This Row],[Nilai Kepentingan Dimensi Tarif/ Biaya]]-data[[#This Row],[Nilai Kepuasan Dimensi Tarif / Biaya]]</f>
        <v>-1</v>
      </c>
      <c r="AA180" s="1">
        <v>4</v>
      </c>
      <c r="AB180" s="1">
        <v>4</v>
      </c>
      <c r="AC180" s="1">
        <f>data[[#This Row],[Nilai Kepentingan Dimensi Produk Spesifikasi Jenis Layanan]]-data[[#This Row],[Nilai Kepuasan Dimensi Produk Spesifikasi Jenis Layanan]]</f>
        <v>0</v>
      </c>
      <c r="AD180" s="1">
        <v>4</v>
      </c>
      <c r="AE180" s="1">
        <v>4</v>
      </c>
      <c r="AF180" s="1">
        <f>data[[#This Row],[Nilai Kepentingan Dimensi Kompetensi Pelaksana]]-data[[#This Row],[Nilai Kepuasan Dimensi Kompetensi Pelaksana]]</f>
        <v>0</v>
      </c>
      <c r="AG180" s="1">
        <v>3</v>
      </c>
      <c r="AH180" s="1">
        <v>3</v>
      </c>
      <c r="AI180" s="1">
        <f>data[[#This Row],[Nilai Kepentingan Dimensi Perilaku Pelaksana]]-data[[#This Row],[Nilai Kepuasan Dimensi Perilaku Pelaksana]]</f>
        <v>0</v>
      </c>
      <c r="AJ180" s="1">
        <v>4</v>
      </c>
      <c r="AK180" s="1">
        <v>4</v>
      </c>
      <c r="AL180" s="1">
        <f>data[[#This Row],[Nilai Kepentingan Dimensi Penanganan Pengaduan, Saran &amp; Masukan]]-data[[#This Row],[Nilai Kepuasan Dimensi Penanganan Pengaduan, Saran &amp; Masukan]]</f>
        <v>0</v>
      </c>
      <c r="AM180" s="1">
        <v>4</v>
      </c>
      <c r="AN180" s="1">
        <v>4</v>
      </c>
      <c r="AO180" s="1">
        <f>data[[#This Row],[Nilai Kepentingan Dimensi Kualitas Sarana dan Prasarana]]-data[[#This Row],[Nilai Kepuasan Dimensi Kualitas Sarana dan Prasarana]]</f>
        <v>0</v>
      </c>
      <c r="AP180" s="1">
        <v>0</v>
      </c>
      <c r="AQ180" s="1" t="s">
        <v>69</v>
      </c>
      <c r="AR180" s="1">
        <v>0</v>
      </c>
      <c r="AS180" s="1" t="s">
        <v>69</v>
      </c>
      <c r="AT180" s="1">
        <v>0</v>
      </c>
      <c r="AU180" s="1" t="s">
        <v>69</v>
      </c>
      <c r="AV180" s="1" t="s">
        <v>144</v>
      </c>
      <c r="AW180" s="1" t="s">
        <v>144</v>
      </c>
      <c r="AX180" s="1">
        <v>2</v>
      </c>
      <c r="AY180" s="1">
        <v>3</v>
      </c>
      <c r="AZ180" s="1" t="s">
        <v>1237</v>
      </c>
      <c r="BA180" s="1" t="s">
        <v>112</v>
      </c>
      <c r="BB180" s="1" t="s">
        <v>1238</v>
      </c>
      <c r="BC180" s="1" t="s">
        <v>79</v>
      </c>
      <c r="BD180" s="1" t="s">
        <v>248</v>
      </c>
      <c r="BE180" s="1" t="s">
        <v>79</v>
      </c>
      <c r="BF180" s="5" t="s">
        <v>83</v>
      </c>
    </row>
    <row r="181" spans="1:58" x14ac:dyDescent="0.35">
      <c r="A181" s="4">
        <v>180</v>
      </c>
      <c r="B181" s="1" t="s">
        <v>1239</v>
      </c>
      <c r="C181" s="1" t="s">
        <v>63</v>
      </c>
      <c r="D181" s="1" t="s">
        <v>179</v>
      </c>
      <c r="E181" s="1" t="s">
        <v>69</v>
      </c>
      <c r="F181" s="1" t="s">
        <v>69</v>
      </c>
      <c r="G181" s="1" t="s">
        <v>69</v>
      </c>
      <c r="H181" s="1" t="s">
        <v>69</v>
      </c>
      <c r="I181" s="1" t="s">
        <v>70</v>
      </c>
      <c r="J181" s="1" t="s">
        <v>107</v>
      </c>
      <c r="K181" s="1">
        <v>48</v>
      </c>
      <c r="L181" s="1" t="s">
        <v>225</v>
      </c>
      <c r="M181" s="1" t="s">
        <v>273</v>
      </c>
      <c r="N181" s="1" t="s">
        <v>110</v>
      </c>
      <c r="O181" s="1">
        <v>4</v>
      </c>
      <c r="P181" s="1">
        <v>4</v>
      </c>
      <c r="Q181" s="1">
        <f>data[[#This Row],[Nilai Kepentingan Dimensi Persyaratan]]-data[[#This Row],[Nilai Kepuasan Dimensi Persyaratan]]</f>
        <v>0</v>
      </c>
      <c r="R181" s="1">
        <v>4</v>
      </c>
      <c r="S181" s="1">
        <v>4</v>
      </c>
      <c r="T181" s="1">
        <f>data[[#This Row],[Nilai Kepentingan Dimensi Prosedur]]-data[[#This Row],[Nilai Kepuasan Dimensi Prosedur]]</f>
        <v>0</v>
      </c>
      <c r="U181" s="1">
        <v>4</v>
      </c>
      <c r="V181" s="1">
        <v>4</v>
      </c>
      <c r="W181" s="1">
        <f>data[[#This Row],[Nilai Kepentingan Dimensi Waktu Pelayanan/Penyelesaian]]-data[[#This Row],[Nilai Kepuasan Dimensi Waktu Pelayanan/Penyelesaian]]</f>
        <v>0</v>
      </c>
      <c r="X181" s="1">
        <v>0</v>
      </c>
      <c r="Y181" s="1">
        <v>0</v>
      </c>
      <c r="Z181" s="1">
        <f>data[[#This Row],[Nilai Kepentingan Dimensi Tarif/ Biaya]]-data[[#This Row],[Nilai Kepuasan Dimensi Tarif / Biaya]]</f>
        <v>0</v>
      </c>
      <c r="AA181" s="1">
        <v>4</v>
      </c>
      <c r="AB181" s="1">
        <v>4</v>
      </c>
      <c r="AC181" s="1">
        <f>data[[#This Row],[Nilai Kepentingan Dimensi Produk Spesifikasi Jenis Layanan]]-data[[#This Row],[Nilai Kepuasan Dimensi Produk Spesifikasi Jenis Layanan]]</f>
        <v>0</v>
      </c>
      <c r="AD181" s="1">
        <v>4</v>
      </c>
      <c r="AE181" s="1">
        <v>4</v>
      </c>
      <c r="AF181" s="1">
        <f>data[[#This Row],[Nilai Kepentingan Dimensi Kompetensi Pelaksana]]-data[[#This Row],[Nilai Kepuasan Dimensi Kompetensi Pelaksana]]</f>
        <v>0</v>
      </c>
      <c r="AG181" s="1">
        <v>4</v>
      </c>
      <c r="AH181" s="1">
        <v>4</v>
      </c>
      <c r="AI181" s="1">
        <f>data[[#This Row],[Nilai Kepentingan Dimensi Perilaku Pelaksana]]-data[[#This Row],[Nilai Kepuasan Dimensi Perilaku Pelaksana]]</f>
        <v>0</v>
      </c>
      <c r="AJ181" s="1">
        <v>3</v>
      </c>
      <c r="AK181" s="1">
        <v>3</v>
      </c>
      <c r="AL181" s="1">
        <f>data[[#This Row],[Nilai Kepentingan Dimensi Penanganan Pengaduan, Saran &amp; Masukan]]-data[[#This Row],[Nilai Kepuasan Dimensi Penanganan Pengaduan, Saran &amp; Masukan]]</f>
        <v>0</v>
      </c>
      <c r="AM181" s="1">
        <v>4</v>
      </c>
      <c r="AN181" s="1">
        <v>4</v>
      </c>
      <c r="AO181" s="1">
        <f>data[[#This Row],[Nilai Kepentingan Dimensi Kualitas Sarana dan Prasarana]]-data[[#This Row],[Nilai Kepuasan Dimensi Kualitas Sarana dan Prasarana]]</f>
        <v>0</v>
      </c>
      <c r="AP181" s="1">
        <v>0</v>
      </c>
      <c r="AQ181" s="1" t="s">
        <v>69</v>
      </c>
      <c r="AR181" s="1">
        <v>0</v>
      </c>
      <c r="AS181" s="1" t="s">
        <v>69</v>
      </c>
      <c r="AT181" s="1">
        <v>0</v>
      </c>
      <c r="AU181" s="1" t="s">
        <v>69</v>
      </c>
      <c r="AV181" s="1" t="s">
        <v>1242</v>
      </c>
      <c r="AW181" s="1" t="s">
        <v>144</v>
      </c>
      <c r="AX181" s="1">
        <v>2</v>
      </c>
      <c r="AY181" s="1">
        <v>3</v>
      </c>
      <c r="AZ181" s="1" t="s">
        <v>248</v>
      </c>
      <c r="BA181" s="1" t="s">
        <v>79</v>
      </c>
      <c r="BB181" s="1" t="s">
        <v>1243</v>
      </c>
      <c r="BC181" s="1" t="s">
        <v>157</v>
      </c>
      <c r="BD181" s="1" t="s">
        <v>248</v>
      </c>
      <c r="BE181" s="1" t="s">
        <v>79</v>
      </c>
      <c r="BF181" s="5" t="s">
        <v>83</v>
      </c>
    </row>
    <row r="182" spans="1:58" x14ac:dyDescent="0.35">
      <c r="A182" s="4">
        <v>181</v>
      </c>
      <c r="B182" s="1" t="s">
        <v>1244</v>
      </c>
      <c r="C182" s="1" t="s">
        <v>63</v>
      </c>
      <c r="D182" s="1" t="s">
        <v>1246</v>
      </c>
      <c r="E182" s="1" t="s">
        <v>69</v>
      </c>
      <c r="F182" s="1" t="s">
        <v>69</v>
      </c>
      <c r="G182" s="1" t="s">
        <v>69</v>
      </c>
      <c r="H182" s="1" t="s">
        <v>69</v>
      </c>
      <c r="I182" s="1" t="s">
        <v>106</v>
      </c>
      <c r="J182" s="1" t="s">
        <v>271</v>
      </c>
      <c r="K182" s="1">
        <v>18</v>
      </c>
      <c r="L182" s="1" t="s">
        <v>131</v>
      </c>
      <c r="M182" s="1" t="s">
        <v>73</v>
      </c>
      <c r="N182" s="1" t="s">
        <v>95</v>
      </c>
      <c r="O182" s="1">
        <v>3</v>
      </c>
      <c r="P182" s="1">
        <v>3</v>
      </c>
      <c r="Q182" s="1">
        <f>data[[#This Row],[Nilai Kepentingan Dimensi Persyaratan]]-data[[#This Row],[Nilai Kepuasan Dimensi Persyaratan]]</f>
        <v>0</v>
      </c>
      <c r="R182" s="1">
        <v>3</v>
      </c>
      <c r="S182" s="1">
        <v>4</v>
      </c>
      <c r="T182" s="1">
        <f>data[[#This Row],[Nilai Kepentingan Dimensi Prosedur]]-data[[#This Row],[Nilai Kepuasan Dimensi Prosedur]]</f>
        <v>1</v>
      </c>
      <c r="U182" s="1">
        <v>2</v>
      </c>
      <c r="V182" s="1">
        <v>4</v>
      </c>
      <c r="W182" s="1">
        <f>data[[#This Row],[Nilai Kepentingan Dimensi Waktu Pelayanan/Penyelesaian]]-data[[#This Row],[Nilai Kepuasan Dimensi Waktu Pelayanan/Penyelesaian]]</f>
        <v>2</v>
      </c>
      <c r="X182" s="1">
        <v>3</v>
      </c>
      <c r="Y182" s="1">
        <v>3</v>
      </c>
      <c r="Z182" s="1">
        <f>data[[#This Row],[Nilai Kepentingan Dimensi Tarif/ Biaya]]-data[[#This Row],[Nilai Kepuasan Dimensi Tarif / Biaya]]</f>
        <v>0</v>
      </c>
      <c r="AA182" s="1">
        <v>3</v>
      </c>
      <c r="AB182" s="1">
        <v>4</v>
      </c>
      <c r="AC182" s="1">
        <f>data[[#This Row],[Nilai Kepentingan Dimensi Produk Spesifikasi Jenis Layanan]]-data[[#This Row],[Nilai Kepuasan Dimensi Produk Spesifikasi Jenis Layanan]]</f>
        <v>1</v>
      </c>
      <c r="AD182" s="1">
        <v>3</v>
      </c>
      <c r="AE182" s="1">
        <v>3</v>
      </c>
      <c r="AF182" s="1">
        <f>data[[#This Row],[Nilai Kepentingan Dimensi Kompetensi Pelaksana]]-data[[#This Row],[Nilai Kepuasan Dimensi Kompetensi Pelaksana]]</f>
        <v>0</v>
      </c>
      <c r="AG182" s="1">
        <v>3</v>
      </c>
      <c r="AH182" s="1">
        <v>3</v>
      </c>
      <c r="AI182" s="1">
        <f>data[[#This Row],[Nilai Kepentingan Dimensi Perilaku Pelaksana]]-data[[#This Row],[Nilai Kepuasan Dimensi Perilaku Pelaksana]]</f>
        <v>0</v>
      </c>
      <c r="AJ182" s="1">
        <v>4</v>
      </c>
      <c r="AK182" s="1">
        <v>4</v>
      </c>
      <c r="AL182" s="1">
        <f>data[[#This Row],[Nilai Kepentingan Dimensi Penanganan Pengaduan, Saran &amp; Masukan]]-data[[#This Row],[Nilai Kepuasan Dimensi Penanganan Pengaduan, Saran &amp; Masukan]]</f>
        <v>0</v>
      </c>
      <c r="AM182" s="1">
        <v>4</v>
      </c>
      <c r="AN182" s="1">
        <v>4</v>
      </c>
      <c r="AO182" s="1">
        <f>data[[#This Row],[Nilai Kepentingan Dimensi Kualitas Sarana dan Prasarana]]-data[[#This Row],[Nilai Kepuasan Dimensi Kualitas Sarana dan Prasarana]]</f>
        <v>0</v>
      </c>
      <c r="AP182" s="1">
        <v>4</v>
      </c>
      <c r="AQ182" s="1" t="s">
        <v>75</v>
      </c>
      <c r="AR182" s="1">
        <v>0</v>
      </c>
      <c r="AS182" s="1" t="s">
        <v>69</v>
      </c>
      <c r="AT182" s="1">
        <v>0</v>
      </c>
      <c r="AU182" s="1" t="s">
        <v>69</v>
      </c>
      <c r="AV182" s="1" t="s">
        <v>83</v>
      </c>
      <c r="AW182" s="1" t="s">
        <v>96</v>
      </c>
      <c r="AX182" s="1">
        <v>0</v>
      </c>
      <c r="AY182" s="1">
        <v>0</v>
      </c>
      <c r="AZ182" s="1" t="s">
        <v>248</v>
      </c>
      <c r="BA182" s="1" t="s">
        <v>79</v>
      </c>
      <c r="BB182" s="1" t="s">
        <v>1249</v>
      </c>
      <c r="BC182" s="1" t="s">
        <v>112</v>
      </c>
      <c r="BD182" s="1" t="s">
        <v>248</v>
      </c>
      <c r="BE182" s="1" t="s">
        <v>79</v>
      </c>
      <c r="BF182" s="5" t="s">
        <v>83</v>
      </c>
    </row>
    <row r="183" spans="1:58" x14ac:dyDescent="0.35">
      <c r="A183" s="4">
        <v>182</v>
      </c>
      <c r="B183" s="1" t="s">
        <v>1250</v>
      </c>
      <c r="C183" s="1" t="s">
        <v>63</v>
      </c>
      <c r="D183" s="1" t="s">
        <v>63</v>
      </c>
      <c r="E183" s="1" t="s">
        <v>69</v>
      </c>
      <c r="F183" s="1" t="s">
        <v>69</v>
      </c>
      <c r="G183" s="1" t="s">
        <v>69</v>
      </c>
      <c r="H183" s="1" t="s">
        <v>69</v>
      </c>
      <c r="I183" s="1" t="s">
        <v>70</v>
      </c>
      <c r="J183" s="1" t="s">
        <v>271</v>
      </c>
      <c r="K183" s="1">
        <v>18</v>
      </c>
      <c r="L183" s="1" t="s">
        <v>131</v>
      </c>
      <c r="M183" s="1" t="s">
        <v>73</v>
      </c>
      <c r="N183" s="1" t="s">
        <v>133</v>
      </c>
      <c r="O183" s="1">
        <v>3</v>
      </c>
      <c r="P183" s="1">
        <v>3</v>
      </c>
      <c r="Q183" s="1">
        <f>data[[#This Row],[Nilai Kepentingan Dimensi Persyaratan]]-data[[#This Row],[Nilai Kepuasan Dimensi Persyaratan]]</f>
        <v>0</v>
      </c>
      <c r="R183" s="1">
        <v>3</v>
      </c>
      <c r="S183" s="1">
        <v>3</v>
      </c>
      <c r="T183" s="1">
        <f>data[[#This Row],[Nilai Kepentingan Dimensi Prosedur]]-data[[#This Row],[Nilai Kepuasan Dimensi Prosedur]]</f>
        <v>0</v>
      </c>
      <c r="U183" s="1">
        <v>3</v>
      </c>
      <c r="V183" s="1">
        <v>3</v>
      </c>
      <c r="W183" s="1">
        <f>data[[#This Row],[Nilai Kepentingan Dimensi Waktu Pelayanan/Penyelesaian]]-data[[#This Row],[Nilai Kepuasan Dimensi Waktu Pelayanan/Penyelesaian]]</f>
        <v>0</v>
      </c>
      <c r="X183" s="1">
        <v>3</v>
      </c>
      <c r="Y183" s="1">
        <v>3</v>
      </c>
      <c r="Z183" s="1">
        <f>data[[#This Row],[Nilai Kepentingan Dimensi Tarif/ Biaya]]-data[[#This Row],[Nilai Kepuasan Dimensi Tarif / Biaya]]</f>
        <v>0</v>
      </c>
      <c r="AA183" s="1">
        <v>3</v>
      </c>
      <c r="AB183" s="1">
        <v>3</v>
      </c>
      <c r="AC183" s="1">
        <f>data[[#This Row],[Nilai Kepentingan Dimensi Produk Spesifikasi Jenis Layanan]]-data[[#This Row],[Nilai Kepuasan Dimensi Produk Spesifikasi Jenis Layanan]]</f>
        <v>0</v>
      </c>
      <c r="AD183" s="1">
        <v>3</v>
      </c>
      <c r="AE183" s="1">
        <v>3</v>
      </c>
      <c r="AF183" s="1">
        <f>data[[#This Row],[Nilai Kepentingan Dimensi Kompetensi Pelaksana]]-data[[#This Row],[Nilai Kepuasan Dimensi Kompetensi Pelaksana]]</f>
        <v>0</v>
      </c>
      <c r="AG183" s="1">
        <v>3</v>
      </c>
      <c r="AH183" s="1">
        <v>4</v>
      </c>
      <c r="AI183" s="1">
        <f>data[[#This Row],[Nilai Kepentingan Dimensi Perilaku Pelaksana]]-data[[#This Row],[Nilai Kepuasan Dimensi Perilaku Pelaksana]]</f>
        <v>1</v>
      </c>
      <c r="AJ183" s="1">
        <v>3</v>
      </c>
      <c r="AK183" s="1">
        <v>4</v>
      </c>
      <c r="AL183" s="1">
        <f>data[[#This Row],[Nilai Kepentingan Dimensi Penanganan Pengaduan, Saran &amp; Masukan]]-data[[#This Row],[Nilai Kepuasan Dimensi Penanganan Pengaduan, Saran &amp; Masukan]]</f>
        <v>1</v>
      </c>
      <c r="AM183" s="1">
        <v>3</v>
      </c>
      <c r="AN183" s="1">
        <v>4</v>
      </c>
      <c r="AO183" s="1">
        <f>data[[#This Row],[Nilai Kepentingan Dimensi Kualitas Sarana dan Prasarana]]-data[[#This Row],[Nilai Kepuasan Dimensi Kualitas Sarana dan Prasarana]]</f>
        <v>1</v>
      </c>
      <c r="AP183" s="1">
        <v>0</v>
      </c>
      <c r="AQ183" s="1" t="s">
        <v>69</v>
      </c>
      <c r="AR183" s="1">
        <v>0</v>
      </c>
      <c r="AS183" s="1" t="s">
        <v>69</v>
      </c>
      <c r="AT183" s="1">
        <v>0</v>
      </c>
      <c r="AU183" s="1" t="s">
        <v>69</v>
      </c>
      <c r="AV183" s="1" t="s">
        <v>631</v>
      </c>
      <c r="AW183" s="1" t="s">
        <v>77</v>
      </c>
      <c r="AX183" s="1">
        <v>1</v>
      </c>
      <c r="AY183" s="1">
        <v>4</v>
      </c>
      <c r="AZ183" s="1" t="s">
        <v>1253</v>
      </c>
      <c r="BA183" s="1" t="s">
        <v>235</v>
      </c>
      <c r="BB183" s="1" t="s">
        <v>462</v>
      </c>
      <c r="BC183" s="1" t="s">
        <v>79</v>
      </c>
      <c r="BD183" s="1" t="s">
        <v>462</v>
      </c>
      <c r="BE183" s="1" t="s">
        <v>79</v>
      </c>
      <c r="BF183" s="5" t="s">
        <v>83</v>
      </c>
    </row>
    <row r="184" spans="1:58" x14ac:dyDescent="0.35">
      <c r="A184" s="4">
        <v>183</v>
      </c>
      <c r="B184" s="1" t="s">
        <v>1254</v>
      </c>
      <c r="C184" s="1" t="s">
        <v>63</v>
      </c>
      <c r="D184" s="1" t="s">
        <v>63</v>
      </c>
      <c r="E184" s="1" t="s">
        <v>69</v>
      </c>
      <c r="F184" s="1" t="s">
        <v>69</v>
      </c>
      <c r="G184" s="1" t="s">
        <v>69</v>
      </c>
      <c r="H184" s="1" t="s">
        <v>69</v>
      </c>
      <c r="I184" s="1" t="s">
        <v>106</v>
      </c>
      <c r="J184" s="1" t="s">
        <v>107</v>
      </c>
      <c r="K184" s="1">
        <v>43</v>
      </c>
      <c r="L184" s="1" t="s">
        <v>197</v>
      </c>
      <c r="M184" s="1" t="s">
        <v>73</v>
      </c>
      <c r="N184" s="1" t="s">
        <v>74</v>
      </c>
      <c r="O184" s="1">
        <v>3</v>
      </c>
      <c r="P184" s="1">
        <v>4</v>
      </c>
      <c r="Q184" s="1">
        <f>data[[#This Row],[Nilai Kepentingan Dimensi Persyaratan]]-data[[#This Row],[Nilai Kepuasan Dimensi Persyaratan]]</f>
        <v>1</v>
      </c>
      <c r="R184" s="1">
        <v>4</v>
      </c>
      <c r="S184" s="1">
        <v>4</v>
      </c>
      <c r="T184" s="1">
        <f>data[[#This Row],[Nilai Kepentingan Dimensi Prosedur]]-data[[#This Row],[Nilai Kepuasan Dimensi Prosedur]]</f>
        <v>0</v>
      </c>
      <c r="U184" s="1">
        <v>4</v>
      </c>
      <c r="V184" s="1">
        <v>4</v>
      </c>
      <c r="W184" s="1">
        <f>data[[#This Row],[Nilai Kepentingan Dimensi Waktu Pelayanan/Penyelesaian]]-data[[#This Row],[Nilai Kepuasan Dimensi Waktu Pelayanan/Penyelesaian]]</f>
        <v>0</v>
      </c>
      <c r="X184" s="1">
        <v>0</v>
      </c>
      <c r="Y184" s="1">
        <v>0</v>
      </c>
      <c r="Z184" s="1">
        <f>data[[#This Row],[Nilai Kepentingan Dimensi Tarif/ Biaya]]-data[[#This Row],[Nilai Kepuasan Dimensi Tarif / Biaya]]</f>
        <v>0</v>
      </c>
      <c r="AA184" s="1">
        <v>3</v>
      </c>
      <c r="AB184" s="1">
        <v>3</v>
      </c>
      <c r="AC184" s="1">
        <f>data[[#This Row],[Nilai Kepentingan Dimensi Produk Spesifikasi Jenis Layanan]]-data[[#This Row],[Nilai Kepuasan Dimensi Produk Spesifikasi Jenis Layanan]]</f>
        <v>0</v>
      </c>
      <c r="AD184" s="1">
        <v>4</v>
      </c>
      <c r="AE184" s="1">
        <v>4</v>
      </c>
      <c r="AF184" s="1">
        <f>data[[#This Row],[Nilai Kepentingan Dimensi Kompetensi Pelaksana]]-data[[#This Row],[Nilai Kepuasan Dimensi Kompetensi Pelaksana]]</f>
        <v>0</v>
      </c>
      <c r="AG184" s="1">
        <v>4</v>
      </c>
      <c r="AH184" s="1">
        <v>3</v>
      </c>
      <c r="AI184" s="1">
        <f>data[[#This Row],[Nilai Kepentingan Dimensi Perilaku Pelaksana]]-data[[#This Row],[Nilai Kepuasan Dimensi Perilaku Pelaksana]]</f>
        <v>-1</v>
      </c>
      <c r="AJ184" s="1">
        <v>4</v>
      </c>
      <c r="AK184" s="1">
        <v>4</v>
      </c>
      <c r="AL184" s="1">
        <f>data[[#This Row],[Nilai Kepentingan Dimensi Penanganan Pengaduan, Saran &amp; Masukan]]-data[[#This Row],[Nilai Kepuasan Dimensi Penanganan Pengaduan, Saran &amp; Masukan]]</f>
        <v>0</v>
      </c>
      <c r="AM184" s="1">
        <v>4</v>
      </c>
      <c r="AN184" s="1">
        <v>4</v>
      </c>
      <c r="AO184" s="1">
        <f>data[[#This Row],[Nilai Kepentingan Dimensi Kualitas Sarana dan Prasarana]]-data[[#This Row],[Nilai Kepuasan Dimensi Kualitas Sarana dan Prasarana]]</f>
        <v>0</v>
      </c>
      <c r="AP184" s="1">
        <v>0</v>
      </c>
      <c r="AQ184" s="1" t="s">
        <v>69</v>
      </c>
      <c r="AR184" s="1">
        <v>0</v>
      </c>
      <c r="AS184" s="1" t="s">
        <v>69</v>
      </c>
      <c r="AT184" s="1">
        <v>0</v>
      </c>
      <c r="AU184" s="1" t="s">
        <v>69</v>
      </c>
      <c r="AV184" s="1" t="s">
        <v>1223</v>
      </c>
      <c r="AW184" s="1" t="s">
        <v>186</v>
      </c>
      <c r="AX184" s="1">
        <v>1</v>
      </c>
      <c r="AY184" s="1">
        <v>4</v>
      </c>
      <c r="AZ184" s="1" t="s">
        <v>1257</v>
      </c>
      <c r="BA184" s="1" t="s">
        <v>112</v>
      </c>
      <c r="BB184" s="1" t="s">
        <v>857</v>
      </c>
      <c r="BC184" s="1" t="s">
        <v>79</v>
      </c>
      <c r="BD184" s="1" t="s">
        <v>555</v>
      </c>
      <c r="BE184" s="1" t="s">
        <v>79</v>
      </c>
      <c r="BF184" s="5" t="s">
        <v>83</v>
      </c>
    </row>
    <row r="185" spans="1:58" x14ac:dyDescent="0.35">
      <c r="A185" s="4">
        <v>184</v>
      </c>
      <c r="B185" s="1" t="s">
        <v>1258</v>
      </c>
      <c r="C185" s="1" t="s">
        <v>63</v>
      </c>
      <c r="D185" s="1" t="s">
        <v>397</v>
      </c>
      <c r="E185" s="1" t="s">
        <v>69</v>
      </c>
      <c r="F185" s="1" t="s">
        <v>69</v>
      </c>
      <c r="G185" s="1" t="s">
        <v>69</v>
      </c>
      <c r="H185" s="1" t="s">
        <v>69</v>
      </c>
      <c r="I185" s="1" t="s">
        <v>106</v>
      </c>
      <c r="J185" s="1" t="s">
        <v>292</v>
      </c>
      <c r="K185" s="1">
        <v>18</v>
      </c>
      <c r="L185" s="1" t="s">
        <v>131</v>
      </c>
      <c r="M185" s="1" t="s">
        <v>273</v>
      </c>
      <c r="N185" s="1" t="s">
        <v>133</v>
      </c>
      <c r="O185" s="1">
        <v>4</v>
      </c>
      <c r="P185" s="1">
        <v>4</v>
      </c>
      <c r="Q185" s="1">
        <f>data[[#This Row],[Nilai Kepentingan Dimensi Persyaratan]]-data[[#This Row],[Nilai Kepuasan Dimensi Persyaratan]]</f>
        <v>0</v>
      </c>
      <c r="R185" s="1">
        <v>3</v>
      </c>
      <c r="S185" s="1">
        <v>3</v>
      </c>
      <c r="T185" s="1">
        <f>data[[#This Row],[Nilai Kepentingan Dimensi Prosedur]]-data[[#This Row],[Nilai Kepuasan Dimensi Prosedur]]</f>
        <v>0</v>
      </c>
      <c r="U185" s="1">
        <v>4</v>
      </c>
      <c r="V185" s="1">
        <v>4</v>
      </c>
      <c r="W185" s="1">
        <f>data[[#This Row],[Nilai Kepentingan Dimensi Waktu Pelayanan/Penyelesaian]]-data[[#This Row],[Nilai Kepuasan Dimensi Waktu Pelayanan/Penyelesaian]]</f>
        <v>0</v>
      </c>
      <c r="X185" s="1">
        <v>4</v>
      </c>
      <c r="Y185" s="1">
        <v>4</v>
      </c>
      <c r="Z185" s="1">
        <f>data[[#This Row],[Nilai Kepentingan Dimensi Tarif/ Biaya]]-data[[#This Row],[Nilai Kepuasan Dimensi Tarif / Biaya]]</f>
        <v>0</v>
      </c>
      <c r="AA185" s="1">
        <v>4</v>
      </c>
      <c r="AB185" s="1">
        <v>4</v>
      </c>
      <c r="AC185" s="1">
        <f>data[[#This Row],[Nilai Kepentingan Dimensi Produk Spesifikasi Jenis Layanan]]-data[[#This Row],[Nilai Kepuasan Dimensi Produk Spesifikasi Jenis Layanan]]</f>
        <v>0</v>
      </c>
      <c r="AD185" s="1">
        <v>4</v>
      </c>
      <c r="AE185" s="1">
        <v>4</v>
      </c>
      <c r="AF185" s="1">
        <f>data[[#This Row],[Nilai Kepentingan Dimensi Kompetensi Pelaksana]]-data[[#This Row],[Nilai Kepuasan Dimensi Kompetensi Pelaksana]]</f>
        <v>0</v>
      </c>
      <c r="AG185" s="1">
        <v>4</v>
      </c>
      <c r="AH185" s="1">
        <v>4</v>
      </c>
      <c r="AI185" s="1">
        <f>data[[#This Row],[Nilai Kepentingan Dimensi Perilaku Pelaksana]]-data[[#This Row],[Nilai Kepuasan Dimensi Perilaku Pelaksana]]</f>
        <v>0</v>
      </c>
      <c r="AJ185" s="1">
        <v>4</v>
      </c>
      <c r="AK185" s="1">
        <v>4</v>
      </c>
      <c r="AL185" s="1">
        <f>data[[#This Row],[Nilai Kepentingan Dimensi Penanganan Pengaduan, Saran &amp; Masukan]]-data[[#This Row],[Nilai Kepuasan Dimensi Penanganan Pengaduan, Saran &amp; Masukan]]</f>
        <v>0</v>
      </c>
      <c r="AM185" s="1">
        <v>4</v>
      </c>
      <c r="AN185" s="1">
        <v>4</v>
      </c>
      <c r="AO185" s="1">
        <f>data[[#This Row],[Nilai Kepentingan Dimensi Kualitas Sarana dan Prasarana]]-data[[#This Row],[Nilai Kepuasan Dimensi Kualitas Sarana dan Prasarana]]</f>
        <v>0</v>
      </c>
      <c r="AP185" s="1">
        <v>4</v>
      </c>
      <c r="AQ185" s="1" t="s">
        <v>75</v>
      </c>
      <c r="AR185" s="1">
        <v>0</v>
      </c>
      <c r="AS185" s="1" t="s">
        <v>69</v>
      </c>
      <c r="AT185" s="1">
        <v>0</v>
      </c>
      <c r="AU185" s="1" t="s">
        <v>69</v>
      </c>
      <c r="AV185" s="1" t="s">
        <v>83</v>
      </c>
      <c r="AW185" s="1" t="s">
        <v>96</v>
      </c>
      <c r="AX185" s="1">
        <v>0</v>
      </c>
      <c r="AY185" s="1">
        <v>0</v>
      </c>
      <c r="AZ185" s="1" t="s">
        <v>442</v>
      </c>
      <c r="BA185" s="1" t="s">
        <v>79</v>
      </c>
      <c r="BB185" s="1" t="s">
        <v>442</v>
      </c>
      <c r="BC185" s="1" t="s">
        <v>79</v>
      </c>
      <c r="BD185" s="1" t="s">
        <v>442</v>
      </c>
      <c r="BE185" s="1" t="s">
        <v>79</v>
      </c>
      <c r="BF185" s="5" t="s">
        <v>83</v>
      </c>
    </row>
    <row r="186" spans="1:58" x14ac:dyDescent="0.35">
      <c r="A186" s="4">
        <v>185</v>
      </c>
      <c r="B186" s="1" t="s">
        <v>1263</v>
      </c>
      <c r="C186" s="1" t="s">
        <v>63</v>
      </c>
      <c r="D186" s="1" t="s">
        <v>179</v>
      </c>
      <c r="E186" s="1" t="s">
        <v>69</v>
      </c>
      <c r="F186" s="1" t="s">
        <v>69</v>
      </c>
      <c r="G186" s="1" t="s">
        <v>69</v>
      </c>
      <c r="H186" s="1" t="s">
        <v>69</v>
      </c>
      <c r="I186" s="1" t="s">
        <v>106</v>
      </c>
      <c r="J186" s="1" t="s">
        <v>292</v>
      </c>
      <c r="K186" s="1">
        <v>18</v>
      </c>
      <c r="L186" s="1" t="s">
        <v>131</v>
      </c>
      <c r="M186" s="1" t="s">
        <v>73</v>
      </c>
      <c r="N186" s="1" t="s">
        <v>95</v>
      </c>
      <c r="O186" s="1">
        <v>3</v>
      </c>
      <c r="P186" s="1">
        <v>3</v>
      </c>
      <c r="Q186" s="1">
        <f>data[[#This Row],[Nilai Kepentingan Dimensi Persyaratan]]-data[[#This Row],[Nilai Kepuasan Dimensi Persyaratan]]</f>
        <v>0</v>
      </c>
      <c r="R186" s="1">
        <v>3</v>
      </c>
      <c r="S186" s="1">
        <v>3</v>
      </c>
      <c r="T186" s="1">
        <f>data[[#This Row],[Nilai Kepentingan Dimensi Prosedur]]-data[[#This Row],[Nilai Kepuasan Dimensi Prosedur]]</f>
        <v>0</v>
      </c>
      <c r="U186" s="1">
        <v>3</v>
      </c>
      <c r="V186" s="1">
        <v>3</v>
      </c>
      <c r="W186" s="1">
        <f>data[[#This Row],[Nilai Kepentingan Dimensi Waktu Pelayanan/Penyelesaian]]-data[[#This Row],[Nilai Kepuasan Dimensi Waktu Pelayanan/Penyelesaian]]</f>
        <v>0</v>
      </c>
      <c r="X186" s="1">
        <v>3</v>
      </c>
      <c r="Y186" s="1">
        <v>3</v>
      </c>
      <c r="Z186" s="1">
        <f>data[[#This Row],[Nilai Kepentingan Dimensi Tarif/ Biaya]]-data[[#This Row],[Nilai Kepuasan Dimensi Tarif / Biaya]]</f>
        <v>0</v>
      </c>
      <c r="AA186" s="1">
        <v>3</v>
      </c>
      <c r="AB186" s="1">
        <v>3</v>
      </c>
      <c r="AC186" s="1">
        <f>data[[#This Row],[Nilai Kepentingan Dimensi Produk Spesifikasi Jenis Layanan]]-data[[#This Row],[Nilai Kepuasan Dimensi Produk Spesifikasi Jenis Layanan]]</f>
        <v>0</v>
      </c>
      <c r="AD186" s="1">
        <v>4</v>
      </c>
      <c r="AE186" s="1">
        <v>4</v>
      </c>
      <c r="AF186" s="1">
        <f>data[[#This Row],[Nilai Kepentingan Dimensi Kompetensi Pelaksana]]-data[[#This Row],[Nilai Kepuasan Dimensi Kompetensi Pelaksana]]</f>
        <v>0</v>
      </c>
      <c r="AG186" s="1">
        <v>3</v>
      </c>
      <c r="AH186" s="1">
        <v>3</v>
      </c>
      <c r="AI186" s="1">
        <f>data[[#This Row],[Nilai Kepentingan Dimensi Perilaku Pelaksana]]-data[[#This Row],[Nilai Kepuasan Dimensi Perilaku Pelaksana]]</f>
        <v>0</v>
      </c>
      <c r="AJ186" s="1">
        <v>3</v>
      </c>
      <c r="AK186" s="1">
        <v>3</v>
      </c>
      <c r="AL186" s="1">
        <f>data[[#This Row],[Nilai Kepentingan Dimensi Penanganan Pengaduan, Saran &amp; Masukan]]-data[[#This Row],[Nilai Kepuasan Dimensi Penanganan Pengaduan, Saran &amp; Masukan]]</f>
        <v>0</v>
      </c>
      <c r="AM186" s="1">
        <v>4</v>
      </c>
      <c r="AN186" s="1">
        <v>4</v>
      </c>
      <c r="AO186" s="1">
        <f>data[[#This Row],[Nilai Kepentingan Dimensi Kualitas Sarana dan Prasarana]]-data[[#This Row],[Nilai Kepuasan Dimensi Kualitas Sarana dan Prasarana]]</f>
        <v>0</v>
      </c>
      <c r="AP186" s="1">
        <v>0</v>
      </c>
      <c r="AQ186" s="1" t="s">
        <v>69</v>
      </c>
      <c r="AR186" s="1">
        <v>3</v>
      </c>
      <c r="AS186" s="1" t="s">
        <v>75</v>
      </c>
      <c r="AT186" s="1">
        <v>0</v>
      </c>
      <c r="AU186" s="1" t="s">
        <v>69</v>
      </c>
      <c r="AV186" s="1" t="s">
        <v>83</v>
      </c>
      <c r="AW186" s="1" t="s">
        <v>96</v>
      </c>
      <c r="AX186" s="1">
        <v>0</v>
      </c>
      <c r="AY186" s="1">
        <v>0</v>
      </c>
      <c r="AZ186" s="1" t="s">
        <v>503</v>
      </c>
      <c r="BA186" s="1" t="s">
        <v>79</v>
      </c>
      <c r="BB186" s="1" t="s">
        <v>503</v>
      </c>
      <c r="BC186" s="1" t="s">
        <v>79</v>
      </c>
      <c r="BD186" s="1" t="s">
        <v>503</v>
      </c>
      <c r="BE186" s="1" t="s">
        <v>79</v>
      </c>
      <c r="BF186" s="5" t="s">
        <v>83</v>
      </c>
    </row>
    <row r="187" spans="1:58" x14ac:dyDescent="0.35">
      <c r="A187" s="4">
        <v>186</v>
      </c>
      <c r="B187" s="1" t="s">
        <v>1267</v>
      </c>
      <c r="C187" s="1" t="s">
        <v>63</v>
      </c>
      <c r="D187" s="1" t="s">
        <v>240</v>
      </c>
      <c r="E187" s="1" t="s">
        <v>69</v>
      </c>
      <c r="F187" s="1" t="s">
        <v>69</v>
      </c>
      <c r="G187" s="1" t="s">
        <v>69</v>
      </c>
      <c r="H187" s="1" t="s">
        <v>69</v>
      </c>
      <c r="I187" s="1" t="s">
        <v>106</v>
      </c>
      <c r="J187" s="1" t="s">
        <v>292</v>
      </c>
      <c r="K187" s="1">
        <v>32</v>
      </c>
      <c r="L187" s="1" t="s">
        <v>109</v>
      </c>
      <c r="M187" s="1" t="s">
        <v>73</v>
      </c>
      <c r="N187" s="1" t="s">
        <v>74</v>
      </c>
      <c r="O187" s="1">
        <v>3</v>
      </c>
      <c r="P187" s="1">
        <v>3</v>
      </c>
      <c r="Q187" s="1">
        <f>data[[#This Row],[Nilai Kepentingan Dimensi Persyaratan]]-data[[#This Row],[Nilai Kepuasan Dimensi Persyaratan]]</f>
        <v>0</v>
      </c>
      <c r="R187" s="1">
        <v>2</v>
      </c>
      <c r="S187" s="1">
        <v>2</v>
      </c>
      <c r="T187" s="1">
        <f>data[[#This Row],[Nilai Kepentingan Dimensi Prosedur]]-data[[#This Row],[Nilai Kepuasan Dimensi Prosedur]]</f>
        <v>0</v>
      </c>
      <c r="U187" s="1">
        <v>2</v>
      </c>
      <c r="V187" s="1">
        <v>2</v>
      </c>
      <c r="W187" s="1">
        <f>data[[#This Row],[Nilai Kepentingan Dimensi Waktu Pelayanan/Penyelesaian]]-data[[#This Row],[Nilai Kepuasan Dimensi Waktu Pelayanan/Penyelesaian]]</f>
        <v>0</v>
      </c>
      <c r="X187" s="1">
        <v>2</v>
      </c>
      <c r="Y187" s="1">
        <v>2</v>
      </c>
      <c r="Z187" s="1">
        <f>data[[#This Row],[Nilai Kepentingan Dimensi Tarif/ Biaya]]-data[[#This Row],[Nilai Kepuasan Dimensi Tarif / Biaya]]</f>
        <v>0</v>
      </c>
      <c r="AA187" s="1">
        <v>3</v>
      </c>
      <c r="AB187" s="1">
        <v>3</v>
      </c>
      <c r="AC187" s="1">
        <f>data[[#This Row],[Nilai Kepentingan Dimensi Produk Spesifikasi Jenis Layanan]]-data[[#This Row],[Nilai Kepuasan Dimensi Produk Spesifikasi Jenis Layanan]]</f>
        <v>0</v>
      </c>
      <c r="AD187" s="1">
        <v>2</v>
      </c>
      <c r="AE187" s="1">
        <v>2</v>
      </c>
      <c r="AF187" s="1">
        <f>data[[#This Row],[Nilai Kepentingan Dimensi Kompetensi Pelaksana]]-data[[#This Row],[Nilai Kepuasan Dimensi Kompetensi Pelaksana]]</f>
        <v>0</v>
      </c>
      <c r="AG187" s="1">
        <v>3</v>
      </c>
      <c r="AH187" s="1">
        <v>3</v>
      </c>
      <c r="AI187" s="1">
        <f>data[[#This Row],[Nilai Kepentingan Dimensi Perilaku Pelaksana]]-data[[#This Row],[Nilai Kepuasan Dimensi Perilaku Pelaksana]]</f>
        <v>0</v>
      </c>
      <c r="AJ187" s="1">
        <v>3</v>
      </c>
      <c r="AK187" s="1">
        <v>3</v>
      </c>
      <c r="AL187" s="1">
        <f>data[[#This Row],[Nilai Kepentingan Dimensi Penanganan Pengaduan, Saran &amp; Masukan]]-data[[#This Row],[Nilai Kepuasan Dimensi Penanganan Pengaduan, Saran &amp; Masukan]]</f>
        <v>0</v>
      </c>
      <c r="AM187" s="1">
        <v>3</v>
      </c>
      <c r="AN187" s="1">
        <v>3</v>
      </c>
      <c r="AO187" s="1">
        <f>data[[#This Row],[Nilai Kepentingan Dimensi Kualitas Sarana dan Prasarana]]-data[[#This Row],[Nilai Kepuasan Dimensi Kualitas Sarana dan Prasarana]]</f>
        <v>0</v>
      </c>
      <c r="AP187" s="1">
        <v>3</v>
      </c>
      <c r="AQ187" s="1" t="s">
        <v>75</v>
      </c>
      <c r="AR187" s="1">
        <v>0</v>
      </c>
      <c r="AS187" s="1" t="s">
        <v>69</v>
      </c>
      <c r="AT187" s="1">
        <v>0</v>
      </c>
      <c r="AU187" s="1" t="s">
        <v>69</v>
      </c>
      <c r="AV187" s="1" t="s">
        <v>83</v>
      </c>
      <c r="AW187" s="1" t="s">
        <v>96</v>
      </c>
      <c r="AX187" s="1">
        <v>0</v>
      </c>
      <c r="AY187" s="1">
        <v>0</v>
      </c>
      <c r="AZ187" s="1" t="s">
        <v>1271</v>
      </c>
      <c r="BA187" s="1" t="s">
        <v>235</v>
      </c>
      <c r="BB187" s="1" t="s">
        <v>1272</v>
      </c>
      <c r="BC187" s="1" t="s">
        <v>157</v>
      </c>
      <c r="BD187" s="1" t="s">
        <v>442</v>
      </c>
      <c r="BE187" s="1" t="s">
        <v>79</v>
      </c>
      <c r="BF187" s="5" t="s">
        <v>83</v>
      </c>
    </row>
    <row r="188" spans="1:58" x14ac:dyDescent="0.35">
      <c r="A188" s="4">
        <v>187</v>
      </c>
      <c r="B188" s="1" t="s">
        <v>1273</v>
      </c>
      <c r="C188" s="1" t="s">
        <v>63</v>
      </c>
      <c r="D188" s="1" t="s">
        <v>1275</v>
      </c>
      <c r="E188" s="1" t="s">
        <v>69</v>
      </c>
      <c r="F188" s="1" t="s">
        <v>69</v>
      </c>
      <c r="G188" s="1" t="s">
        <v>69</v>
      </c>
      <c r="H188" s="1" t="s">
        <v>69</v>
      </c>
      <c r="I188" s="1" t="s">
        <v>70</v>
      </c>
      <c r="J188" s="1" t="s">
        <v>271</v>
      </c>
      <c r="K188" s="1">
        <v>27</v>
      </c>
      <c r="L188" s="1" t="s">
        <v>92</v>
      </c>
      <c r="M188" s="1" t="s">
        <v>254</v>
      </c>
      <c r="N188" s="1" t="s">
        <v>74</v>
      </c>
      <c r="O188" s="1">
        <v>3</v>
      </c>
      <c r="P188" s="1">
        <v>3</v>
      </c>
      <c r="Q188" s="1">
        <f>data[[#This Row],[Nilai Kepentingan Dimensi Persyaratan]]-data[[#This Row],[Nilai Kepuasan Dimensi Persyaratan]]</f>
        <v>0</v>
      </c>
      <c r="R188" s="1">
        <v>3</v>
      </c>
      <c r="S188" s="1">
        <v>3</v>
      </c>
      <c r="T188" s="1">
        <f>data[[#This Row],[Nilai Kepentingan Dimensi Prosedur]]-data[[#This Row],[Nilai Kepuasan Dimensi Prosedur]]</f>
        <v>0</v>
      </c>
      <c r="U188" s="1">
        <v>3</v>
      </c>
      <c r="V188" s="1">
        <v>3</v>
      </c>
      <c r="W188" s="1">
        <f>data[[#This Row],[Nilai Kepentingan Dimensi Waktu Pelayanan/Penyelesaian]]-data[[#This Row],[Nilai Kepuasan Dimensi Waktu Pelayanan/Penyelesaian]]</f>
        <v>0</v>
      </c>
      <c r="X188" s="1">
        <v>3</v>
      </c>
      <c r="Y188" s="1">
        <v>3</v>
      </c>
      <c r="Z188" s="1">
        <f>data[[#This Row],[Nilai Kepentingan Dimensi Tarif/ Biaya]]-data[[#This Row],[Nilai Kepuasan Dimensi Tarif / Biaya]]</f>
        <v>0</v>
      </c>
      <c r="AA188" s="1">
        <v>3</v>
      </c>
      <c r="AB188" s="1">
        <v>3</v>
      </c>
      <c r="AC188" s="1">
        <f>data[[#This Row],[Nilai Kepentingan Dimensi Produk Spesifikasi Jenis Layanan]]-data[[#This Row],[Nilai Kepuasan Dimensi Produk Spesifikasi Jenis Layanan]]</f>
        <v>0</v>
      </c>
      <c r="AD188" s="1">
        <v>3</v>
      </c>
      <c r="AE188" s="1">
        <v>3</v>
      </c>
      <c r="AF188" s="1">
        <f>data[[#This Row],[Nilai Kepentingan Dimensi Kompetensi Pelaksana]]-data[[#This Row],[Nilai Kepuasan Dimensi Kompetensi Pelaksana]]</f>
        <v>0</v>
      </c>
      <c r="AG188" s="1">
        <v>3</v>
      </c>
      <c r="AH188" s="1">
        <v>3</v>
      </c>
      <c r="AI188" s="1">
        <f>data[[#This Row],[Nilai Kepentingan Dimensi Perilaku Pelaksana]]-data[[#This Row],[Nilai Kepuasan Dimensi Perilaku Pelaksana]]</f>
        <v>0</v>
      </c>
      <c r="AJ188" s="1">
        <v>3</v>
      </c>
      <c r="AK188" s="1">
        <v>3</v>
      </c>
      <c r="AL188" s="1">
        <f>data[[#This Row],[Nilai Kepentingan Dimensi Penanganan Pengaduan, Saran &amp; Masukan]]-data[[#This Row],[Nilai Kepuasan Dimensi Penanganan Pengaduan, Saran &amp; Masukan]]</f>
        <v>0</v>
      </c>
      <c r="AM188" s="1">
        <v>3</v>
      </c>
      <c r="AN188" s="1">
        <v>3</v>
      </c>
      <c r="AO188" s="1">
        <f>data[[#This Row],[Nilai Kepentingan Dimensi Kualitas Sarana dan Prasarana]]-data[[#This Row],[Nilai Kepuasan Dimensi Kualitas Sarana dan Prasarana]]</f>
        <v>0</v>
      </c>
      <c r="AP188" s="1">
        <v>0</v>
      </c>
      <c r="AQ188" s="1" t="s">
        <v>69</v>
      </c>
      <c r="AR188" s="1">
        <v>0</v>
      </c>
      <c r="AS188" s="1" t="s">
        <v>69</v>
      </c>
      <c r="AT188" s="1">
        <v>0</v>
      </c>
      <c r="AU188" s="1" t="s">
        <v>69</v>
      </c>
      <c r="AV188" s="1" t="s">
        <v>1278</v>
      </c>
      <c r="AW188" s="1" t="s">
        <v>186</v>
      </c>
      <c r="AX188" s="1">
        <v>2</v>
      </c>
      <c r="AY188" s="1">
        <v>3</v>
      </c>
      <c r="AZ188" s="1" t="s">
        <v>442</v>
      </c>
      <c r="BA188" s="1" t="s">
        <v>79</v>
      </c>
      <c r="BB188" s="1" t="s">
        <v>442</v>
      </c>
      <c r="BC188" s="1" t="s">
        <v>79</v>
      </c>
      <c r="BD188" s="1" t="s">
        <v>1279</v>
      </c>
      <c r="BE188" s="1" t="s">
        <v>146</v>
      </c>
      <c r="BF188" s="5" t="s">
        <v>83</v>
      </c>
    </row>
    <row r="189" spans="1:58" x14ac:dyDescent="0.35">
      <c r="A189" s="4">
        <v>188</v>
      </c>
      <c r="B189" s="1" t="s">
        <v>1280</v>
      </c>
      <c r="C189" s="1" t="s">
        <v>63</v>
      </c>
      <c r="D189" s="1" t="s">
        <v>397</v>
      </c>
      <c r="E189" s="1" t="s">
        <v>69</v>
      </c>
      <c r="F189" s="1" t="s">
        <v>69</v>
      </c>
      <c r="G189" s="1" t="s">
        <v>69</v>
      </c>
      <c r="H189" s="1" t="s">
        <v>69</v>
      </c>
      <c r="I189" s="1" t="s">
        <v>106</v>
      </c>
      <c r="J189" s="1" t="s">
        <v>271</v>
      </c>
      <c r="K189" s="1">
        <v>33</v>
      </c>
      <c r="L189" s="1" t="s">
        <v>109</v>
      </c>
      <c r="M189" s="1" t="s">
        <v>73</v>
      </c>
      <c r="N189" s="1" t="s">
        <v>74</v>
      </c>
      <c r="O189" s="1">
        <v>4</v>
      </c>
      <c r="P189" s="1">
        <v>4</v>
      </c>
      <c r="Q189" s="1">
        <f>data[[#This Row],[Nilai Kepentingan Dimensi Persyaratan]]-data[[#This Row],[Nilai Kepuasan Dimensi Persyaratan]]</f>
        <v>0</v>
      </c>
      <c r="R189" s="1">
        <v>4</v>
      </c>
      <c r="S189" s="1">
        <v>4</v>
      </c>
      <c r="T189" s="1">
        <f>data[[#This Row],[Nilai Kepentingan Dimensi Prosedur]]-data[[#This Row],[Nilai Kepuasan Dimensi Prosedur]]</f>
        <v>0</v>
      </c>
      <c r="U189" s="1">
        <v>3</v>
      </c>
      <c r="V189" s="1">
        <v>3</v>
      </c>
      <c r="W189" s="1">
        <f>data[[#This Row],[Nilai Kepentingan Dimensi Waktu Pelayanan/Penyelesaian]]-data[[#This Row],[Nilai Kepuasan Dimensi Waktu Pelayanan/Penyelesaian]]</f>
        <v>0</v>
      </c>
      <c r="X189" s="1">
        <v>4</v>
      </c>
      <c r="Y189" s="1">
        <v>4</v>
      </c>
      <c r="Z189" s="1">
        <f>data[[#This Row],[Nilai Kepentingan Dimensi Tarif/ Biaya]]-data[[#This Row],[Nilai Kepuasan Dimensi Tarif / Biaya]]</f>
        <v>0</v>
      </c>
      <c r="AA189" s="1">
        <v>4</v>
      </c>
      <c r="AB189" s="1">
        <v>4</v>
      </c>
      <c r="AC189" s="1">
        <f>data[[#This Row],[Nilai Kepentingan Dimensi Produk Spesifikasi Jenis Layanan]]-data[[#This Row],[Nilai Kepuasan Dimensi Produk Spesifikasi Jenis Layanan]]</f>
        <v>0</v>
      </c>
      <c r="AD189" s="1">
        <v>4</v>
      </c>
      <c r="AE189" s="1">
        <v>4</v>
      </c>
      <c r="AF189" s="1">
        <f>data[[#This Row],[Nilai Kepentingan Dimensi Kompetensi Pelaksana]]-data[[#This Row],[Nilai Kepuasan Dimensi Kompetensi Pelaksana]]</f>
        <v>0</v>
      </c>
      <c r="AG189" s="1">
        <v>4</v>
      </c>
      <c r="AH189" s="1">
        <v>4</v>
      </c>
      <c r="AI189" s="1">
        <f>data[[#This Row],[Nilai Kepentingan Dimensi Perilaku Pelaksana]]-data[[#This Row],[Nilai Kepuasan Dimensi Perilaku Pelaksana]]</f>
        <v>0</v>
      </c>
      <c r="AJ189" s="1">
        <v>3</v>
      </c>
      <c r="AK189" s="1">
        <v>3</v>
      </c>
      <c r="AL189" s="1">
        <f>data[[#This Row],[Nilai Kepentingan Dimensi Penanganan Pengaduan, Saran &amp; Masukan]]-data[[#This Row],[Nilai Kepuasan Dimensi Penanganan Pengaduan, Saran &amp; Masukan]]</f>
        <v>0</v>
      </c>
      <c r="AM189" s="1">
        <v>4</v>
      </c>
      <c r="AN189" s="1">
        <v>4</v>
      </c>
      <c r="AO189" s="1">
        <f>data[[#This Row],[Nilai Kepentingan Dimensi Kualitas Sarana dan Prasarana]]-data[[#This Row],[Nilai Kepuasan Dimensi Kualitas Sarana dan Prasarana]]</f>
        <v>0</v>
      </c>
      <c r="AP189" s="1">
        <v>3</v>
      </c>
      <c r="AQ189" s="1" t="s">
        <v>75</v>
      </c>
      <c r="AR189" s="1">
        <v>0</v>
      </c>
      <c r="AS189" s="1" t="s">
        <v>69</v>
      </c>
      <c r="AT189" s="1">
        <v>0</v>
      </c>
      <c r="AU189" s="1" t="s">
        <v>69</v>
      </c>
      <c r="AV189" s="1" t="s">
        <v>83</v>
      </c>
      <c r="AW189" s="1" t="s">
        <v>96</v>
      </c>
      <c r="AX189" s="1">
        <v>0</v>
      </c>
      <c r="AY189" s="1">
        <v>0</v>
      </c>
      <c r="AZ189" s="1" t="s">
        <v>442</v>
      </c>
      <c r="BA189" s="1" t="s">
        <v>79</v>
      </c>
      <c r="BB189" s="1" t="s">
        <v>442</v>
      </c>
      <c r="BC189" s="1" t="s">
        <v>79</v>
      </c>
      <c r="BD189" s="1" t="s">
        <v>442</v>
      </c>
      <c r="BE189" s="1" t="s">
        <v>79</v>
      </c>
      <c r="BF189" s="5" t="s">
        <v>83</v>
      </c>
    </row>
    <row r="190" spans="1:58" x14ac:dyDescent="0.35">
      <c r="A190" s="4">
        <v>189</v>
      </c>
      <c r="B190" s="1" t="s">
        <v>1284</v>
      </c>
      <c r="C190" s="1" t="s">
        <v>63</v>
      </c>
      <c r="D190" s="1" t="s">
        <v>63</v>
      </c>
      <c r="E190" s="1" t="s">
        <v>69</v>
      </c>
      <c r="F190" s="1" t="s">
        <v>69</v>
      </c>
      <c r="G190" s="1" t="s">
        <v>69</v>
      </c>
      <c r="H190" s="1" t="s">
        <v>69</v>
      </c>
      <c r="I190" s="1" t="s">
        <v>70</v>
      </c>
      <c r="J190" s="1" t="s">
        <v>271</v>
      </c>
      <c r="K190" s="1">
        <v>18</v>
      </c>
      <c r="L190" s="1" t="s">
        <v>131</v>
      </c>
      <c r="M190" s="1" t="s">
        <v>73</v>
      </c>
      <c r="N190" s="1" t="s">
        <v>95</v>
      </c>
      <c r="O190" s="1">
        <v>3</v>
      </c>
      <c r="P190" s="1">
        <v>3</v>
      </c>
      <c r="Q190" s="1">
        <f>data[[#This Row],[Nilai Kepentingan Dimensi Persyaratan]]-data[[#This Row],[Nilai Kepuasan Dimensi Persyaratan]]</f>
        <v>0</v>
      </c>
      <c r="R190" s="1">
        <v>4</v>
      </c>
      <c r="S190" s="1">
        <v>4</v>
      </c>
      <c r="T190" s="1">
        <f>data[[#This Row],[Nilai Kepentingan Dimensi Prosedur]]-data[[#This Row],[Nilai Kepuasan Dimensi Prosedur]]</f>
        <v>0</v>
      </c>
      <c r="U190" s="1">
        <v>3</v>
      </c>
      <c r="V190" s="1">
        <v>3</v>
      </c>
      <c r="W190" s="1">
        <f>data[[#This Row],[Nilai Kepentingan Dimensi Waktu Pelayanan/Penyelesaian]]-data[[#This Row],[Nilai Kepuasan Dimensi Waktu Pelayanan/Penyelesaian]]</f>
        <v>0</v>
      </c>
      <c r="X190" s="1">
        <v>4</v>
      </c>
      <c r="Y190" s="1">
        <v>4</v>
      </c>
      <c r="Z190" s="1">
        <f>data[[#This Row],[Nilai Kepentingan Dimensi Tarif/ Biaya]]-data[[#This Row],[Nilai Kepuasan Dimensi Tarif / Biaya]]</f>
        <v>0</v>
      </c>
      <c r="AA190" s="1">
        <v>4</v>
      </c>
      <c r="AB190" s="1">
        <v>4</v>
      </c>
      <c r="AC190" s="1">
        <f>data[[#This Row],[Nilai Kepentingan Dimensi Produk Spesifikasi Jenis Layanan]]-data[[#This Row],[Nilai Kepuasan Dimensi Produk Spesifikasi Jenis Layanan]]</f>
        <v>0</v>
      </c>
      <c r="AD190" s="1">
        <v>4</v>
      </c>
      <c r="AE190" s="1">
        <v>4</v>
      </c>
      <c r="AF190" s="1">
        <f>data[[#This Row],[Nilai Kepentingan Dimensi Kompetensi Pelaksana]]-data[[#This Row],[Nilai Kepuasan Dimensi Kompetensi Pelaksana]]</f>
        <v>0</v>
      </c>
      <c r="AG190" s="1">
        <v>4</v>
      </c>
      <c r="AH190" s="1">
        <v>4</v>
      </c>
      <c r="AI190" s="1">
        <f>data[[#This Row],[Nilai Kepentingan Dimensi Perilaku Pelaksana]]-data[[#This Row],[Nilai Kepuasan Dimensi Perilaku Pelaksana]]</f>
        <v>0</v>
      </c>
      <c r="AJ190" s="1">
        <v>4</v>
      </c>
      <c r="AK190" s="1">
        <v>4</v>
      </c>
      <c r="AL190" s="1">
        <f>data[[#This Row],[Nilai Kepentingan Dimensi Penanganan Pengaduan, Saran &amp; Masukan]]-data[[#This Row],[Nilai Kepuasan Dimensi Penanganan Pengaduan, Saran &amp; Masukan]]</f>
        <v>0</v>
      </c>
      <c r="AM190" s="1">
        <v>4</v>
      </c>
      <c r="AN190" s="1">
        <v>4</v>
      </c>
      <c r="AO190" s="1">
        <f>data[[#This Row],[Nilai Kepentingan Dimensi Kualitas Sarana dan Prasarana]]-data[[#This Row],[Nilai Kepuasan Dimensi Kualitas Sarana dan Prasarana]]</f>
        <v>0</v>
      </c>
      <c r="AP190" s="1">
        <v>0</v>
      </c>
      <c r="AQ190" s="1" t="s">
        <v>69</v>
      </c>
      <c r="AR190" s="1">
        <v>0</v>
      </c>
      <c r="AS190" s="1" t="s">
        <v>69</v>
      </c>
      <c r="AT190" s="1">
        <v>3</v>
      </c>
      <c r="AU190" s="1" t="s">
        <v>69</v>
      </c>
      <c r="AV190" s="1" t="s">
        <v>83</v>
      </c>
      <c r="AW190" s="1" t="s">
        <v>96</v>
      </c>
      <c r="AX190" s="1">
        <v>0</v>
      </c>
      <c r="AY190" s="1">
        <v>0</v>
      </c>
      <c r="AZ190" s="1" t="s">
        <v>442</v>
      </c>
      <c r="BA190" s="1" t="s">
        <v>79</v>
      </c>
      <c r="BB190" s="1" t="s">
        <v>442</v>
      </c>
      <c r="BC190" s="1" t="s">
        <v>79</v>
      </c>
      <c r="BD190" s="1" t="s">
        <v>442</v>
      </c>
      <c r="BE190" s="1" t="s">
        <v>79</v>
      </c>
      <c r="BF190" s="5" t="s">
        <v>83</v>
      </c>
    </row>
    <row r="191" spans="1:58" x14ac:dyDescent="0.35">
      <c r="A191" s="4">
        <v>190</v>
      </c>
      <c r="B191" s="1" t="s">
        <v>1288</v>
      </c>
      <c r="C191" s="1" t="s">
        <v>63</v>
      </c>
      <c r="D191" s="1" t="s">
        <v>149</v>
      </c>
      <c r="E191" s="1" t="s">
        <v>69</v>
      </c>
      <c r="F191" s="1" t="s">
        <v>69</v>
      </c>
      <c r="G191" s="1" t="s">
        <v>69</v>
      </c>
      <c r="H191" s="1" t="s">
        <v>69</v>
      </c>
      <c r="I191" s="1" t="s">
        <v>106</v>
      </c>
      <c r="J191" s="1" t="s">
        <v>271</v>
      </c>
      <c r="K191" s="1">
        <v>31</v>
      </c>
      <c r="L191" s="1" t="s">
        <v>109</v>
      </c>
      <c r="M191" s="1" t="s">
        <v>73</v>
      </c>
      <c r="N191" s="1" t="s">
        <v>110</v>
      </c>
      <c r="O191" s="1">
        <v>4</v>
      </c>
      <c r="P191" s="1">
        <v>3</v>
      </c>
      <c r="Q191" s="1">
        <f>data[[#This Row],[Nilai Kepentingan Dimensi Persyaratan]]-data[[#This Row],[Nilai Kepuasan Dimensi Persyaratan]]</f>
        <v>-1</v>
      </c>
      <c r="R191" s="1">
        <v>3</v>
      </c>
      <c r="S191" s="1">
        <v>3</v>
      </c>
      <c r="T191" s="1">
        <f>data[[#This Row],[Nilai Kepentingan Dimensi Prosedur]]-data[[#This Row],[Nilai Kepuasan Dimensi Prosedur]]</f>
        <v>0</v>
      </c>
      <c r="U191" s="1">
        <v>4</v>
      </c>
      <c r="V191" s="1">
        <v>4</v>
      </c>
      <c r="W191" s="1">
        <f>data[[#This Row],[Nilai Kepentingan Dimensi Waktu Pelayanan/Penyelesaian]]-data[[#This Row],[Nilai Kepuasan Dimensi Waktu Pelayanan/Penyelesaian]]</f>
        <v>0</v>
      </c>
      <c r="X191" s="1">
        <v>3</v>
      </c>
      <c r="Y191" s="1">
        <v>3</v>
      </c>
      <c r="Z191" s="1">
        <f>data[[#This Row],[Nilai Kepentingan Dimensi Tarif/ Biaya]]-data[[#This Row],[Nilai Kepuasan Dimensi Tarif / Biaya]]</f>
        <v>0</v>
      </c>
      <c r="AA191" s="1">
        <v>3</v>
      </c>
      <c r="AB191" s="1">
        <v>3</v>
      </c>
      <c r="AC191" s="1">
        <f>data[[#This Row],[Nilai Kepentingan Dimensi Produk Spesifikasi Jenis Layanan]]-data[[#This Row],[Nilai Kepuasan Dimensi Produk Spesifikasi Jenis Layanan]]</f>
        <v>0</v>
      </c>
      <c r="AD191" s="1">
        <v>4</v>
      </c>
      <c r="AE191" s="1">
        <v>4</v>
      </c>
      <c r="AF191" s="1">
        <f>data[[#This Row],[Nilai Kepentingan Dimensi Kompetensi Pelaksana]]-data[[#This Row],[Nilai Kepuasan Dimensi Kompetensi Pelaksana]]</f>
        <v>0</v>
      </c>
      <c r="AG191" s="1">
        <v>4</v>
      </c>
      <c r="AH191" s="1">
        <v>4</v>
      </c>
      <c r="AI191" s="1">
        <f>data[[#This Row],[Nilai Kepentingan Dimensi Perilaku Pelaksana]]-data[[#This Row],[Nilai Kepuasan Dimensi Perilaku Pelaksana]]</f>
        <v>0</v>
      </c>
      <c r="AJ191" s="1">
        <v>3</v>
      </c>
      <c r="AK191" s="1">
        <v>3</v>
      </c>
      <c r="AL191" s="1">
        <f>data[[#This Row],[Nilai Kepentingan Dimensi Penanganan Pengaduan, Saran &amp; Masukan]]-data[[#This Row],[Nilai Kepuasan Dimensi Penanganan Pengaduan, Saran &amp; Masukan]]</f>
        <v>0</v>
      </c>
      <c r="AM191" s="1">
        <v>4</v>
      </c>
      <c r="AN191" s="1">
        <v>4</v>
      </c>
      <c r="AO191" s="1">
        <f>data[[#This Row],[Nilai Kepentingan Dimensi Kualitas Sarana dan Prasarana]]-data[[#This Row],[Nilai Kepuasan Dimensi Kualitas Sarana dan Prasarana]]</f>
        <v>0</v>
      </c>
      <c r="AP191" s="1">
        <v>4</v>
      </c>
      <c r="AQ191" s="1" t="s">
        <v>75</v>
      </c>
      <c r="AR191" s="1">
        <v>0</v>
      </c>
      <c r="AS191" s="1" t="s">
        <v>69</v>
      </c>
      <c r="AT191" s="1">
        <v>0</v>
      </c>
      <c r="AU191" s="1" t="s">
        <v>69</v>
      </c>
      <c r="AV191" s="1" t="s">
        <v>83</v>
      </c>
      <c r="AW191" s="1" t="s">
        <v>96</v>
      </c>
      <c r="AX191" s="1">
        <v>0</v>
      </c>
      <c r="AY191" s="1">
        <v>0</v>
      </c>
      <c r="AZ191" s="1" t="s">
        <v>442</v>
      </c>
      <c r="BA191" s="1" t="s">
        <v>79</v>
      </c>
      <c r="BB191" s="1" t="s">
        <v>442</v>
      </c>
      <c r="BC191" s="1" t="s">
        <v>79</v>
      </c>
      <c r="BD191" s="1" t="s">
        <v>442</v>
      </c>
      <c r="BE191" s="1" t="s">
        <v>79</v>
      </c>
      <c r="BF191" s="5" t="s">
        <v>83</v>
      </c>
    </row>
    <row r="192" spans="1:58" x14ac:dyDescent="0.35">
      <c r="A192" s="4">
        <v>191</v>
      </c>
      <c r="B192" s="1" t="s">
        <v>1291</v>
      </c>
      <c r="C192" s="1" t="s">
        <v>63</v>
      </c>
      <c r="D192" s="1" t="s">
        <v>86</v>
      </c>
      <c r="E192" s="1" t="s">
        <v>69</v>
      </c>
      <c r="F192" s="1" t="s">
        <v>69</v>
      </c>
      <c r="G192" s="1" t="s">
        <v>69</v>
      </c>
      <c r="H192" s="1" t="s">
        <v>69</v>
      </c>
      <c r="I192" s="1" t="s">
        <v>70</v>
      </c>
      <c r="J192" s="1" t="s">
        <v>292</v>
      </c>
      <c r="K192" s="1">
        <v>18</v>
      </c>
      <c r="L192" s="1" t="s">
        <v>131</v>
      </c>
      <c r="M192" s="1" t="s">
        <v>73</v>
      </c>
      <c r="N192" s="1" t="s">
        <v>95</v>
      </c>
      <c r="O192" s="1">
        <v>4</v>
      </c>
      <c r="P192" s="1">
        <v>3</v>
      </c>
      <c r="Q192" s="1">
        <f>data[[#This Row],[Nilai Kepentingan Dimensi Persyaratan]]-data[[#This Row],[Nilai Kepuasan Dimensi Persyaratan]]</f>
        <v>-1</v>
      </c>
      <c r="R192" s="1">
        <v>3</v>
      </c>
      <c r="S192" s="1">
        <v>3</v>
      </c>
      <c r="T192" s="1">
        <f>data[[#This Row],[Nilai Kepentingan Dimensi Prosedur]]-data[[#This Row],[Nilai Kepuasan Dimensi Prosedur]]</f>
        <v>0</v>
      </c>
      <c r="U192" s="1">
        <v>3</v>
      </c>
      <c r="V192" s="1">
        <v>3</v>
      </c>
      <c r="W192" s="1">
        <f>data[[#This Row],[Nilai Kepentingan Dimensi Waktu Pelayanan/Penyelesaian]]-data[[#This Row],[Nilai Kepuasan Dimensi Waktu Pelayanan/Penyelesaian]]</f>
        <v>0</v>
      </c>
      <c r="X192" s="1">
        <v>3</v>
      </c>
      <c r="Y192" s="1">
        <v>3</v>
      </c>
      <c r="Z192" s="1">
        <f>data[[#This Row],[Nilai Kepentingan Dimensi Tarif/ Biaya]]-data[[#This Row],[Nilai Kepuasan Dimensi Tarif / Biaya]]</f>
        <v>0</v>
      </c>
      <c r="AA192" s="1">
        <v>3</v>
      </c>
      <c r="AB192" s="1">
        <v>3</v>
      </c>
      <c r="AC192" s="1">
        <f>data[[#This Row],[Nilai Kepentingan Dimensi Produk Spesifikasi Jenis Layanan]]-data[[#This Row],[Nilai Kepuasan Dimensi Produk Spesifikasi Jenis Layanan]]</f>
        <v>0</v>
      </c>
      <c r="AD192" s="1">
        <v>3</v>
      </c>
      <c r="AE192" s="1">
        <v>3</v>
      </c>
      <c r="AF192" s="1">
        <f>data[[#This Row],[Nilai Kepentingan Dimensi Kompetensi Pelaksana]]-data[[#This Row],[Nilai Kepuasan Dimensi Kompetensi Pelaksana]]</f>
        <v>0</v>
      </c>
      <c r="AG192" s="1">
        <v>4</v>
      </c>
      <c r="AH192" s="1">
        <v>4</v>
      </c>
      <c r="AI192" s="1">
        <f>data[[#This Row],[Nilai Kepentingan Dimensi Perilaku Pelaksana]]-data[[#This Row],[Nilai Kepuasan Dimensi Perilaku Pelaksana]]</f>
        <v>0</v>
      </c>
      <c r="AJ192" s="1">
        <v>3</v>
      </c>
      <c r="AK192" s="1">
        <v>3</v>
      </c>
      <c r="AL192" s="1">
        <f>data[[#This Row],[Nilai Kepentingan Dimensi Penanganan Pengaduan, Saran &amp; Masukan]]-data[[#This Row],[Nilai Kepuasan Dimensi Penanganan Pengaduan, Saran &amp; Masukan]]</f>
        <v>0</v>
      </c>
      <c r="AM192" s="1">
        <v>4</v>
      </c>
      <c r="AN192" s="1">
        <v>4</v>
      </c>
      <c r="AO192" s="1">
        <f>data[[#This Row],[Nilai Kepentingan Dimensi Kualitas Sarana dan Prasarana]]-data[[#This Row],[Nilai Kepuasan Dimensi Kualitas Sarana dan Prasarana]]</f>
        <v>0</v>
      </c>
      <c r="AP192" s="1">
        <v>0</v>
      </c>
      <c r="AQ192" s="1" t="s">
        <v>69</v>
      </c>
      <c r="AR192" s="1">
        <v>0</v>
      </c>
      <c r="AS192" s="1" t="s">
        <v>69</v>
      </c>
      <c r="AT192" s="1">
        <v>0</v>
      </c>
      <c r="AU192" s="1" t="s">
        <v>69</v>
      </c>
      <c r="AV192" s="1" t="s">
        <v>532</v>
      </c>
      <c r="AW192" s="1" t="s">
        <v>77</v>
      </c>
      <c r="AX192" s="1">
        <v>2</v>
      </c>
      <c r="AY192" s="1">
        <v>3</v>
      </c>
      <c r="AZ192" s="1" t="s">
        <v>442</v>
      </c>
      <c r="BA192" s="1" t="s">
        <v>79</v>
      </c>
      <c r="BB192" s="1" t="s">
        <v>1295</v>
      </c>
      <c r="BC192" s="1" t="s">
        <v>157</v>
      </c>
      <c r="BD192" s="1" t="s">
        <v>503</v>
      </c>
      <c r="BE192" s="1" t="s">
        <v>79</v>
      </c>
      <c r="BF192" s="5" t="s">
        <v>83</v>
      </c>
    </row>
    <row r="193" spans="1:58" x14ac:dyDescent="0.35">
      <c r="A193" s="4">
        <v>192</v>
      </c>
      <c r="B193" s="1" t="s">
        <v>1296</v>
      </c>
      <c r="C193" s="1" t="s">
        <v>63</v>
      </c>
      <c r="D193" s="1" t="s">
        <v>466</v>
      </c>
      <c r="E193" s="1" t="s">
        <v>69</v>
      </c>
      <c r="F193" s="1" t="s">
        <v>69</v>
      </c>
      <c r="G193" s="1" t="s">
        <v>69</v>
      </c>
      <c r="H193" s="1" t="s">
        <v>69</v>
      </c>
      <c r="I193" s="1" t="s">
        <v>106</v>
      </c>
      <c r="J193" s="1" t="s">
        <v>271</v>
      </c>
      <c r="K193" s="1">
        <v>18</v>
      </c>
      <c r="L193" s="1" t="s">
        <v>131</v>
      </c>
      <c r="M193" s="1" t="s">
        <v>73</v>
      </c>
      <c r="N193" s="1" t="s">
        <v>95</v>
      </c>
      <c r="O193" s="1">
        <v>3</v>
      </c>
      <c r="P193" s="1">
        <v>3</v>
      </c>
      <c r="Q193" s="1">
        <f>data[[#This Row],[Nilai Kepentingan Dimensi Persyaratan]]-data[[#This Row],[Nilai Kepuasan Dimensi Persyaratan]]</f>
        <v>0</v>
      </c>
      <c r="R193" s="1">
        <v>3</v>
      </c>
      <c r="S193" s="1">
        <v>3</v>
      </c>
      <c r="T193" s="1">
        <f>data[[#This Row],[Nilai Kepentingan Dimensi Prosedur]]-data[[#This Row],[Nilai Kepuasan Dimensi Prosedur]]</f>
        <v>0</v>
      </c>
      <c r="U193" s="1">
        <v>3</v>
      </c>
      <c r="V193" s="1">
        <v>3</v>
      </c>
      <c r="W193" s="1">
        <f>data[[#This Row],[Nilai Kepentingan Dimensi Waktu Pelayanan/Penyelesaian]]-data[[#This Row],[Nilai Kepuasan Dimensi Waktu Pelayanan/Penyelesaian]]</f>
        <v>0</v>
      </c>
      <c r="X193" s="1">
        <v>3</v>
      </c>
      <c r="Y193" s="1">
        <v>3</v>
      </c>
      <c r="Z193" s="1">
        <f>data[[#This Row],[Nilai Kepentingan Dimensi Tarif/ Biaya]]-data[[#This Row],[Nilai Kepuasan Dimensi Tarif / Biaya]]</f>
        <v>0</v>
      </c>
      <c r="AA193" s="1">
        <v>3</v>
      </c>
      <c r="AB193" s="1">
        <v>3</v>
      </c>
      <c r="AC193" s="1">
        <f>data[[#This Row],[Nilai Kepentingan Dimensi Produk Spesifikasi Jenis Layanan]]-data[[#This Row],[Nilai Kepuasan Dimensi Produk Spesifikasi Jenis Layanan]]</f>
        <v>0</v>
      </c>
      <c r="AD193" s="1">
        <v>3</v>
      </c>
      <c r="AE193" s="1">
        <v>3</v>
      </c>
      <c r="AF193" s="1">
        <f>data[[#This Row],[Nilai Kepentingan Dimensi Kompetensi Pelaksana]]-data[[#This Row],[Nilai Kepuasan Dimensi Kompetensi Pelaksana]]</f>
        <v>0</v>
      </c>
      <c r="AG193" s="1">
        <v>4</v>
      </c>
      <c r="AH193" s="1">
        <v>4</v>
      </c>
      <c r="AI193" s="1">
        <f>data[[#This Row],[Nilai Kepentingan Dimensi Perilaku Pelaksana]]-data[[#This Row],[Nilai Kepuasan Dimensi Perilaku Pelaksana]]</f>
        <v>0</v>
      </c>
      <c r="AJ193" s="1">
        <v>3</v>
      </c>
      <c r="AK193" s="1">
        <v>3</v>
      </c>
      <c r="AL193" s="1">
        <f>data[[#This Row],[Nilai Kepentingan Dimensi Penanganan Pengaduan, Saran &amp; Masukan]]-data[[#This Row],[Nilai Kepuasan Dimensi Penanganan Pengaduan, Saran &amp; Masukan]]</f>
        <v>0</v>
      </c>
      <c r="AM193" s="1">
        <v>4</v>
      </c>
      <c r="AN193" s="1">
        <v>4</v>
      </c>
      <c r="AO193" s="1">
        <f>data[[#This Row],[Nilai Kepentingan Dimensi Kualitas Sarana dan Prasarana]]-data[[#This Row],[Nilai Kepuasan Dimensi Kualitas Sarana dan Prasarana]]</f>
        <v>0</v>
      </c>
      <c r="AP193" s="1">
        <v>0</v>
      </c>
      <c r="AQ193" s="1" t="s">
        <v>69</v>
      </c>
      <c r="AR193" s="1">
        <v>3</v>
      </c>
      <c r="AS193" s="1" t="s">
        <v>75</v>
      </c>
      <c r="AT193" s="1">
        <v>0</v>
      </c>
      <c r="AU193" s="1" t="s">
        <v>69</v>
      </c>
      <c r="AV193" s="1" t="s">
        <v>83</v>
      </c>
      <c r="AW193" s="1" t="s">
        <v>96</v>
      </c>
      <c r="AX193" s="1">
        <v>0</v>
      </c>
      <c r="AY193" s="1">
        <v>0</v>
      </c>
      <c r="AZ193" s="1" t="s">
        <v>442</v>
      </c>
      <c r="BA193" s="1" t="s">
        <v>79</v>
      </c>
      <c r="BB193" s="1" t="s">
        <v>1300</v>
      </c>
      <c r="BC193" s="1" t="s">
        <v>81</v>
      </c>
      <c r="BD193" s="1" t="s">
        <v>442</v>
      </c>
      <c r="BE193" s="1" t="s">
        <v>79</v>
      </c>
      <c r="BF193" s="5" t="s">
        <v>83</v>
      </c>
    </row>
    <row r="194" spans="1:58" x14ac:dyDescent="0.35">
      <c r="A194" s="4">
        <v>193</v>
      </c>
      <c r="B194" s="1" t="s">
        <v>1301</v>
      </c>
      <c r="C194" s="1" t="s">
        <v>63</v>
      </c>
      <c r="D194" s="1" t="s">
        <v>149</v>
      </c>
      <c r="E194" s="1" t="s">
        <v>69</v>
      </c>
      <c r="F194" s="1" t="s">
        <v>69</v>
      </c>
      <c r="G194" s="1" t="s">
        <v>69</v>
      </c>
      <c r="H194" s="1" t="s">
        <v>69</v>
      </c>
      <c r="I194" s="1" t="s">
        <v>106</v>
      </c>
      <c r="J194" s="1" t="s">
        <v>292</v>
      </c>
      <c r="K194" s="1">
        <v>19</v>
      </c>
      <c r="L194" s="1" t="s">
        <v>131</v>
      </c>
      <c r="M194" s="1" t="s">
        <v>73</v>
      </c>
      <c r="N194" s="1" t="s">
        <v>95</v>
      </c>
      <c r="O194" s="1">
        <v>3</v>
      </c>
      <c r="P194" s="1">
        <v>3</v>
      </c>
      <c r="Q194" s="1">
        <f>data[[#This Row],[Nilai Kepentingan Dimensi Persyaratan]]-data[[#This Row],[Nilai Kepuasan Dimensi Persyaratan]]</f>
        <v>0</v>
      </c>
      <c r="R194" s="1">
        <v>4</v>
      </c>
      <c r="S194" s="1">
        <v>4</v>
      </c>
      <c r="T194" s="1">
        <f>data[[#This Row],[Nilai Kepentingan Dimensi Prosedur]]-data[[#This Row],[Nilai Kepuasan Dimensi Prosedur]]</f>
        <v>0</v>
      </c>
      <c r="U194" s="1">
        <v>4</v>
      </c>
      <c r="V194" s="1">
        <v>4</v>
      </c>
      <c r="W194" s="1">
        <f>data[[#This Row],[Nilai Kepentingan Dimensi Waktu Pelayanan/Penyelesaian]]-data[[#This Row],[Nilai Kepuasan Dimensi Waktu Pelayanan/Penyelesaian]]</f>
        <v>0</v>
      </c>
      <c r="X194" s="1">
        <v>3</v>
      </c>
      <c r="Y194" s="1">
        <v>3</v>
      </c>
      <c r="Z194" s="1">
        <f>data[[#This Row],[Nilai Kepentingan Dimensi Tarif/ Biaya]]-data[[#This Row],[Nilai Kepuasan Dimensi Tarif / Biaya]]</f>
        <v>0</v>
      </c>
      <c r="AA194" s="1">
        <v>4</v>
      </c>
      <c r="AB194" s="1">
        <v>4</v>
      </c>
      <c r="AC194" s="1">
        <f>data[[#This Row],[Nilai Kepentingan Dimensi Produk Spesifikasi Jenis Layanan]]-data[[#This Row],[Nilai Kepuasan Dimensi Produk Spesifikasi Jenis Layanan]]</f>
        <v>0</v>
      </c>
      <c r="AD194" s="1">
        <v>3</v>
      </c>
      <c r="AE194" s="1">
        <v>3</v>
      </c>
      <c r="AF194" s="1">
        <f>data[[#This Row],[Nilai Kepentingan Dimensi Kompetensi Pelaksana]]-data[[#This Row],[Nilai Kepuasan Dimensi Kompetensi Pelaksana]]</f>
        <v>0</v>
      </c>
      <c r="AG194" s="1">
        <v>4</v>
      </c>
      <c r="AH194" s="1">
        <v>4</v>
      </c>
      <c r="AI194" s="1">
        <f>data[[#This Row],[Nilai Kepentingan Dimensi Perilaku Pelaksana]]-data[[#This Row],[Nilai Kepuasan Dimensi Perilaku Pelaksana]]</f>
        <v>0</v>
      </c>
      <c r="AJ194" s="1">
        <v>3</v>
      </c>
      <c r="AK194" s="1">
        <v>3</v>
      </c>
      <c r="AL194" s="1">
        <f>data[[#This Row],[Nilai Kepentingan Dimensi Penanganan Pengaduan, Saran &amp; Masukan]]-data[[#This Row],[Nilai Kepuasan Dimensi Penanganan Pengaduan, Saran &amp; Masukan]]</f>
        <v>0</v>
      </c>
      <c r="AM194" s="1">
        <v>3</v>
      </c>
      <c r="AN194" s="1">
        <v>3</v>
      </c>
      <c r="AO194" s="1">
        <f>data[[#This Row],[Nilai Kepentingan Dimensi Kualitas Sarana dan Prasarana]]-data[[#This Row],[Nilai Kepuasan Dimensi Kualitas Sarana dan Prasarana]]</f>
        <v>0</v>
      </c>
      <c r="AP194" s="1">
        <v>4</v>
      </c>
      <c r="AQ194" s="1" t="s">
        <v>75</v>
      </c>
      <c r="AR194" s="1">
        <v>0</v>
      </c>
      <c r="AS194" s="1" t="s">
        <v>69</v>
      </c>
      <c r="AT194" s="1">
        <v>0</v>
      </c>
      <c r="AU194" s="1" t="s">
        <v>69</v>
      </c>
      <c r="AV194" s="1" t="s">
        <v>83</v>
      </c>
      <c r="AW194" s="1" t="s">
        <v>96</v>
      </c>
      <c r="AX194" s="1">
        <v>0</v>
      </c>
      <c r="AY194" s="1">
        <v>0</v>
      </c>
      <c r="AZ194" s="1" t="s">
        <v>503</v>
      </c>
      <c r="BA194" s="1" t="s">
        <v>79</v>
      </c>
      <c r="BB194" s="1" t="s">
        <v>1305</v>
      </c>
      <c r="BC194" s="1" t="s">
        <v>81</v>
      </c>
      <c r="BD194" s="1" t="s">
        <v>555</v>
      </c>
      <c r="BE194" s="1" t="s">
        <v>79</v>
      </c>
      <c r="BF194" s="5" t="s">
        <v>83</v>
      </c>
    </row>
    <row r="195" spans="1:58" x14ac:dyDescent="0.35">
      <c r="A195" s="4">
        <v>194</v>
      </c>
      <c r="B195" s="1" t="s">
        <v>1306</v>
      </c>
      <c r="C195" s="1" t="s">
        <v>63</v>
      </c>
      <c r="D195" s="1" t="s">
        <v>63</v>
      </c>
      <c r="E195" s="1" t="s">
        <v>69</v>
      </c>
      <c r="F195" s="1" t="s">
        <v>69</v>
      </c>
      <c r="G195" s="1" t="s">
        <v>69</v>
      </c>
      <c r="H195" s="1" t="s">
        <v>69</v>
      </c>
      <c r="I195" s="1" t="s">
        <v>106</v>
      </c>
      <c r="J195" s="1" t="s">
        <v>271</v>
      </c>
      <c r="K195" s="1">
        <v>26</v>
      </c>
      <c r="L195" s="1" t="s">
        <v>92</v>
      </c>
      <c r="M195" s="1" t="s">
        <v>73</v>
      </c>
      <c r="N195" s="1" t="s">
        <v>74</v>
      </c>
      <c r="O195" s="1">
        <v>3</v>
      </c>
      <c r="P195" s="1">
        <v>3</v>
      </c>
      <c r="Q195" s="1">
        <f>data[[#This Row],[Nilai Kepentingan Dimensi Persyaratan]]-data[[#This Row],[Nilai Kepuasan Dimensi Persyaratan]]</f>
        <v>0</v>
      </c>
      <c r="R195" s="1">
        <v>3</v>
      </c>
      <c r="S195" s="1">
        <v>3</v>
      </c>
      <c r="T195" s="1">
        <f>data[[#This Row],[Nilai Kepentingan Dimensi Prosedur]]-data[[#This Row],[Nilai Kepuasan Dimensi Prosedur]]</f>
        <v>0</v>
      </c>
      <c r="U195" s="1">
        <v>4</v>
      </c>
      <c r="V195" s="1">
        <v>4</v>
      </c>
      <c r="W195" s="1">
        <f>data[[#This Row],[Nilai Kepentingan Dimensi Waktu Pelayanan/Penyelesaian]]-data[[#This Row],[Nilai Kepuasan Dimensi Waktu Pelayanan/Penyelesaian]]</f>
        <v>0</v>
      </c>
      <c r="X195" s="1">
        <v>3</v>
      </c>
      <c r="Y195" s="1">
        <v>3</v>
      </c>
      <c r="Z195" s="1">
        <f>data[[#This Row],[Nilai Kepentingan Dimensi Tarif/ Biaya]]-data[[#This Row],[Nilai Kepuasan Dimensi Tarif / Biaya]]</f>
        <v>0</v>
      </c>
      <c r="AA195" s="1">
        <v>3</v>
      </c>
      <c r="AB195" s="1">
        <v>3</v>
      </c>
      <c r="AC195" s="1">
        <f>data[[#This Row],[Nilai Kepentingan Dimensi Produk Spesifikasi Jenis Layanan]]-data[[#This Row],[Nilai Kepuasan Dimensi Produk Spesifikasi Jenis Layanan]]</f>
        <v>0</v>
      </c>
      <c r="AD195" s="1">
        <v>4</v>
      </c>
      <c r="AE195" s="1">
        <v>4</v>
      </c>
      <c r="AF195" s="1">
        <f>data[[#This Row],[Nilai Kepentingan Dimensi Kompetensi Pelaksana]]-data[[#This Row],[Nilai Kepuasan Dimensi Kompetensi Pelaksana]]</f>
        <v>0</v>
      </c>
      <c r="AG195" s="1">
        <v>4</v>
      </c>
      <c r="AH195" s="1">
        <v>4</v>
      </c>
      <c r="AI195" s="1">
        <f>data[[#This Row],[Nilai Kepentingan Dimensi Perilaku Pelaksana]]-data[[#This Row],[Nilai Kepuasan Dimensi Perilaku Pelaksana]]</f>
        <v>0</v>
      </c>
      <c r="AJ195" s="1">
        <v>3</v>
      </c>
      <c r="AK195" s="1">
        <v>3</v>
      </c>
      <c r="AL195" s="1">
        <f>data[[#This Row],[Nilai Kepentingan Dimensi Penanganan Pengaduan, Saran &amp; Masukan]]-data[[#This Row],[Nilai Kepuasan Dimensi Penanganan Pengaduan, Saran &amp; Masukan]]</f>
        <v>0</v>
      </c>
      <c r="AM195" s="1">
        <v>4</v>
      </c>
      <c r="AN195" s="1">
        <v>4</v>
      </c>
      <c r="AO195" s="1">
        <f>data[[#This Row],[Nilai Kepentingan Dimensi Kualitas Sarana dan Prasarana]]-data[[#This Row],[Nilai Kepuasan Dimensi Kualitas Sarana dan Prasarana]]</f>
        <v>0</v>
      </c>
      <c r="AP195" s="1">
        <v>3</v>
      </c>
      <c r="AQ195" s="1" t="s">
        <v>75</v>
      </c>
      <c r="AR195" s="1">
        <v>0</v>
      </c>
      <c r="AS195" s="1" t="s">
        <v>69</v>
      </c>
      <c r="AT195" s="1">
        <v>0</v>
      </c>
      <c r="AU195" s="1" t="s">
        <v>69</v>
      </c>
      <c r="AV195" s="1" t="s">
        <v>83</v>
      </c>
      <c r="AW195" s="1" t="s">
        <v>96</v>
      </c>
      <c r="AX195" s="1">
        <v>0</v>
      </c>
      <c r="AY195" s="1">
        <v>0</v>
      </c>
      <c r="AZ195" s="1" t="s">
        <v>442</v>
      </c>
      <c r="BA195" s="1" t="s">
        <v>79</v>
      </c>
      <c r="BB195" s="1" t="s">
        <v>442</v>
      </c>
      <c r="BC195" s="1" t="s">
        <v>79</v>
      </c>
      <c r="BD195" s="1" t="s">
        <v>442</v>
      </c>
      <c r="BE195" s="1" t="s">
        <v>79</v>
      </c>
      <c r="BF195" s="5" t="s">
        <v>83</v>
      </c>
    </row>
    <row r="196" spans="1:58" x14ac:dyDescent="0.35">
      <c r="A196" s="4">
        <v>195</v>
      </c>
      <c r="B196" s="1" t="s">
        <v>1310</v>
      </c>
      <c r="C196" s="1" t="s">
        <v>63</v>
      </c>
      <c r="D196" s="1" t="s">
        <v>1312</v>
      </c>
      <c r="E196" s="1" t="s">
        <v>69</v>
      </c>
      <c r="F196" s="1" t="s">
        <v>69</v>
      </c>
      <c r="G196" s="1" t="s">
        <v>69</v>
      </c>
      <c r="H196" s="1" t="s">
        <v>69</v>
      </c>
      <c r="I196" s="1" t="s">
        <v>106</v>
      </c>
      <c r="J196" s="1" t="s">
        <v>292</v>
      </c>
      <c r="K196" s="1">
        <v>23</v>
      </c>
      <c r="L196" s="1" t="s">
        <v>72</v>
      </c>
      <c r="M196" s="1" t="s">
        <v>93</v>
      </c>
      <c r="N196" s="1" t="s">
        <v>74</v>
      </c>
      <c r="O196" s="1">
        <v>4</v>
      </c>
      <c r="P196" s="1">
        <v>4</v>
      </c>
      <c r="Q196" s="1">
        <f>data[[#This Row],[Nilai Kepentingan Dimensi Persyaratan]]-data[[#This Row],[Nilai Kepuasan Dimensi Persyaratan]]</f>
        <v>0</v>
      </c>
      <c r="R196" s="1">
        <v>4</v>
      </c>
      <c r="S196" s="1">
        <v>4</v>
      </c>
      <c r="T196" s="1">
        <f>data[[#This Row],[Nilai Kepentingan Dimensi Prosedur]]-data[[#This Row],[Nilai Kepuasan Dimensi Prosedur]]</f>
        <v>0</v>
      </c>
      <c r="U196" s="1">
        <v>4</v>
      </c>
      <c r="V196" s="1">
        <v>4</v>
      </c>
      <c r="W196" s="1">
        <f>data[[#This Row],[Nilai Kepentingan Dimensi Waktu Pelayanan/Penyelesaian]]-data[[#This Row],[Nilai Kepuasan Dimensi Waktu Pelayanan/Penyelesaian]]</f>
        <v>0</v>
      </c>
      <c r="X196" s="1">
        <v>4</v>
      </c>
      <c r="Y196" s="1">
        <v>4</v>
      </c>
      <c r="Z196" s="1">
        <f>data[[#This Row],[Nilai Kepentingan Dimensi Tarif/ Biaya]]-data[[#This Row],[Nilai Kepuasan Dimensi Tarif / Biaya]]</f>
        <v>0</v>
      </c>
      <c r="AA196" s="1">
        <v>4</v>
      </c>
      <c r="AB196" s="1">
        <v>4</v>
      </c>
      <c r="AC196" s="1">
        <f>data[[#This Row],[Nilai Kepentingan Dimensi Produk Spesifikasi Jenis Layanan]]-data[[#This Row],[Nilai Kepuasan Dimensi Produk Spesifikasi Jenis Layanan]]</f>
        <v>0</v>
      </c>
      <c r="AD196" s="1">
        <v>4</v>
      </c>
      <c r="AE196" s="1">
        <v>4</v>
      </c>
      <c r="AF196" s="1">
        <f>data[[#This Row],[Nilai Kepentingan Dimensi Kompetensi Pelaksana]]-data[[#This Row],[Nilai Kepuasan Dimensi Kompetensi Pelaksana]]</f>
        <v>0</v>
      </c>
      <c r="AG196" s="1">
        <v>4</v>
      </c>
      <c r="AH196" s="1">
        <v>4</v>
      </c>
      <c r="AI196" s="1">
        <f>data[[#This Row],[Nilai Kepentingan Dimensi Perilaku Pelaksana]]-data[[#This Row],[Nilai Kepuasan Dimensi Perilaku Pelaksana]]</f>
        <v>0</v>
      </c>
      <c r="AJ196" s="1">
        <v>4</v>
      </c>
      <c r="AK196" s="1">
        <v>4</v>
      </c>
      <c r="AL196" s="1">
        <f>data[[#This Row],[Nilai Kepentingan Dimensi Penanganan Pengaduan, Saran &amp; Masukan]]-data[[#This Row],[Nilai Kepuasan Dimensi Penanganan Pengaduan, Saran &amp; Masukan]]</f>
        <v>0</v>
      </c>
      <c r="AM196" s="1">
        <v>4</v>
      </c>
      <c r="AN196" s="1">
        <v>4</v>
      </c>
      <c r="AO196" s="1">
        <f>data[[#This Row],[Nilai Kepentingan Dimensi Kualitas Sarana dan Prasarana]]-data[[#This Row],[Nilai Kepuasan Dimensi Kualitas Sarana dan Prasarana]]</f>
        <v>0</v>
      </c>
      <c r="AP196" s="1">
        <v>0</v>
      </c>
      <c r="AQ196" s="1" t="s">
        <v>69</v>
      </c>
      <c r="AR196" s="1">
        <v>0</v>
      </c>
      <c r="AS196" s="1" t="s">
        <v>69</v>
      </c>
      <c r="AT196" s="1">
        <v>4</v>
      </c>
      <c r="AU196" s="1" t="s">
        <v>75</v>
      </c>
      <c r="AV196" s="1" t="s">
        <v>83</v>
      </c>
      <c r="AW196" s="1" t="s">
        <v>96</v>
      </c>
      <c r="AX196" s="1">
        <v>0</v>
      </c>
      <c r="AY196" s="1">
        <v>0</v>
      </c>
      <c r="AZ196" s="1" t="s">
        <v>442</v>
      </c>
      <c r="BA196" s="1" t="s">
        <v>79</v>
      </c>
      <c r="BB196" s="1" t="s">
        <v>442</v>
      </c>
      <c r="BC196" s="1" t="s">
        <v>79</v>
      </c>
      <c r="BD196" s="1" t="s">
        <v>442</v>
      </c>
      <c r="BE196" s="1" t="s">
        <v>79</v>
      </c>
      <c r="BF196" s="5" t="s">
        <v>83</v>
      </c>
    </row>
    <row r="197" spans="1:58" x14ac:dyDescent="0.35">
      <c r="A197" s="4">
        <v>196</v>
      </c>
      <c r="B197" s="1" t="s">
        <v>1315</v>
      </c>
      <c r="C197" s="1" t="s">
        <v>63</v>
      </c>
      <c r="D197" s="1" t="s">
        <v>765</v>
      </c>
      <c r="E197" s="1" t="s">
        <v>69</v>
      </c>
      <c r="F197" s="1" t="s">
        <v>69</v>
      </c>
      <c r="G197" s="1" t="s">
        <v>69</v>
      </c>
      <c r="H197" s="1" t="s">
        <v>69</v>
      </c>
      <c r="I197" s="1" t="s">
        <v>70</v>
      </c>
      <c r="J197" s="1" t="s">
        <v>107</v>
      </c>
      <c r="K197" s="1">
        <v>19</v>
      </c>
      <c r="L197" s="1" t="s">
        <v>131</v>
      </c>
      <c r="M197" s="1" t="s">
        <v>73</v>
      </c>
      <c r="N197" s="1" t="s">
        <v>95</v>
      </c>
      <c r="O197" s="1">
        <v>4</v>
      </c>
      <c r="P197" s="1">
        <v>4</v>
      </c>
      <c r="Q197" s="1">
        <f>data[[#This Row],[Nilai Kepentingan Dimensi Persyaratan]]-data[[#This Row],[Nilai Kepuasan Dimensi Persyaratan]]</f>
        <v>0</v>
      </c>
      <c r="R197" s="1">
        <v>4</v>
      </c>
      <c r="S197" s="1">
        <v>4</v>
      </c>
      <c r="T197" s="1">
        <f>data[[#This Row],[Nilai Kepentingan Dimensi Prosedur]]-data[[#This Row],[Nilai Kepuasan Dimensi Prosedur]]</f>
        <v>0</v>
      </c>
      <c r="U197" s="1">
        <v>4</v>
      </c>
      <c r="V197" s="1">
        <v>4</v>
      </c>
      <c r="W197" s="1">
        <f>data[[#This Row],[Nilai Kepentingan Dimensi Waktu Pelayanan/Penyelesaian]]-data[[#This Row],[Nilai Kepuasan Dimensi Waktu Pelayanan/Penyelesaian]]</f>
        <v>0</v>
      </c>
      <c r="X197" s="1">
        <v>0</v>
      </c>
      <c r="Y197" s="1">
        <v>0</v>
      </c>
      <c r="Z197" s="1">
        <f>data[[#This Row],[Nilai Kepentingan Dimensi Tarif/ Biaya]]-data[[#This Row],[Nilai Kepuasan Dimensi Tarif / Biaya]]</f>
        <v>0</v>
      </c>
      <c r="AA197" s="1">
        <v>4</v>
      </c>
      <c r="AB197" s="1">
        <v>4</v>
      </c>
      <c r="AC197" s="1">
        <f>data[[#This Row],[Nilai Kepentingan Dimensi Produk Spesifikasi Jenis Layanan]]-data[[#This Row],[Nilai Kepuasan Dimensi Produk Spesifikasi Jenis Layanan]]</f>
        <v>0</v>
      </c>
      <c r="AD197" s="1">
        <v>4</v>
      </c>
      <c r="AE197" s="1">
        <v>4</v>
      </c>
      <c r="AF197" s="1">
        <f>data[[#This Row],[Nilai Kepentingan Dimensi Kompetensi Pelaksana]]-data[[#This Row],[Nilai Kepuasan Dimensi Kompetensi Pelaksana]]</f>
        <v>0</v>
      </c>
      <c r="AG197" s="1">
        <v>4</v>
      </c>
      <c r="AH197" s="1">
        <v>4</v>
      </c>
      <c r="AI197" s="1">
        <f>data[[#This Row],[Nilai Kepentingan Dimensi Perilaku Pelaksana]]-data[[#This Row],[Nilai Kepuasan Dimensi Perilaku Pelaksana]]</f>
        <v>0</v>
      </c>
      <c r="AJ197" s="1">
        <v>4</v>
      </c>
      <c r="AK197" s="1">
        <v>4</v>
      </c>
      <c r="AL197" s="1">
        <f>data[[#This Row],[Nilai Kepentingan Dimensi Penanganan Pengaduan, Saran &amp; Masukan]]-data[[#This Row],[Nilai Kepuasan Dimensi Penanganan Pengaduan, Saran &amp; Masukan]]</f>
        <v>0</v>
      </c>
      <c r="AM197" s="1">
        <v>4</v>
      </c>
      <c r="AN197" s="1">
        <v>4</v>
      </c>
      <c r="AO197" s="1">
        <f>data[[#This Row],[Nilai Kepentingan Dimensi Kualitas Sarana dan Prasarana]]-data[[#This Row],[Nilai Kepuasan Dimensi Kualitas Sarana dan Prasarana]]</f>
        <v>0</v>
      </c>
      <c r="AP197" s="1">
        <v>4</v>
      </c>
      <c r="AQ197" s="1" t="s">
        <v>75</v>
      </c>
      <c r="AR197" s="1">
        <v>0</v>
      </c>
      <c r="AS197" s="1" t="s">
        <v>69</v>
      </c>
      <c r="AT197" s="1">
        <v>0</v>
      </c>
      <c r="AU197" s="1" t="s">
        <v>69</v>
      </c>
      <c r="AV197" s="1" t="s">
        <v>83</v>
      </c>
      <c r="AW197" s="1" t="s">
        <v>96</v>
      </c>
      <c r="AX197" s="1">
        <v>0</v>
      </c>
      <c r="AY197" s="1">
        <v>0</v>
      </c>
      <c r="AZ197" s="1" t="s">
        <v>1319</v>
      </c>
      <c r="BA197" s="1" t="s">
        <v>99</v>
      </c>
      <c r="BB197" s="1" t="s">
        <v>1320</v>
      </c>
      <c r="BC197" s="1" t="s">
        <v>79</v>
      </c>
      <c r="BD197" s="1" t="s">
        <v>503</v>
      </c>
      <c r="BE197" s="1" t="s">
        <v>79</v>
      </c>
      <c r="BF197" s="5" t="s">
        <v>83</v>
      </c>
    </row>
    <row r="198" spans="1:58" x14ac:dyDescent="0.35">
      <c r="A198" s="4">
        <v>197</v>
      </c>
      <c r="B198" s="1" t="s">
        <v>1321</v>
      </c>
      <c r="C198" s="1" t="s">
        <v>63</v>
      </c>
      <c r="D198" s="1" t="s">
        <v>63</v>
      </c>
      <c r="E198" s="1" t="s">
        <v>69</v>
      </c>
      <c r="F198" s="1" t="s">
        <v>69</v>
      </c>
      <c r="G198" s="1" t="s">
        <v>69</v>
      </c>
      <c r="H198" s="1" t="s">
        <v>69</v>
      </c>
      <c r="I198" s="1" t="s">
        <v>70</v>
      </c>
      <c r="J198" s="1" t="s">
        <v>107</v>
      </c>
      <c r="K198" s="1">
        <v>50</v>
      </c>
      <c r="L198" s="1" t="s">
        <v>225</v>
      </c>
      <c r="M198" s="1" t="s">
        <v>73</v>
      </c>
      <c r="N198" s="1" t="s">
        <v>74</v>
      </c>
      <c r="O198" s="1">
        <v>3</v>
      </c>
      <c r="P198" s="1">
        <v>3</v>
      </c>
      <c r="Q198" s="1">
        <f>data[[#This Row],[Nilai Kepentingan Dimensi Persyaratan]]-data[[#This Row],[Nilai Kepuasan Dimensi Persyaratan]]</f>
        <v>0</v>
      </c>
      <c r="R198" s="1">
        <v>3</v>
      </c>
      <c r="S198" s="1">
        <v>3</v>
      </c>
      <c r="T198" s="1">
        <f>data[[#This Row],[Nilai Kepentingan Dimensi Prosedur]]-data[[#This Row],[Nilai Kepuasan Dimensi Prosedur]]</f>
        <v>0</v>
      </c>
      <c r="U198" s="1">
        <v>3</v>
      </c>
      <c r="V198" s="1">
        <v>3</v>
      </c>
      <c r="W198" s="1">
        <f>data[[#This Row],[Nilai Kepentingan Dimensi Waktu Pelayanan/Penyelesaian]]-data[[#This Row],[Nilai Kepuasan Dimensi Waktu Pelayanan/Penyelesaian]]</f>
        <v>0</v>
      </c>
      <c r="X198" s="1">
        <v>0</v>
      </c>
      <c r="Y198" s="1">
        <v>0</v>
      </c>
      <c r="Z198" s="1">
        <f>data[[#This Row],[Nilai Kepentingan Dimensi Tarif/ Biaya]]-data[[#This Row],[Nilai Kepuasan Dimensi Tarif / Biaya]]</f>
        <v>0</v>
      </c>
      <c r="AA198" s="1">
        <v>4</v>
      </c>
      <c r="AB198" s="1">
        <v>4</v>
      </c>
      <c r="AC198" s="1">
        <f>data[[#This Row],[Nilai Kepentingan Dimensi Produk Spesifikasi Jenis Layanan]]-data[[#This Row],[Nilai Kepuasan Dimensi Produk Spesifikasi Jenis Layanan]]</f>
        <v>0</v>
      </c>
      <c r="AD198" s="1">
        <v>3</v>
      </c>
      <c r="AE198" s="1">
        <v>3</v>
      </c>
      <c r="AF198" s="1">
        <f>data[[#This Row],[Nilai Kepentingan Dimensi Kompetensi Pelaksana]]-data[[#This Row],[Nilai Kepuasan Dimensi Kompetensi Pelaksana]]</f>
        <v>0</v>
      </c>
      <c r="AG198" s="1">
        <v>3</v>
      </c>
      <c r="AH198" s="1">
        <v>3</v>
      </c>
      <c r="AI198" s="1">
        <f>data[[#This Row],[Nilai Kepentingan Dimensi Perilaku Pelaksana]]-data[[#This Row],[Nilai Kepuasan Dimensi Perilaku Pelaksana]]</f>
        <v>0</v>
      </c>
      <c r="AJ198" s="1">
        <v>3</v>
      </c>
      <c r="AK198" s="1">
        <v>3</v>
      </c>
      <c r="AL198" s="1">
        <f>data[[#This Row],[Nilai Kepentingan Dimensi Penanganan Pengaduan, Saran &amp; Masukan]]-data[[#This Row],[Nilai Kepuasan Dimensi Penanganan Pengaduan, Saran &amp; Masukan]]</f>
        <v>0</v>
      </c>
      <c r="AM198" s="1">
        <v>4</v>
      </c>
      <c r="AN198" s="1">
        <v>4</v>
      </c>
      <c r="AO198" s="1">
        <f>data[[#This Row],[Nilai Kepentingan Dimensi Kualitas Sarana dan Prasarana]]-data[[#This Row],[Nilai Kepuasan Dimensi Kualitas Sarana dan Prasarana]]</f>
        <v>0</v>
      </c>
      <c r="AP198" s="1">
        <v>0</v>
      </c>
      <c r="AQ198" s="1" t="s">
        <v>69</v>
      </c>
      <c r="AR198" s="1">
        <v>0</v>
      </c>
      <c r="AS198" s="1" t="s">
        <v>69</v>
      </c>
      <c r="AT198" s="1">
        <v>0</v>
      </c>
      <c r="AU198" s="1" t="s">
        <v>69</v>
      </c>
      <c r="AV198" s="1" t="s">
        <v>144</v>
      </c>
      <c r="AW198" s="1" t="s">
        <v>144</v>
      </c>
      <c r="AX198" s="1">
        <v>1</v>
      </c>
      <c r="AY198" s="1">
        <v>4</v>
      </c>
      <c r="AZ198" s="1" t="s">
        <v>1326</v>
      </c>
      <c r="BA198" s="1" t="s">
        <v>235</v>
      </c>
      <c r="BB198" s="1" t="s">
        <v>442</v>
      </c>
      <c r="BC198" s="1" t="s">
        <v>79</v>
      </c>
      <c r="BD198" s="1" t="s">
        <v>503</v>
      </c>
      <c r="BE198" s="1" t="s">
        <v>79</v>
      </c>
      <c r="BF198" s="5" t="s">
        <v>83</v>
      </c>
    </row>
    <row r="199" spans="1:58" x14ac:dyDescent="0.35">
      <c r="A199" s="4">
        <v>198</v>
      </c>
      <c r="B199" s="1" t="s">
        <v>1327</v>
      </c>
      <c r="C199" s="1" t="s">
        <v>63</v>
      </c>
      <c r="D199" s="1" t="s">
        <v>338</v>
      </c>
      <c r="E199" s="1" t="s">
        <v>69</v>
      </c>
      <c r="F199" s="1" t="s">
        <v>69</v>
      </c>
      <c r="G199" s="1" t="s">
        <v>69</v>
      </c>
      <c r="H199" s="1" t="s">
        <v>69</v>
      </c>
      <c r="I199" s="1" t="s">
        <v>106</v>
      </c>
      <c r="J199" s="1" t="s">
        <v>107</v>
      </c>
      <c r="K199" s="1">
        <v>60</v>
      </c>
      <c r="L199" s="1" t="s">
        <v>182</v>
      </c>
      <c r="M199" s="1" t="s">
        <v>93</v>
      </c>
      <c r="N199" s="1" t="s">
        <v>246</v>
      </c>
      <c r="O199" s="1">
        <v>4</v>
      </c>
      <c r="P199" s="1">
        <v>4</v>
      </c>
      <c r="Q199" s="1">
        <f>data[[#This Row],[Nilai Kepentingan Dimensi Persyaratan]]-data[[#This Row],[Nilai Kepuasan Dimensi Persyaratan]]</f>
        <v>0</v>
      </c>
      <c r="R199" s="1">
        <v>4</v>
      </c>
      <c r="S199" s="1">
        <v>4</v>
      </c>
      <c r="T199" s="1">
        <f>data[[#This Row],[Nilai Kepentingan Dimensi Prosedur]]-data[[#This Row],[Nilai Kepuasan Dimensi Prosedur]]</f>
        <v>0</v>
      </c>
      <c r="U199" s="1">
        <v>4</v>
      </c>
      <c r="V199" s="1">
        <v>4</v>
      </c>
      <c r="W199" s="1">
        <f>data[[#This Row],[Nilai Kepentingan Dimensi Waktu Pelayanan/Penyelesaian]]-data[[#This Row],[Nilai Kepuasan Dimensi Waktu Pelayanan/Penyelesaian]]</f>
        <v>0</v>
      </c>
      <c r="X199" s="1">
        <v>0</v>
      </c>
      <c r="Y199" s="1">
        <v>0</v>
      </c>
      <c r="Z199" s="1">
        <f>data[[#This Row],[Nilai Kepentingan Dimensi Tarif/ Biaya]]-data[[#This Row],[Nilai Kepuasan Dimensi Tarif / Biaya]]</f>
        <v>0</v>
      </c>
      <c r="AA199" s="1">
        <v>4</v>
      </c>
      <c r="AB199" s="1">
        <v>4</v>
      </c>
      <c r="AC199" s="1">
        <f>data[[#This Row],[Nilai Kepentingan Dimensi Produk Spesifikasi Jenis Layanan]]-data[[#This Row],[Nilai Kepuasan Dimensi Produk Spesifikasi Jenis Layanan]]</f>
        <v>0</v>
      </c>
      <c r="AD199" s="1">
        <v>4</v>
      </c>
      <c r="AE199" s="1">
        <v>4</v>
      </c>
      <c r="AF199" s="1">
        <f>data[[#This Row],[Nilai Kepentingan Dimensi Kompetensi Pelaksana]]-data[[#This Row],[Nilai Kepuasan Dimensi Kompetensi Pelaksana]]</f>
        <v>0</v>
      </c>
      <c r="AG199" s="1">
        <v>4</v>
      </c>
      <c r="AH199" s="1">
        <v>4</v>
      </c>
      <c r="AI199" s="1">
        <f>data[[#This Row],[Nilai Kepentingan Dimensi Perilaku Pelaksana]]-data[[#This Row],[Nilai Kepuasan Dimensi Perilaku Pelaksana]]</f>
        <v>0</v>
      </c>
      <c r="AJ199" s="1">
        <v>4</v>
      </c>
      <c r="AK199" s="1">
        <v>4</v>
      </c>
      <c r="AL199" s="1">
        <f>data[[#This Row],[Nilai Kepentingan Dimensi Penanganan Pengaduan, Saran &amp; Masukan]]-data[[#This Row],[Nilai Kepuasan Dimensi Penanganan Pengaduan, Saran &amp; Masukan]]</f>
        <v>0</v>
      </c>
      <c r="AM199" s="1">
        <v>4</v>
      </c>
      <c r="AN199" s="1">
        <v>4</v>
      </c>
      <c r="AO199" s="1">
        <f>data[[#This Row],[Nilai Kepentingan Dimensi Kualitas Sarana dan Prasarana]]-data[[#This Row],[Nilai Kepuasan Dimensi Kualitas Sarana dan Prasarana]]</f>
        <v>0</v>
      </c>
      <c r="AP199" s="1">
        <v>0</v>
      </c>
      <c r="AQ199" s="1" t="s">
        <v>69</v>
      </c>
      <c r="AR199" s="1">
        <v>4</v>
      </c>
      <c r="AS199" s="1" t="s">
        <v>75</v>
      </c>
      <c r="AT199" s="1">
        <v>0</v>
      </c>
      <c r="AU199" s="1" t="s">
        <v>69</v>
      </c>
      <c r="AV199" s="1" t="s">
        <v>83</v>
      </c>
      <c r="AW199" s="1" t="s">
        <v>96</v>
      </c>
      <c r="AX199" s="1">
        <v>0</v>
      </c>
      <c r="AY199" s="1">
        <v>0</v>
      </c>
      <c r="AZ199" s="1" t="s">
        <v>442</v>
      </c>
      <c r="BA199" s="1" t="s">
        <v>79</v>
      </c>
      <c r="BB199" s="1" t="s">
        <v>1332</v>
      </c>
      <c r="BC199" s="1" t="s">
        <v>79</v>
      </c>
      <c r="BD199" s="1" t="s">
        <v>248</v>
      </c>
      <c r="BE199" s="1" t="s">
        <v>79</v>
      </c>
      <c r="BF199" s="5" t="s">
        <v>83</v>
      </c>
    </row>
    <row r="200" spans="1:58" x14ac:dyDescent="0.35">
      <c r="A200" s="4">
        <v>199</v>
      </c>
      <c r="B200" s="1" t="s">
        <v>1333</v>
      </c>
      <c r="C200" s="1" t="s">
        <v>63</v>
      </c>
      <c r="D200" s="1" t="s">
        <v>63</v>
      </c>
      <c r="E200" s="1" t="s">
        <v>69</v>
      </c>
      <c r="F200" s="1" t="s">
        <v>69</v>
      </c>
      <c r="G200" s="1" t="s">
        <v>69</v>
      </c>
      <c r="H200" s="1" t="s">
        <v>69</v>
      </c>
      <c r="I200" s="1" t="s">
        <v>70</v>
      </c>
      <c r="J200" s="1" t="s">
        <v>107</v>
      </c>
      <c r="K200" s="1">
        <v>19</v>
      </c>
      <c r="L200" s="1" t="s">
        <v>131</v>
      </c>
      <c r="M200" s="1" t="s">
        <v>73</v>
      </c>
      <c r="N200" s="1" t="s">
        <v>110</v>
      </c>
      <c r="O200" s="1">
        <v>3</v>
      </c>
      <c r="P200" s="1">
        <v>3</v>
      </c>
      <c r="Q200" s="1">
        <f>data[[#This Row],[Nilai Kepentingan Dimensi Persyaratan]]-data[[#This Row],[Nilai Kepuasan Dimensi Persyaratan]]</f>
        <v>0</v>
      </c>
      <c r="R200" s="1">
        <v>4</v>
      </c>
      <c r="S200" s="1">
        <v>4</v>
      </c>
      <c r="T200" s="1">
        <f>data[[#This Row],[Nilai Kepentingan Dimensi Prosedur]]-data[[#This Row],[Nilai Kepuasan Dimensi Prosedur]]</f>
        <v>0</v>
      </c>
      <c r="U200" s="1">
        <v>4</v>
      </c>
      <c r="V200" s="1">
        <v>4</v>
      </c>
      <c r="W200" s="1">
        <f>data[[#This Row],[Nilai Kepentingan Dimensi Waktu Pelayanan/Penyelesaian]]-data[[#This Row],[Nilai Kepuasan Dimensi Waktu Pelayanan/Penyelesaian]]</f>
        <v>0</v>
      </c>
      <c r="X200" s="1">
        <v>0</v>
      </c>
      <c r="Y200" s="1">
        <v>0</v>
      </c>
      <c r="Z200" s="1">
        <f>data[[#This Row],[Nilai Kepentingan Dimensi Tarif/ Biaya]]-data[[#This Row],[Nilai Kepuasan Dimensi Tarif / Biaya]]</f>
        <v>0</v>
      </c>
      <c r="AA200" s="1">
        <v>4</v>
      </c>
      <c r="AB200" s="1">
        <v>4</v>
      </c>
      <c r="AC200" s="1">
        <f>data[[#This Row],[Nilai Kepentingan Dimensi Produk Spesifikasi Jenis Layanan]]-data[[#This Row],[Nilai Kepuasan Dimensi Produk Spesifikasi Jenis Layanan]]</f>
        <v>0</v>
      </c>
      <c r="AD200" s="1">
        <v>3</v>
      </c>
      <c r="AE200" s="1">
        <v>3</v>
      </c>
      <c r="AF200" s="1">
        <f>data[[#This Row],[Nilai Kepentingan Dimensi Kompetensi Pelaksana]]-data[[#This Row],[Nilai Kepuasan Dimensi Kompetensi Pelaksana]]</f>
        <v>0</v>
      </c>
      <c r="AG200" s="1">
        <v>3</v>
      </c>
      <c r="AH200" s="1">
        <v>3</v>
      </c>
      <c r="AI200" s="1">
        <f>data[[#This Row],[Nilai Kepentingan Dimensi Perilaku Pelaksana]]-data[[#This Row],[Nilai Kepuasan Dimensi Perilaku Pelaksana]]</f>
        <v>0</v>
      </c>
      <c r="AJ200" s="1">
        <v>3</v>
      </c>
      <c r="AK200" s="1">
        <v>3</v>
      </c>
      <c r="AL200" s="1">
        <f>data[[#This Row],[Nilai Kepentingan Dimensi Penanganan Pengaduan, Saran &amp; Masukan]]-data[[#This Row],[Nilai Kepuasan Dimensi Penanganan Pengaduan, Saran &amp; Masukan]]</f>
        <v>0</v>
      </c>
      <c r="AM200" s="1">
        <v>3</v>
      </c>
      <c r="AN200" s="1">
        <v>3</v>
      </c>
      <c r="AO200" s="1">
        <f>data[[#This Row],[Nilai Kepentingan Dimensi Kualitas Sarana dan Prasarana]]-data[[#This Row],[Nilai Kepuasan Dimensi Kualitas Sarana dan Prasarana]]</f>
        <v>0</v>
      </c>
      <c r="AP200" s="1">
        <v>0</v>
      </c>
      <c r="AQ200" s="1" t="s">
        <v>75</v>
      </c>
      <c r="AR200" s="1">
        <v>4</v>
      </c>
      <c r="AS200" s="1" t="s">
        <v>75</v>
      </c>
      <c r="AT200" s="1">
        <v>0</v>
      </c>
      <c r="AU200" s="1" t="s">
        <v>75</v>
      </c>
      <c r="AV200" s="1" t="s">
        <v>83</v>
      </c>
      <c r="AW200" s="1" t="s">
        <v>96</v>
      </c>
      <c r="AX200" s="1">
        <v>0</v>
      </c>
      <c r="AY200" s="1">
        <v>0</v>
      </c>
      <c r="AZ200" s="1" t="s">
        <v>442</v>
      </c>
      <c r="BA200" s="1" t="s">
        <v>79</v>
      </c>
      <c r="BB200" s="1" t="s">
        <v>442</v>
      </c>
      <c r="BC200" s="1" t="s">
        <v>79</v>
      </c>
      <c r="BD200" s="1" t="s">
        <v>442</v>
      </c>
      <c r="BE200" s="1" t="s">
        <v>79</v>
      </c>
      <c r="BF200" s="5" t="s">
        <v>83</v>
      </c>
    </row>
    <row r="201" spans="1:58" x14ac:dyDescent="0.35">
      <c r="A201" s="4">
        <v>200</v>
      </c>
      <c r="B201" s="1" t="s">
        <v>1338</v>
      </c>
      <c r="C201" s="1" t="s">
        <v>63</v>
      </c>
      <c r="D201" s="1" t="s">
        <v>86</v>
      </c>
      <c r="E201" s="1" t="s">
        <v>69</v>
      </c>
      <c r="F201" s="1" t="s">
        <v>69</v>
      </c>
      <c r="G201" s="1" t="s">
        <v>69</v>
      </c>
      <c r="H201" s="1" t="s">
        <v>69</v>
      </c>
      <c r="I201" s="1" t="s">
        <v>70</v>
      </c>
      <c r="J201" s="1" t="s">
        <v>292</v>
      </c>
      <c r="K201" s="1">
        <v>30</v>
      </c>
      <c r="L201" s="1" t="s">
        <v>92</v>
      </c>
      <c r="M201" s="1" t="s">
        <v>1343</v>
      </c>
      <c r="N201" s="1" t="s">
        <v>143</v>
      </c>
      <c r="O201" s="1">
        <v>3</v>
      </c>
      <c r="P201" s="1">
        <v>3</v>
      </c>
      <c r="Q201" s="1">
        <f>data[[#This Row],[Nilai Kepentingan Dimensi Persyaratan]]-data[[#This Row],[Nilai Kepuasan Dimensi Persyaratan]]</f>
        <v>0</v>
      </c>
      <c r="R201" s="1">
        <v>3</v>
      </c>
      <c r="S201" s="1">
        <v>3</v>
      </c>
      <c r="T201" s="1">
        <f>data[[#This Row],[Nilai Kepentingan Dimensi Prosedur]]-data[[#This Row],[Nilai Kepuasan Dimensi Prosedur]]</f>
        <v>0</v>
      </c>
      <c r="U201" s="1">
        <v>3</v>
      </c>
      <c r="V201" s="1">
        <v>3</v>
      </c>
      <c r="W201" s="1">
        <f>data[[#This Row],[Nilai Kepentingan Dimensi Waktu Pelayanan/Penyelesaian]]-data[[#This Row],[Nilai Kepuasan Dimensi Waktu Pelayanan/Penyelesaian]]</f>
        <v>0</v>
      </c>
      <c r="X201" s="1">
        <v>3</v>
      </c>
      <c r="Y201" s="1">
        <v>3</v>
      </c>
      <c r="Z201" s="1">
        <f>data[[#This Row],[Nilai Kepentingan Dimensi Tarif/ Biaya]]-data[[#This Row],[Nilai Kepuasan Dimensi Tarif / Biaya]]</f>
        <v>0</v>
      </c>
      <c r="AA201" s="1">
        <v>3</v>
      </c>
      <c r="AB201" s="1">
        <v>3</v>
      </c>
      <c r="AC201" s="1">
        <f>data[[#This Row],[Nilai Kepentingan Dimensi Produk Spesifikasi Jenis Layanan]]-data[[#This Row],[Nilai Kepuasan Dimensi Produk Spesifikasi Jenis Layanan]]</f>
        <v>0</v>
      </c>
      <c r="AD201" s="1">
        <v>3</v>
      </c>
      <c r="AE201" s="1">
        <v>3</v>
      </c>
      <c r="AF201" s="1">
        <f>data[[#This Row],[Nilai Kepentingan Dimensi Kompetensi Pelaksana]]-data[[#This Row],[Nilai Kepuasan Dimensi Kompetensi Pelaksana]]</f>
        <v>0</v>
      </c>
      <c r="AG201" s="1">
        <v>4</v>
      </c>
      <c r="AH201" s="1">
        <v>4</v>
      </c>
      <c r="AI201" s="1">
        <f>data[[#This Row],[Nilai Kepentingan Dimensi Perilaku Pelaksana]]-data[[#This Row],[Nilai Kepuasan Dimensi Perilaku Pelaksana]]</f>
        <v>0</v>
      </c>
      <c r="AJ201" s="1">
        <v>2</v>
      </c>
      <c r="AK201" s="1">
        <v>3</v>
      </c>
      <c r="AL201" s="1">
        <f>data[[#This Row],[Nilai Kepentingan Dimensi Penanganan Pengaduan, Saran &amp; Masukan]]-data[[#This Row],[Nilai Kepuasan Dimensi Penanganan Pengaduan, Saran &amp; Masukan]]</f>
        <v>1</v>
      </c>
      <c r="AM201" s="1">
        <v>4</v>
      </c>
      <c r="AN201" s="1">
        <v>4</v>
      </c>
      <c r="AO201" s="1">
        <f>data[[#This Row],[Nilai Kepentingan Dimensi Kualitas Sarana dan Prasarana]]-data[[#This Row],[Nilai Kepuasan Dimensi Kualitas Sarana dan Prasarana]]</f>
        <v>0</v>
      </c>
      <c r="AP201" s="1">
        <v>4</v>
      </c>
      <c r="AQ201" s="1" t="s">
        <v>69</v>
      </c>
      <c r="AR201" s="1">
        <v>0</v>
      </c>
      <c r="AS201" s="1" t="s">
        <v>69</v>
      </c>
      <c r="AT201" s="1">
        <v>0</v>
      </c>
      <c r="AU201" s="1" t="s">
        <v>69</v>
      </c>
      <c r="AV201" s="1" t="s">
        <v>83</v>
      </c>
      <c r="AW201" s="1" t="s">
        <v>96</v>
      </c>
      <c r="AX201" s="1">
        <v>0</v>
      </c>
      <c r="AY201" s="1">
        <v>0</v>
      </c>
      <c r="AZ201" s="1" t="s">
        <v>1344</v>
      </c>
      <c r="BA201" s="1" t="s">
        <v>112</v>
      </c>
      <c r="BB201" s="1" t="s">
        <v>1345</v>
      </c>
      <c r="BC201" s="1" t="s">
        <v>157</v>
      </c>
      <c r="BD201" s="1" t="s">
        <v>624</v>
      </c>
      <c r="BE201" s="1" t="s">
        <v>79</v>
      </c>
      <c r="BF201" s="5" t="s">
        <v>83</v>
      </c>
    </row>
    <row r="202" spans="1:58" x14ac:dyDescent="0.35">
      <c r="A202" s="4">
        <v>201</v>
      </c>
      <c r="B202" s="1" t="s">
        <v>1346</v>
      </c>
      <c r="C202" s="1" t="s">
        <v>63</v>
      </c>
      <c r="D202" s="1" t="s">
        <v>757</v>
      </c>
      <c r="E202" s="1" t="s">
        <v>69</v>
      </c>
      <c r="F202" s="1" t="s">
        <v>69</v>
      </c>
      <c r="G202" s="1" t="s">
        <v>69</v>
      </c>
      <c r="H202" s="1" t="s">
        <v>69</v>
      </c>
      <c r="I202" s="1" t="s">
        <v>106</v>
      </c>
      <c r="J202" s="1" t="s">
        <v>271</v>
      </c>
      <c r="K202" s="1">
        <v>33</v>
      </c>
      <c r="L202" s="1" t="s">
        <v>109</v>
      </c>
      <c r="M202" s="1" t="s">
        <v>73</v>
      </c>
      <c r="N202" s="1" t="s">
        <v>74</v>
      </c>
      <c r="O202" s="1">
        <v>4</v>
      </c>
      <c r="P202" s="1">
        <v>4</v>
      </c>
      <c r="Q202" s="1">
        <f>data[[#This Row],[Nilai Kepentingan Dimensi Persyaratan]]-data[[#This Row],[Nilai Kepuasan Dimensi Persyaratan]]</f>
        <v>0</v>
      </c>
      <c r="R202" s="1">
        <v>3</v>
      </c>
      <c r="S202" s="1">
        <v>3</v>
      </c>
      <c r="T202" s="1">
        <f>data[[#This Row],[Nilai Kepentingan Dimensi Prosedur]]-data[[#This Row],[Nilai Kepuasan Dimensi Prosedur]]</f>
        <v>0</v>
      </c>
      <c r="U202" s="1">
        <v>4</v>
      </c>
      <c r="V202" s="1">
        <v>4</v>
      </c>
      <c r="W202" s="1">
        <f>data[[#This Row],[Nilai Kepentingan Dimensi Waktu Pelayanan/Penyelesaian]]-data[[#This Row],[Nilai Kepuasan Dimensi Waktu Pelayanan/Penyelesaian]]</f>
        <v>0</v>
      </c>
      <c r="X202" s="1">
        <v>3</v>
      </c>
      <c r="Y202" s="1">
        <v>3</v>
      </c>
      <c r="Z202" s="1">
        <f>data[[#This Row],[Nilai Kepentingan Dimensi Tarif/ Biaya]]-data[[#This Row],[Nilai Kepuasan Dimensi Tarif / Biaya]]</f>
        <v>0</v>
      </c>
      <c r="AA202" s="1">
        <v>4</v>
      </c>
      <c r="AB202" s="1">
        <v>4</v>
      </c>
      <c r="AC202" s="1">
        <f>data[[#This Row],[Nilai Kepentingan Dimensi Produk Spesifikasi Jenis Layanan]]-data[[#This Row],[Nilai Kepuasan Dimensi Produk Spesifikasi Jenis Layanan]]</f>
        <v>0</v>
      </c>
      <c r="AD202" s="1">
        <v>4</v>
      </c>
      <c r="AE202" s="1">
        <v>4</v>
      </c>
      <c r="AF202" s="1">
        <f>data[[#This Row],[Nilai Kepentingan Dimensi Kompetensi Pelaksana]]-data[[#This Row],[Nilai Kepuasan Dimensi Kompetensi Pelaksana]]</f>
        <v>0</v>
      </c>
      <c r="AG202" s="1">
        <v>4</v>
      </c>
      <c r="AH202" s="1">
        <v>4</v>
      </c>
      <c r="AI202" s="1">
        <f>data[[#This Row],[Nilai Kepentingan Dimensi Perilaku Pelaksana]]-data[[#This Row],[Nilai Kepuasan Dimensi Perilaku Pelaksana]]</f>
        <v>0</v>
      </c>
      <c r="AJ202" s="1">
        <v>4</v>
      </c>
      <c r="AK202" s="1">
        <v>4</v>
      </c>
      <c r="AL202" s="1">
        <f>data[[#This Row],[Nilai Kepentingan Dimensi Penanganan Pengaduan, Saran &amp; Masukan]]-data[[#This Row],[Nilai Kepuasan Dimensi Penanganan Pengaduan, Saran &amp; Masukan]]</f>
        <v>0</v>
      </c>
      <c r="AM202" s="1">
        <v>4</v>
      </c>
      <c r="AN202" s="1">
        <v>4</v>
      </c>
      <c r="AO202" s="1">
        <f>data[[#This Row],[Nilai Kepentingan Dimensi Kualitas Sarana dan Prasarana]]-data[[#This Row],[Nilai Kepuasan Dimensi Kualitas Sarana dan Prasarana]]</f>
        <v>0</v>
      </c>
      <c r="AP202" s="1">
        <v>0</v>
      </c>
      <c r="AQ202" s="1" t="s">
        <v>69</v>
      </c>
      <c r="AR202" s="1">
        <v>0</v>
      </c>
      <c r="AS202" s="1" t="s">
        <v>69</v>
      </c>
      <c r="AT202" s="1">
        <v>0</v>
      </c>
      <c r="AU202" s="1" t="s">
        <v>69</v>
      </c>
      <c r="AV202" s="1" t="s">
        <v>1350</v>
      </c>
      <c r="AW202" s="1" t="s">
        <v>77</v>
      </c>
      <c r="AX202" s="1">
        <v>1</v>
      </c>
      <c r="AY202" s="1">
        <v>4</v>
      </c>
      <c r="AZ202" s="1" t="s">
        <v>1351</v>
      </c>
      <c r="BA202" s="1" t="s">
        <v>540</v>
      </c>
      <c r="BB202" s="1" t="s">
        <v>1352</v>
      </c>
      <c r="BC202" s="1" t="s">
        <v>112</v>
      </c>
      <c r="BD202" s="1" t="s">
        <v>442</v>
      </c>
      <c r="BE202" s="1" t="s">
        <v>79</v>
      </c>
      <c r="BF202" s="5" t="s">
        <v>83</v>
      </c>
    </row>
    <row r="203" spans="1:58" x14ac:dyDescent="0.35">
      <c r="A203" s="4">
        <v>202</v>
      </c>
      <c r="B203" s="1" t="s">
        <v>1353</v>
      </c>
      <c r="C203" s="1" t="s">
        <v>63</v>
      </c>
      <c r="D203" s="1" t="s">
        <v>397</v>
      </c>
      <c r="E203" s="1" t="s">
        <v>69</v>
      </c>
      <c r="F203" s="1" t="s">
        <v>69</v>
      </c>
      <c r="G203" s="1" t="s">
        <v>69</v>
      </c>
      <c r="H203" s="1" t="s">
        <v>69</v>
      </c>
      <c r="I203" s="1" t="s">
        <v>106</v>
      </c>
      <c r="J203" s="1" t="s">
        <v>292</v>
      </c>
      <c r="K203" s="1">
        <v>19</v>
      </c>
      <c r="L203" s="1" t="s">
        <v>131</v>
      </c>
      <c r="M203" s="1" t="s">
        <v>73</v>
      </c>
      <c r="N203" s="1" t="s">
        <v>95</v>
      </c>
      <c r="O203" s="1">
        <v>3</v>
      </c>
      <c r="P203" s="1">
        <v>3</v>
      </c>
      <c r="Q203" s="1">
        <f>data[[#This Row],[Nilai Kepentingan Dimensi Persyaratan]]-data[[#This Row],[Nilai Kepuasan Dimensi Persyaratan]]</f>
        <v>0</v>
      </c>
      <c r="R203" s="1">
        <v>4</v>
      </c>
      <c r="S203" s="1">
        <v>4</v>
      </c>
      <c r="T203" s="1">
        <f>data[[#This Row],[Nilai Kepentingan Dimensi Prosedur]]-data[[#This Row],[Nilai Kepuasan Dimensi Prosedur]]</f>
        <v>0</v>
      </c>
      <c r="U203" s="1">
        <v>3</v>
      </c>
      <c r="V203" s="1">
        <v>3</v>
      </c>
      <c r="W203" s="1">
        <f>data[[#This Row],[Nilai Kepentingan Dimensi Waktu Pelayanan/Penyelesaian]]-data[[#This Row],[Nilai Kepuasan Dimensi Waktu Pelayanan/Penyelesaian]]</f>
        <v>0</v>
      </c>
      <c r="X203" s="1">
        <v>4</v>
      </c>
      <c r="Y203" s="1">
        <v>4</v>
      </c>
      <c r="Z203" s="1">
        <f>data[[#This Row],[Nilai Kepentingan Dimensi Tarif/ Biaya]]-data[[#This Row],[Nilai Kepuasan Dimensi Tarif / Biaya]]</f>
        <v>0</v>
      </c>
      <c r="AA203" s="1">
        <v>4</v>
      </c>
      <c r="AB203" s="1">
        <v>4</v>
      </c>
      <c r="AC203" s="1">
        <f>data[[#This Row],[Nilai Kepentingan Dimensi Produk Spesifikasi Jenis Layanan]]-data[[#This Row],[Nilai Kepuasan Dimensi Produk Spesifikasi Jenis Layanan]]</f>
        <v>0</v>
      </c>
      <c r="AD203" s="1">
        <v>3</v>
      </c>
      <c r="AE203" s="1">
        <v>4</v>
      </c>
      <c r="AF203" s="1">
        <f>data[[#This Row],[Nilai Kepentingan Dimensi Kompetensi Pelaksana]]-data[[#This Row],[Nilai Kepuasan Dimensi Kompetensi Pelaksana]]</f>
        <v>1</v>
      </c>
      <c r="AG203" s="1">
        <v>4</v>
      </c>
      <c r="AH203" s="1">
        <v>4</v>
      </c>
      <c r="AI203" s="1">
        <f>data[[#This Row],[Nilai Kepentingan Dimensi Perilaku Pelaksana]]-data[[#This Row],[Nilai Kepuasan Dimensi Perilaku Pelaksana]]</f>
        <v>0</v>
      </c>
      <c r="AJ203" s="1">
        <v>3</v>
      </c>
      <c r="AK203" s="1">
        <v>3</v>
      </c>
      <c r="AL203" s="1">
        <f>data[[#This Row],[Nilai Kepentingan Dimensi Penanganan Pengaduan, Saran &amp; Masukan]]-data[[#This Row],[Nilai Kepuasan Dimensi Penanganan Pengaduan, Saran &amp; Masukan]]</f>
        <v>0</v>
      </c>
      <c r="AM203" s="1">
        <v>4</v>
      </c>
      <c r="AN203" s="1">
        <v>4</v>
      </c>
      <c r="AO203" s="1">
        <f>data[[#This Row],[Nilai Kepentingan Dimensi Kualitas Sarana dan Prasarana]]-data[[#This Row],[Nilai Kepuasan Dimensi Kualitas Sarana dan Prasarana]]</f>
        <v>0</v>
      </c>
      <c r="AP203" s="1">
        <v>0</v>
      </c>
      <c r="AQ203" s="1" t="s">
        <v>69</v>
      </c>
      <c r="AR203" s="1">
        <v>0</v>
      </c>
      <c r="AS203" s="1" t="s">
        <v>69</v>
      </c>
      <c r="AT203" s="1">
        <v>0</v>
      </c>
      <c r="AU203" s="1" t="s">
        <v>69</v>
      </c>
      <c r="AV203" s="1" t="s">
        <v>532</v>
      </c>
      <c r="AW203" s="1" t="s">
        <v>77</v>
      </c>
      <c r="AX203" s="1">
        <v>1</v>
      </c>
      <c r="AY203" s="1">
        <v>4</v>
      </c>
      <c r="AZ203" s="1" t="s">
        <v>1357</v>
      </c>
      <c r="BA203" s="1" t="s">
        <v>227</v>
      </c>
      <c r="BB203" s="1" t="s">
        <v>442</v>
      </c>
      <c r="BC203" s="1" t="s">
        <v>79</v>
      </c>
      <c r="BD203" s="1" t="s">
        <v>1358</v>
      </c>
      <c r="BE203" s="1" t="s">
        <v>146</v>
      </c>
      <c r="BF203" s="5" t="s">
        <v>83</v>
      </c>
    </row>
    <row r="204" spans="1:58" x14ac:dyDescent="0.35">
      <c r="A204" s="4">
        <v>203</v>
      </c>
      <c r="B204" s="1" t="s">
        <v>1359</v>
      </c>
      <c r="C204" s="1" t="s">
        <v>63</v>
      </c>
      <c r="D204" s="1" t="s">
        <v>125</v>
      </c>
      <c r="E204" s="1" t="s">
        <v>69</v>
      </c>
      <c r="F204" s="1" t="s">
        <v>69</v>
      </c>
      <c r="G204" s="1" t="s">
        <v>69</v>
      </c>
      <c r="H204" s="1" t="s">
        <v>69</v>
      </c>
      <c r="I204" s="1" t="s">
        <v>106</v>
      </c>
      <c r="J204" s="1" t="s">
        <v>271</v>
      </c>
      <c r="K204" s="1">
        <v>26</v>
      </c>
      <c r="L204" s="1" t="s">
        <v>92</v>
      </c>
      <c r="M204" s="1" t="s">
        <v>73</v>
      </c>
      <c r="N204" s="1" t="s">
        <v>74</v>
      </c>
      <c r="O204" s="1">
        <v>4</v>
      </c>
      <c r="P204" s="1">
        <v>4</v>
      </c>
      <c r="Q204" s="1">
        <f>data[[#This Row],[Nilai Kepentingan Dimensi Persyaratan]]-data[[#This Row],[Nilai Kepuasan Dimensi Persyaratan]]</f>
        <v>0</v>
      </c>
      <c r="R204" s="1">
        <v>4</v>
      </c>
      <c r="S204" s="1">
        <v>4</v>
      </c>
      <c r="T204" s="1">
        <f>data[[#This Row],[Nilai Kepentingan Dimensi Prosedur]]-data[[#This Row],[Nilai Kepuasan Dimensi Prosedur]]</f>
        <v>0</v>
      </c>
      <c r="U204" s="1">
        <v>3</v>
      </c>
      <c r="V204" s="1">
        <v>3</v>
      </c>
      <c r="W204" s="1">
        <f>data[[#This Row],[Nilai Kepentingan Dimensi Waktu Pelayanan/Penyelesaian]]-data[[#This Row],[Nilai Kepuasan Dimensi Waktu Pelayanan/Penyelesaian]]</f>
        <v>0</v>
      </c>
      <c r="X204" s="1">
        <v>4</v>
      </c>
      <c r="Y204" s="1">
        <v>4</v>
      </c>
      <c r="Z204" s="1">
        <f>data[[#This Row],[Nilai Kepentingan Dimensi Tarif/ Biaya]]-data[[#This Row],[Nilai Kepuasan Dimensi Tarif / Biaya]]</f>
        <v>0</v>
      </c>
      <c r="AA204" s="1">
        <v>4</v>
      </c>
      <c r="AB204" s="1">
        <v>4</v>
      </c>
      <c r="AC204" s="1">
        <f>data[[#This Row],[Nilai Kepentingan Dimensi Produk Spesifikasi Jenis Layanan]]-data[[#This Row],[Nilai Kepuasan Dimensi Produk Spesifikasi Jenis Layanan]]</f>
        <v>0</v>
      </c>
      <c r="AD204" s="1">
        <v>4</v>
      </c>
      <c r="AE204" s="1">
        <v>4</v>
      </c>
      <c r="AF204" s="1">
        <f>data[[#This Row],[Nilai Kepentingan Dimensi Kompetensi Pelaksana]]-data[[#This Row],[Nilai Kepuasan Dimensi Kompetensi Pelaksana]]</f>
        <v>0</v>
      </c>
      <c r="AG204" s="1">
        <v>4</v>
      </c>
      <c r="AH204" s="1">
        <v>4</v>
      </c>
      <c r="AI204" s="1">
        <f>data[[#This Row],[Nilai Kepentingan Dimensi Perilaku Pelaksana]]-data[[#This Row],[Nilai Kepuasan Dimensi Perilaku Pelaksana]]</f>
        <v>0</v>
      </c>
      <c r="AJ204" s="1">
        <v>3</v>
      </c>
      <c r="AK204" s="1">
        <v>3</v>
      </c>
      <c r="AL204" s="1">
        <f>data[[#This Row],[Nilai Kepentingan Dimensi Penanganan Pengaduan, Saran &amp; Masukan]]-data[[#This Row],[Nilai Kepuasan Dimensi Penanganan Pengaduan, Saran &amp; Masukan]]</f>
        <v>0</v>
      </c>
      <c r="AM204" s="1">
        <v>4</v>
      </c>
      <c r="AN204" s="1">
        <v>4</v>
      </c>
      <c r="AO204" s="1">
        <f>data[[#This Row],[Nilai Kepentingan Dimensi Kualitas Sarana dan Prasarana]]-data[[#This Row],[Nilai Kepuasan Dimensi Kualitas Sarana dan Prasarana]]</f>
        <v>0</v>
      </c>
      <c r="AP204" s="1">
        <v>0</v>
      </c>
      <c r="AQ204" s="1" t="s">
        <v>69</v>
      </c>
      <c r="AR204" s="1">
        <v>0</v>
      </c>
      <c r="AS204" s="1" t="s">
        <v>69</v>
      </c>
      <c r="AT204" s="1">
        <v>0</v>
      </c>
      <c r="AU204" s="1" t="s">
        <v>69</v>
      </c>
      <c r="AV204" s="1" t="s">
        <v>1363</v>
      </c>
      <c r="AW204" s="1" t="s">
        <v>77</v>
      </c>
      <c r="AX204" s="1">
        <v>2</v>
      </c>
      <c r="AY204" s="1">
        <v>3</v>
      </c>
      <c r="AZ204" s="1" t="s">
        <v>682</v>
      </c>
      <c r="BA204" s="1" t="s">
        <v>79</v>
      </c>
      <c r="BB204" s="1" t="s">
        <v>682</v>
      </c>
      <c r="BC204" s="1" t="s">
        <v>79</v>
      </c>
      <c r="BD204" s="1" t="s">
        <v>682</v>
      </c>
      <c r="BE204" s="1" t="s">
        <v>79</v>
      </c>
      <c r="BF204" s="5" t="s">
        <v>83</v>
      </c>
    </row>
    <row r="205" spans="1:58" x14ac:dyDescent="0.35">
      <c r="A205" s="4">
        <v>204</v>
      </c>
      <c r="B205" s="1" t="s">
        <v>1364</v>
      </c>
      <c r="C205" s="1" t="s">
        <v>63</v>
      </c>
      <c r="D205" s="1" t="s">
        <v>179</v>
      </c>
      <c r="E205" s="1" t="s">
        <v>69</v>
      </c>
      <c r="F205" s="1" t="s">
        <v>69</v>
      </c>
      <c r="G205" s="1" t="s">
        <v>69</v>
      </c>
      <c r="H205" s="1" t="s">
        <v>69</v>
      </c>
      <c r="I205" s="1" t="s">
        <v>106</v>
      </c>
      <c r="J205" s="1" t="s">
        <v>292</v>
      </c>
      <c r="K205" s="1">
        <v>19</v>
      </c>
      <c r="L205" s="1" t="s">
        <v>131</v>
      </c>
      <c r="M205" s="1" t="s">
        <v>73</v>
      </c>
      <c r="N205" s="1" t="s">
        <v>95</v>
      </c>
      <c r="O205" s="1">
        <v>4</v>
      </c>
      <c r="P205" s="1">
        <v>4</v>
      </c>
      <c r="Q205" s="1">
        <f>data[[#This Row],[Nilai Kepentingan Dimensi Persyaratan]]-data[[#This Row],[Nilai Kepuasan Dimensi Persyaratan]]</f>
        <v>0</v>
      </c>
      <c r="R205" s="1">
        <v>4</v>
      </c>
      <c r="S205" s="1">
        <v>4</v>
      </c>
      <c r="T205" s="1">
        <f>data[[#This Row],[Nilai Kepentingan Dimensi Prosedur]]-data[[#This Row],[Nilai Kepuasan Dimensi Prosedur]]</f>
        <v>0</v>
      </c>
      <c r="U205" s="1">
        <v>3</v>
      </c>
      <c r="V205" s="1">
        <v>3</v>
      </c>
      <c r="W205" s="1">
        <f>data[[#This Row],[Nilai Kepentingan Dimensi Waktu Pelayanan/Penyelesaian]]-data[[#This Row],[Nilai Kepuasan Dimensi Waktu Pelayanan/Penyelesaian]]</f>
        <v>0</v>
      </c>
      <c r="X205" s="1">
        <v>4</v>
      </c>
      <c r="Y205" s="1">
        <v>4</v>
      </c>
      <c r="Z205" s="1">
        <f>data[[#This Row],[Nilai Kepentingan Dimensi Tarif/ Biaya]]-data[[#This Row],[Nilai Kepuasan Dimensi Tarif / Biaya]]</f>
        <v>0</v>
      </c>
      <c r="AA205" s="1">
        <v>4</v>
      </c>
      <c r="AB205" s="1">
        <v>4</v>
      </c>
      <c r="AC205" s="1">
        <f>data[[#This Row],[Nilai Kepentingan Dimensi Produk Spesifikasi Jenis Layanan]]-data[[#This Row],[Nilai Kepuasan Dimensi Produk Spesifikasi Jenis Layanan]]</f>
        <v>0</v>
      </c>
      <c r="AD205" s="1">
        <v>4</v>
      </c>
      <c r="AE205" s="1">
        <v>4</v>
      </c>
      <c r="AF205" s="1">
        <f>data[[#This Row],[Nilai Kepentingan Dimensi Kompetensi Pelaksana]]-data[[#This Row],[Nilai Kepuasan Dimensi Kompetensi Pelaksana]]</f>
        <v>0</v>
      </c>
      <c r="AG205" s="1">
        <v>4</v>
      </c>
      <c r="AH205" s="1">
        <v>4</v>
      </c>
      <c r="AI205" s="1">
        <f>data[[#This Row],[Nilai Kepentingan Dimensi Perilaku Pelaksana]]-data[[#This Row],[Nilai Kepuasan Dimensi Perilaku Pelaksana]]</f>
        <v>0</v>
      </c>
      <c r="AJ205" s="1">
        <v>4</v>
      </c>
      <c r="AK205" s="1">
        <v>4</v>
      </c>
      <c r="AL205" s="1">
        <f>data[[#This Row],[Nilai Kepentingan Dimensi Penanganan Pengaduan, Saran &amp; Masukan]]-data[[#This Row],[Nilai Kepuasan Dimensi Penanganan Pengaduan, Saran &amp; Masukan]]</f>
        <v>0</v>
      </c>
      <c r="AM205" s="1">
        <v>3</v>
      </c>
      <c r="AN205" s="1">
        <v>3</v>
      </c>
      <c r="AO205" s="1">
        <f>data[[#This Row],[Nilai Kepentingan Dimensi Kualitas Sarana dan Prasarana]]-data[[#This Row],[Nilai Kepuasan Dimensi Kualitas Sarana dan Prasarana]]</f>
        <v>0</v>
      </c>
      <c r="AP205" s="1">
        <v>0</v>
      </c>
      <c r="AQ205" s="1" t="s">
        <v>75</v>
      </c>
      <c r="AR205" s="1">
        <v>0</v>
      </c>
      <c r="AS205" s="1" t="s">
        <v>69</v>
      </c>
      <c r="AT205" s="1">
        <v>0</v>
      </c>
      <c r="AU205" s="1" t="s">
        <v>69</v>
      </c>
      <c r="AV205" s="1" t="s">
        <v>76</v>
      </c>
      <c r="AW205" s="1" t="s">
        <v>77</v>
      </c>
      <c r="AX205" s="1">
        <v>2</v>
      </c>
      <c r="AY205" s="1">
        <v>3</v>
      </c>
      <c r="AZ205" s="1" t="s">
        <v>682</v>
      </c>
      <c r="BA205" s="1" t="s">
        <v>79</v>
      </c>
      <c r="BB205" s="1" t="s">
        <v>1368</v>
      </c>
      <c r="BC205" s="1" t="s">
        <v>112</v>
      </c>
      <c r="BD205" s="1" t="s">
        <v>248</v>
      </c>
      <c r="BE205" s="1" t="s">
        <v>79</v>
      </c>
      <c r="BF205" s="5" t="s">
        <v>83</v>
      </c>
    </row>
    <row r="206" spans="1:58" x14ac:dyDescent="0.35">
      <c r="A206" s="4">
        <v>205</v>
      </c>
      <c r="B206" s="1" t="s">
        <v>1369</v>
      </c>
      <c r="C206" s="1" t="s">
        <v>63</v>
      </c>
      <c r="D206" s="1" t="s">
        <v>1372</v>
      </c>
      <c r="E206" s="1" t="s">
        <v>69</v>
      </c>
      <c r="F206" s="1" t="s">
        <v>69</v>
      </c>
      <c r="G206" s="1" t="s">
        <v>69</v>
      </c>
      <c r="H206" s="1" t="s">
        <v>69</v>
      </c>
      <c r="I206" s="1" t="s">
        <v>70</v>
      </c>
      <c r="J206" s="1" t="s">
        <v>292</v>
      </c>
      <c r="K206" s="1">
        <v>18</v>
      </c>
      <c r="L206" s="1" t="s">
        <v>131</v>
      </c>
      <c r="M206" s="1" t="s">
        <v>73</v>
      </c>
      <c r="N206" s="1" t="s">
        <v>95</v>
      </c>
      <c r="O206" s="1">
        <v>3</v>
      </c>
      <c r="P206" s="1">
        <v>4</v>
      </c>
      <c r="Q206" s="1">
        <f>data[[#This Row],[Nilai Kepentingan Dimensi Persyaratan]]-data[[#This Row],[Nilai Kepuasan Dimensi Persyaratan]]</f>
        <v>1</v>
      </c>
      <c r="R206" s="1">
        <v>4</v>
      </c>
      <c r="S206" s="1">
        <v>3</v>
      </c>
      <c r="T206" s="1">
        <f>data[[#This Row],[Nilai Kepentingan Dimensi Prosedur]]-data[[#This Row],[Nilai Kepuasan Dimensi Prosedur]]</f>
        <v>-1</v>
      </c>
      <c r="U206" s="1">
        <v>4</v>
      </c>
      <c r="V206" s="1">
        <v>3</v>
      </c>
      <c r="W206" s="1">
        <f>data[[#This Row],[Nilai Kepentingan Dimensi Waktu Pelayanan/Penyelesaian]]-data[[#This Row],[Nilai Kepuasan Dimensi Waktu Pelayanan/Penyelesaian]]</f>
        <v>-1</v>
      </c>
      <c r="X206" s="1">
        <v>3</v>
      </c>
      <c r="Y206" s="1">
        <v>3</v>
      </c>
      <c r="Z206" s="1">
        <f>data[[#This Row],[Nilai Kepentingan Dimensi Tarif/ Biaya]]-data[[#This Row],[Nilai Kepuasan Dimensi Tarif / Biaya]]</f>
        <v>0</v>
      </c>
      <c r="AA206" s="1">
        <v>4</v>
      </c>
      <c r="AB206" s="1">
        <v>4</v>
      </c>
      <c r="AC206" s="1">
        <f>data[[#This Row],[Nilai Kepentingan Dimensi Produk Spesifikasi Jenis Layanan]]-data[[#This Row],[Nilai Kepuasan Dimensi Produk Spesifikasi Jenis Layanan]]</f>
        <v>0</v>
      </c>
      <c r="AD206" s="1">
        <v>4</v>
      </c>
      <c r="AE206" s="1">
        <v>4</v>
      </c>
      <c r="AF206" s="1">
        <f>data[[#This Row],[Nilai Kepentingan Dimensi Kompetensi Pelaksana]]-data[[#This Row],[Nilai Kepuasan Dimensi Kompetensi Pelaksana]]</f>
        <v>0</v>
      </c>
      <c r="AG206" s="1">
        <v>4</v>
      </c>
      <c r="AH206" s="1">
        <v>4</v>
      </c>
      <c r="AI206" s="1">
        <f>data[[#This Row],[Nilai Kepentingan Dimensi Perilaku Pelaksana]]-data[[#This Row],[Nilai Kepuasan Dimensi Perilaku Pelaksana]]</f>
        <v>0</v>
      </c>
      <c r="AJ206" s="1">
        <v>4</v>
      </c>
      <c r="AK206" s="1">
        <v>4</v>
      </c>
      <c r="AL206" s="1">
        <f>data[[#This Row],[Nilai Kepentingan Dimensi Penanganan Pengaduan, Saran &amp; Masukan]]-data[[#This Row],[Nilai Kepuasan Dimensi Penanganan Pengaduan, Saran &amp; Masukan]]</f>
        <v>0</v>
      </c>
      <c r="AM206" s="1">
        <v>3</v>
      </c>
      <c r="AN206" s="1">
        <v>3</v>
      </c>
      <c r="AO206" s="1">
        <f>data[[#This Row],[Nilai Kepentingan Dimensi Kualitas Sarana dan Prasarana]]-data[[#This Row],[Nilai Kepuasan Dimensi Kualitas Sarana dan Prasarana]]</f>
        <v>0</v>
      </c>
      <c r="AP206" s="1">
        <v>0</v>
      </c>
      <c r="AQ206" s="1" t="s">
        <v>69</v>
      </c>
      <c r="AR206" s="1">
        <v>0</v>
      </c>
      <c r="AS206" s="1" t="s">
        <v>69</v>
      </c>
      <c r="AT206" s="1">
        <v>0</v>
      </c>
      <c r="AU206" s="1" t="s">
        <v>69</v>
      </c>
      <c r="AV206" s="1" t="s">
        <v>76</v>
      </c>
      <c r="AW206" s="1" t="s">
        <v>77</v>
      </c>
      <c r="AX206" s="1">
        <v>2</v>
      </c>
      <c r="AY206" s="1">
        <v>3</v>
      </c>
      <c r="AZ206" s="1" t="s">
        <v>624</v>
      </c>
      <c r="BA206" s="1" t="s">
        <v>79</v>
      </c>
      <c r="BB206" s="1" t="s">
        <v>624</v>
      </c>
      <c r="BC206" s="1" t="s">
        <v>79</v>
      </c>
      <c r="BD206" s="1" t="s">
        <v>624</v>
      </c>
      <c r="BE206" s="1" t="s">
        <v>79</v>
      </c>
      <c r="BF206" s="5" t="s">
        <v>83</v>
      </c>
    </row>
    <row r="207" spans="1:58" x14ac:dyDescent="0.35">
      <c r="A207" s="4">
        <v>206</v>
      </c>
      <c r="B207" s="1" t="s">
        <v>1375</v>
      </c>
      <c r="C207" s="1" t="s">
        <v>63</v>
      </c>
      <c r="D207" s="1" t="s">
        <v>125</v>
      </c>
      <c r="E207" s="1" t="s">
        <v>69</v>
      </c>
      <c r="F207" s="1" t="s">
        <v>69</v>
      </c>
      <c r="G207" s="1" t="s">
        <v>69</v>
      </c>
      <c r="H207" s="1" t="s">
        <v>69</v>
      </c>
      <c r="I207" s="1" t="s">
        <v>106</v>
      </c>
      <c r="J207" s="1" t="s">
        <v>292</v>
      </c>
      <c r="K207" s="1">
        <v>22</v>
      </c>
      <c r="L207" s="1" t="s">
        <v>72</v>
      </c>
      <c r="M207" s="1" t="s">
        <v>73</v>
      </c>
      <c r="N207" s="1" t="s">
        <v>74</v>
      </c>
      <c r="O207" s="1">
        <v>3</v>
      </c>
      <c r="P207" s="1">
        <v>4</v>
      </c>
      <c r="Q207" s="1">
        <f>data[[#This Row],[Nilai Kepentingan Dimensi Persyaratan]]-data[[#This Row],[Nilai Kepuasan Dimensi Persyaratan]]</f>
        <v>1</v>
      </c>
      <c r="R207" s="1">
        <v>4</v>
      </c>
      <c r="S207" s="1">
        <v>4</v>
      </c>
      <c r="T207" s="1">
        <f>data[[#This Row],[Nilai Kepentingan Dimensi Prosedur]]-data[[#This Row],[Nilai Kepuasan Dimensi Prosedur]]</f>
        <v>0</v>
      </c>
      <c r="U207" s="1">
        <v>3</v>
      </c>
      <c r="V207" s="1">
        <v>3</v>
      </c>
      <c r="W207" s="1">
        <f>data[[#This Row],[Nilai Kepentingan Dimensi Waktu Pelayanan/Penyelesaian]]-data[[#This Row],[Nilai Kepuasan Dimensi Waktu Pelayanan/Penyelesaian]]</f>
        <v>0</v>
      </c>
      <c r="X207" s="1">
        <v>3</v>
      </c>
      <c r="Y207" s="1">
        <v>3</v>
      </c>
      <c r="Z207" s="1">
        <f>data[[#This Row],[Nilai Kepentingan Dimensi Tarif/ Biaya]]-data[[#This Row],[Nilai Kepuasan Dimensi Tarif / Biaya]]</f>
        <v>0</v>
      </c>
      <c r="AA207" s="1">
        <v>4</v>
      </c>
      <c r="AB207" s="1">
        <v>4</v>
      </c>
      <c r="AC207" s="1">
        <f>data[[#This Row],[Nilai Kepentingan Dimensi Produk Spesifikasi Jenis Layanan]]-data[[#This Row],[Nilai Kepuasan Dimensi Produk Spesifikasi Jenis Layanan]]</f>
        <v>0</v>
      </c>
      <c r="AD207" s="1">
        <v>4</v>
      </c>
      <c r="AE207" s="1">
        <v>4</v>
      </c>
      <c r="AF207" s="1">
        <f>data[[#This Row],[Nilai Kepentingan Dimensi Kompetensi Pelaksana]]-data[[#This Row],[Nilai Kepuasan Dimensi Kompetensi Pelaksana]]</f>
        <v>0</v>
      </c>
      <c r="AG207" s="1">
        <v>4</v>
      </c>
      <c r="AH207" s="1">
        <v>4</v>
      </c>
      <c r="AI207" s="1">
        <f>data[[#This Row],[Nilai Kepentingan Dimensi Perilaku Pelaksana]]-data[[#This Row],[Nilai Kepuasan Dimensi Perilaku Pelaksana]]</f>
        <v>0</v>
      </c>
      <c r="AJ207" s="1">
        <v>4</v>
      </c>
      <c r="AK207" s="1">
        <v>4</v>
      </c>
      <c r="AL207" s="1">
        <f>data[[#This Row],[Nilai Kepentingan Dimensi Penanganan Pengaduan, Saran &amp; Masukan]]-data[[#This Row],[Nilai Kepuasan Dimensi Penanganan Pengaduan, Saran &amp; Masukan]]</f>
        <v>0</v>
      </c>
      <c r="AM207" s="1">
        <v>4</v>
      </c>
      <c r="AN207" s="1">
        <v>4</v>
      </c>
      <c r="AO207" s="1">
        <f>data[[#This Row],[Nilai Kepentingan Dimensi Kualitas Sarana dan Prasarana]]-data[[#This Row],[Nilai Kepuasan Dimensi Kualitas Sarana dan Prasarana]]</f>
        <v>0</v>
      </c>
      <c r="AP207" s="1">
        <v>4</v>
      </c>
      <c r="AQ207" s="1" t="s">
        <v>69</v>
      </c>
      <c r="AR207" s="1">
        <v>3</v>
      </c>
      <c r="AS207" s="1" t="s">
        <v>69</v>
      </c>
      <c r="AT207" s="1">
        <v>0</v>
      </c>
      <c r="AU207" s="1" t="s">
        <v>69</v>
      </c>
      <c r="AV207" s="1" t="s">
        <v>83</v>
      </c>
      <c r="AW207" s="1" t="s">
        <v>96</v>
      </c>
      <c r="AX207" s="1">
        <v>0</v>
      </c>
      <c r="AY207" s="1">
        <v>0</v>
      </c>
      <c r="AZ207" s="1" t="s">
        <v>624</v>
      </c>
      <c r="BA207" s="1" t="s">
        <v>79</v>
      </c>
      <c r="BB207" s="1" t="s">
        <v>1379</v>
      </c>
      <c r="BC207" s="1" t="s">
        <v>157</v>
      </c>
      <c r="BD207" s="1" t="s">
        <v>248</v>
      </c>
      <c r="BE207" s="1" t="s">
        <v>79</v>
      </c>
      <c r="BF207" s="5" t="s">
        <v>83</v>
      </c>
    </row>
    <row r="208" spans="1:58" x14ac:dyDescent="0.35">
      <c r="A208" s="4">
        <v>207</v>
      </c>
      <c r="B208" s="1" t="s">
        <v>1380</v>
      </c>
      <c r="C208" s="1" t="s">
        <v>466</v>
      </c>
      <c r="D208" s="1" t="s">
        <v>63</v>
      </c>
      <c r="E208" s="1" t="s">
        <v>69</v>
      </c>
      <c r="F208" s="1" t="s">
        <v>69</v>
      </c>
      <c r="G208" s="1" t="s">
        <v>69</v>
      </c>
      <c r="H208" s="1" t="s">
        <v>69</v>
      </c>
      <c r="I208" s="1" t="s">
        <v>70</v>
      </c>
      <c r="J208" s="1" t="s">
        <v>271</v>
      </c>
      <c r="K208" s="1">
        <v>23</v>
      </c>
      <c r="L208" s="1" t="s">
        <v>72</v>
      </c>
      <c r="M208" s="1" t="s">
        <v>93</v>
      </c>
      <c r="N208" s="1" t="s">
        <v>133</v>
      </c>
      <c r="O208" s="1">
        <v>3</v>
      </c>
      <c r="P208" s="1">
        <v>3</v>
      </c>
      <c r="Q208" s="1">
        <f>data[[#This Row],[Nilai Kepentingan Dimensi Persyaratan]]-data[[#This Row],[Nilai Kepuasan Dimensi Persyaratan]]</f>
        <v>0</v>
      </c>
      <c r="R208" s="1">
        <v>3</v>
      </c>
      <c r="S208" s="1">
        <v>4</v>
      </c>
      <c r="T208" s="1">
        <f>data[[#This Row],[Nilai Kepentingan Dimensi Prosedur]]-data[[#This Row],[Nilai Kepuasan Dimensi Prosedur]]</f>
        <v>1</v>
      </c>
      <c r="U208" s="1">
        <v>3</v>
      </c>
      <c r="V208" s="1">
        <v>3</v>
      </c>
      <c r="W208" s="1">
        <f>data[[#This Row],[Nilai Kepentingan Dimensi Waktu Pelayanan/Penyelesaian]]-data[[#This Row],[Nilai Kepuasan Dimensi Waktu Pelayanan/Penyelesaian]]</f>
        <v>0</v>
      </c>
      <c r="X208" s="1">
        <v>3</v>
      </c>
      <c r="Y208" s="1">
        <v>3</v>
      </c>
      <c r="Z208" s="1">
        <f>data[[#This Row],[Nilai Kepentingan Dimensi Tarif/ Biaya]]-data[[#This Row],[Nilai Kepuasan Dimensi Tarif / Biaya]]</f>
        <v>0</v>
      </c>
      <c r="AA208" s="1">
        <v>3</v>
      </c>
      <c r="AB208" s="1">
        <v>3</v>
      </c>
      <c r="AC208" s="1">
        <f>data[[#This Row],[Nilai Kepentingan Dimensi Produk Spesifikasi Jenis Layanan]]-data[[#This Row],[Nilai Kepuasan Dimensi Produk Spesifikasi Jenis Layanan]]</f>
        <v>0</v>
      </c>
      <c r="AD208" s="1">
        <v>4</v>
      </c>
      <c r="AE208" s="1">
        <v>3</v>
      </c>
      <c r="AF208" s="1">
        <f>data[[#This Row],[Nilai Kepentingan Dimensi Kompetensi Pelaksana]]-data[[#This Row],[Nilai Kepuasan Dimensi Kompetensi Pelaksana]]</f>
        <v>-1</v>
      </c>
      <c r="AG208" s="1">
        <v>4</v>
      </c>
      <c r="AH208" s="1">
        <v>4</v>
      </c>
      <c r="AI208" s="1">
        <f>data[[#This Row],[Nilai Kepentingan Dimensi Perilaku Pelaksana]]-data[[#This Row],[Nilai Kepuasan Dimensi Perilaku Pelaksana]]</f>
        <v>0</v>
      </c>
      <c r="AJ208" s="1">
        <v>3</v>
      </c>
      <c r="AK208" s="1">
        <v>3</v>
      </c>
      <c r="AL208" s="1">
        <f>data[[#This Row],[Nilai Kepentingan Dimensi Penanganan Pengaduan, Saran &amp; Masukan]]-data[[#This Row],[Nilai Kepuasan Dimensi Penanganan Pengaduan, Saran &amp; Masukan]]</f>
        <v>0</v>
      </c>
      <c r="AM208" s="1">
        <v>4</v>
      </c>
      <c r="AN208" s="1">
        <v>4</v>
      </c>
      <c r="AO208" s="1">
        <f>data[[#This Row],[Nilai Kepentingan Dimensi Kualitas Sarana dan Prasarana]]-data[[#This Row],[Nilai Kepuasan Dimensi Kualitas Sarana dan Prasarana]]</f>
        <v>0</v>
      </c>
      <c r="AP208" s="1">
        <v>3</v>
      </c>
      <c r="AQ208" s="1" t="s">
        <v>69</v>
      </c>
      <c r="AR208" s="1">
        <v>0</v>
      </c>
      <c r="AS208" s="1" t="s">
        <v>69</v>
      </c>
      <c r="AT208" s="1">
        <v>0</v>
      </c>
      <c r="AU208" s="1" t="s">
        <v>69</v>
      </c>
      <c r="AV208" s="1" t="s">
        <v>83</v>
      </c>
      <c r="AW208" s="1" t="s">
        <v>96</v>
      </c>
      <c r="AX208" s="1">
        <v>0</v>
      </c>
      <c r="AY208" s="1">
        <v>0</v>
      </c>
      <c r="AZ208" s="1" t="s">
        <v>248</v>
      </c>
      <c r="BA208" s="1" t="s">
        <v>79</v>
      </c>
      <c r="BB208" s="1" t="s">
        <v>1384</v>
      </c>
      <c r="BC208" s="1" t="s">
        <v>81</v>
      </c>
      <c r="BD208" s="1" t="s">
        <v>248</v>
      </c>
      <c r="BE208" s="1" t="s">
        <v>79</v>
      </c>
      <c r="BF208" s="5" t="s">
        <v>83</v>
      </c>
    </row>
    <row r="209" spans="1:58" x14ac:dyDescent="0.35">
      <c r="A209" s="4">
        <v>208</v>
      </c>
      <c r="B209" s="1" t="s">
        <v>1385</v>
      </c>
      <c r="C209" s="1" t="s">
        <v>63</v>
      </c>
      <c r="D209" s="1" t="s">
        <v>86</v>
      </c>
      <c r="E209" s="1" t="s">
        <v>69</v>
      </c>
      <c r="F209" s="1" t="s">
        <v>69</v>
      </c>
      <c r="G209" s="1" t="s">
        <v>69</v>
      </c>
      <c r="H209" s="1" t="s">
        <v>69</v>
      </c>
      <c r="I209" s="1" t="s">
        <v>70</v>
      </c>
      <c r="J209" s="1" t="s">
        <v>107</v>
      </c>
      <c r="K209" s="1">
        <v>33</v>
      </c>
      <c r="L209" s="1" t="s">
        <v>109</v>
      </c>
      <c r="M209" s="1" t="s">
        <v>1343</v>
      </c>
      <c r="N209" s="1" t="s">
        <v>143</v>
      </c>
      <c r="O209" s="1">
        <v>4</v>
      </c>
      <c r="P209" s="1">
        <v>4</v>
      </c>
      <c r="Q209" s="1">
        <f>data[[#This Row],[Nilai Kepentingan Dimensi Persyaratan]]-data[[#This Row],[Nilai Kepuasan Dimensi Persyaratan]]</f>
        <v>0</v>
      </c>
      <c r="R209" s="1">
        <v>4</v>
      </c>
      <c r="S209" s="1">
        <v>4</v>
      </c>
      <c r="T209" s="1">
        <f>data[[#This Row],[Nilai Kepentingan Dimensi Prosedur]]-data[[#This Row],[Nilai Kepuasan Dimensi Prosedur]]</f>
        <v>0</v>
      </c>
      <c r="U209" s="1">
        <v>4</v>
      </c>
      <c r="V209" s="1">
        <v>4</v>
      </c>
      <c r="W209" s="1">
        <f>data[[#This Row],[Nilai Kepentingan Dimensi Waktu Pelayanan/Penyelesaian]]-data[[#This Row],[Nilai Kepuasan Dimensi Waktu Pelayanan/Penyelesaian]]</f>
        <v>0</v>
      </c>
      <c r="X209" s="1">
        <v>0</v>
      </c>
      <c r="Y209" s="1">
        <v>0</v>
      </c>
      <c r="Z209" s="1">
        <f>data[[#This Row],[Nilai Kepentingan Dimensi Tarif/ Biaya]]-data[[#This Row],[Nilai Kepuasan Dimensi Tarif / Biaya]]</f>
        <v>0</v>
      </c>
      <c r="AA209" s="1">
        <v>4</v>
      </c>
      <c r="AB209" s="1">
        <v>4</v>
      </c>
      <c r="AC209" s="1">
        <f>data[[#This Row],[Nilai Kepentingan Dimensi Produk Spesifikasi Jenis Layanan]]-data[[#This Row],[Nilai Kepuasan Dimensi Produk Spesifikasi Jenis Layanan]]</f>
        <v>0</v>
      </c>
      <c r="AD209" s="1">
        <v>4</v>
      </c>
      <c r="AE209" s="1">
        <v>4</v>
      </c>
      <c r="AF209" s="1">
        <f>data[[#This Row],[Nilai Kepentingan Dimensi Kompetensi Pelaksana]]-data[[#This Row],[Nilai Kepuasan Dimensi Kompetensi Pelaksana]]</f>
        <v>0</v>
      </c>
      <c r="AG209" s="1">
        <v>4</v>
      </c>
      <c r="AH209" s="1">
        <v>4</v>
      </c>
      <c r="AI209" s="1">
        <f>data[[#This Row],[Nilai Kepentingan Dimensi Perilaku Pelaksana]]-data[[#This Row],[Nilai Kepuasan Dimensi Perilaku Pelaksana]]</f>
        <v>0</v>
      </c>
      <c r="AJ209" s="1">
        <v>4</v>
      </c>
      <c r="AK209" s="1">
        <v>4</v>
      </c>
      <c r="AL209" s="1">
        <f>data[[#This Row],[Nilai Kepentingan Dimensi Penanganan Pengaduan, Saran &amp; Masukan]]-data[[#This Row],[Nilai Kepuasan Dimensi Penanganan Pengaduan, Saran &amp; Masukan]]</f>
        <v>0</v>
      </c>
      <c r="AM209" s="1">
        <v>4</v>
      </c>
      <c r="AN209" s="1">
        <v>4</v>
      </c>
      <c r="AO209" s="1">
        <f>data[[#This Row],[Nilai Kepentingan Dimensi Kualitas Sarana dan Prasarana]]-data[[#This Row],[Nilai Kepuasan Dimensi Kualitas Sarana dan Prasarana]]</f>
        <v>0</v>
      </c>
      <c r="AP209" s="1">
        <v>0</v>
      </c>
      <c r="AQ209" s="1" t="s">
        <v>69</v>
      </c>
      <c r="AR209" s="1">
        <v>0</v>
      </c>
      <c r="AS209" s="1" t="s">
        <v>75</v>
      </c>
      <c r="AT209" s="1">
        <v>0</v>
      </c>
      <c r="AU209" s="1" t="s">
        <v>69</v>
      </c>
      <c r="AV209" s="1" t="s">
        <v>1390</v>
      </c>
      <c r="AW209" s="1" t="s">
        <v>1162</v>
      </c>
      <c r="AX209" s="1">
        <v>1</v>
      </c>
      <c r="AY209" s="1">
        <v>4</v>
      </c>
      <c r="AZ209" s="1" t="s">
        <v>278</v>
      </c>
      <c r="BA209" s="1" t="s">
        <v>79</v>
      </c>
      <c r="BB209" s="1" t="s">
        <v>985</v>
      </c>
      <c r="BC209" s="1" t="s">
        <v>79</v>
      </c>
      <c r="BD209" s="1" t="s">
        <v>985</v>
      </c>
      <c r="BE209" s="1" t="s">
        <v>79</v>
      </c>
      <c r="BF209" s="5" t="s">
        <v>83</v>
      </c>
    </row>
    <row r="210" spans="1:58" x14ac:dyDescent="0.35">
      <c r="A210" s="4">
        <v>209</v>
      </c>
      <c r="B210" s="1" t="s">
        <v>1391</v>
      </c>
      <c r="C210" s="1" t="s">
        <v>63</v>
      </c>
      <c r="D210" s="1" t="s">
        <v>125</v>
      </c>
      <c r="E210" s="1" t="s">
        <v>69</v>
      </c>
      <c r="F210" s="1" t="s">
        <v>69</v>
      </c>
      <c r="G210" s="1" t="s">
        <v>69</v>
      </c>
      <c r="H210" s="1" t="s">
        <v>69</v>
      </c>
      <c r="I210" s="1" t="s">
        <v>106</v>
      </c>
      <c r="J210" s="1" t="s">
        <v>271</v>
      </c>
      <c r="K210" s="1">
        <v>23</v>
      </c>
      <c r="L210" s="1" t="s">
        <v>72</v>
      </c>
      <c r="M210" s="1" t="s">
        <v>73</v>
      </c>
      <c r="N210" s="1" t="s">
        <v>74</v>
      </c>
      <c r="O210" s="1">
        <v>3</v>
      </c>
      <c r="P210" s="1">
        <v>3</v>
      </c>
      <c r="Q210" s="1">
        <f>data[[#This Row],[Nilai Kepentingan Dimensi Persyaratan]]-data[[#This Row],[Nilai Kepuasan Dimensi Persyaratan]]</f>
        <v>0</v>
      </c>
      <c r="R210" s="1">
        <v>3</v>
      </c>
      <c r="S210" s="1">
        <v>3</v>
      </c>
      <c r="T210" s="1">
        <f>data[[#This Row],[Nilai Kepentingan Dimensi Prosedur]]-data[[#This Row],[Nilai Kepuasan Dimensi Prosedur]]</f>
        <v>0</v>
      </c>
      <c r="U210" s="1">
        <v>3</v>
      </c>
      <c r="V210" s="1">
        <v>3</v>
      </c>
      <c r="W210" s="1">
        <f>data[[#This Row],[Nilai Kepentingan Dimensi Waktu Pelayanan/Penyelesaian]]-data[[#This Row],[Nilai Kepuasan Dimensi Waktu Pelayanan/Penyelesaian]]</f>
        <v>0</v>
      </c>
      <c r="X210" s="1">
        <v>3</v>
      </c>
      <c r="Y210" s="1">
        <v>3</v>
      </c>
      <c r="Z210" s="1">
        <f>data[[#This Row],[Nilai Kepentingan Dimensi Tarif/ Biaya]]-data[[#This Row],[Nilai Kepuasan Dimensi Tarif / Biaya]]</f>
        <v>0</v>
      </c>
      <c r="AA210" s="1">
        <v>3</v>
      </c>
      <c r="AB210" s="1">
        <v>3</v>
      </c>
      <c r="AC210" s="1">
        <f>data[[#This Row],[Nilai Kepentingan Dimensi Produk Spesifikasi Jenis Layanan]]-data[[#This Row],[Nilai Kepuasan Dimensi Produk Spesifikasi Jenis Layanan]]</f>
        <v>0</v>
      </c>
      <c r="AD210" s="1">
        <v>3</v>
      </c>
      <c r="AE210" s="1">
        <v>3</v>
      </c>
      <c r="AF210" s="1">
        <f>data[[#This Row],[Nilai Kepentingan Dimensi Kompetensi Pelaksana]]-data[[#This Row],[Nilai Kepuasan Dimensi Kompetensi Pelaksana]]</f>
        <v>0</v>
      </c>
      <c r="AG210" s="1">
        <v>3</v>
      </c>
      <c r="AH210" s="1">
        <v>3</v>
      </c>
      <c r="AI210" s="1">
        <f>data[[#This Row],[Nilai Kepentingan Dimensi Perilaku Pelaksana]]-data[[#This Row],[Nilai Kepuasan Dimensi Perilaku Pelaksana]]</f>
        <v>0</v>
      </c>
      <c r="AJ210" s="1">
        <v>3</v>
      </c>
      <c r="AK210" s="1">
        <v>3</v>
      </c>
      <c r="AL210" s="1">
        <f>data[[#This Row],[Nilai Kepentingan Dimensi Penanganan Pengaduan, Saran &amp; Masukan]]-data[[#This Row],[Nilai Kepuasan Dimensi Penanganan Pengaduan, Saran &amp; Masukan]]</f>
        <v>0</v>
      </c>
      <c r="AM210" s="1">
        <v>3</v>
      </c>
      <c r="AN210" s="1">
        <v>3</v>
      </c>
      <c r="AO210" s="1">
        <f>data[[#This Row],[Nilai Kepentingan Dimensi Kualitas Sarana dan Prasarana]]-data[[#This Row],[Nilai Kepuasan Dimensi Kualitas Sarana dan Prasarana]]</f>
        <v>0</v>
      </c>
      <c r="AP210" s="1">
        <v>4</v>
      </c>
      <c r="AQ210" s="1" t="s">
        <v>69</v>
      </c>
      <c r="AR210" s="1">
        <v>0</v>
      </c>
      <c r="AS210" s="1" t="s">
        <v>69</v>
      </c>
      <c r="AT210" s="1">
        <v>0</v>
      </c>
      <c r="AU210" s="1" t="s">
        <v>69</v>
      </c>
      <c r="AV210" s="1" t="s">
        <v>83</v>
      </c>
      <c r="AW210" s="1" t="s">
        <v>96</v>
      </c>
      <c r="AX210" s="1">
        <v>0</v>
      </c>
      <c r="AY210" s="1">
        <v>0</v>
      </c>
      <c r="AZ210" s="1" t="s">
        <v>442</v>
      </c>
      <c r="BA210" s="1" t="s">
        <v>79</v>
      </c>
      <c r="BB210" s="1" t="s">
        <v>1305</v>
      </c>
      <c r="BC210" s="1" t="s">
        <v>81</v>
      </c>
      <c r="BD210" s="1" t="s">
        <v>248</v>
      </c>
      <c r="BE210" s="1" t="s">
        <v>79</v>
      </c>
      <c r="BF210" s="5" t="s">
        <v>83</v>
      </c>
    </row>
    <row r="211" spans="1:58" x14ac:dyDescent="0.35">
      <c r="A211" s="4">
        <v>210</v>
      </c>
      <c r="B211" s="1" t="s">
        <v>1395</v>
      </c>
      <c r="C211" s="1" t="s">
        <v>63</v>
      </c>
      <c r="D211" s="1" t="s">
        <v>63</v>
      </c>
      <c r="E211" s="1" t="s">
        <v>69</v>
      </c>
      <c r="F211" s="1" t="s">
        <v>69</v>
      </c>
      <c r="G211" s="1" t="s">
        <v>69</v>
      </c>
      <c r="H211" s="1" t="s">
        <v>69</v>
      </c>
      <c r="I211" s="1" t="s">
        <v>70</v>
      </c>
      <c r="J211" s="1" t="s">
        <v>107</v>
      </c>
      <c r="K211" s="1">
        <v>45</v>
      </c>
      <c r="L211" s="1" t="s">
        <v>197</v>
      </c>
      <c r="M211" s="1" t="s">
        <v>273</v>
      </c>
      <c r="N211" s="1" t="s">
        <v>232</v>
      </c>
      <c r="O211" s="1">
        <v>4</v>
      </c>
      <c r="P211" s="1">
        <v>4</v>
      </c>
      <c r="Q211" s="1">
        <f>data[[#This Row],[Nilai Kepentingan Dimensi Persyaratan]]-data[[#This Row],[Nilai Kepuasan Dimensi Persyaratan]]</f>
        <v>0</v>
      </c>
      <c r="R211" s="1">
        <v>4</v>
      </c>
      <c r="S211" s="1">
        <v>4</v>
      </c>
      <c r="T211" s="1">
        <f>data[[#This Row],[Nilai Kepentingan Dimensi Prosedur]]-data[[#This Row],[Nilai Kepuasan Dimensi Prosedur]]</f>
        <v>0</v>
      </c>
      <c r="U211" s="1">
        <v>4</v>
      </c>
      <c r="V211" s="1">
        <v>4</v>
      </c>
      <c r="W211" s="1">
        <f>data[[#This Row],[Nilai Kepentingan Dimensi Waktu Pelayanan/Penyelesaian]]-data[[#This Row],[Nilai Kepuasan Dimensi Waktu Pelayanan/Penyelesaian]]</f>
        <v>0</v>
      </c>
      <c r="X211" s="1">
        <v>0</v>
      </c>
      <c r="Y211" s="1">
        <v>0</v>
      </c>
      <c r="Z211" s="1">
        <f>data[[#This Row],[Nilai Kepentingan Dimensi Tarif/ Biaya]]-data[[#This Row],[Nilai Kepuasan Dimensi Tarif / Biaya]]</f>
        <v>0</v>
      </c>
      <c r="AA211" s="1">
        <v>4</v>
      </c>
      <c r="AB211" s="1">
        <v>4</v>
      </c>
      <c r="AC211" s="1">
        <f>data[[#This Row],[Nilai Kepentingan Dimensi Produk Spesifikasi Jenis Layanan]]-data[[#This Row],[Nilai Kepuasan Dimensi Produk Spesifikasi Jenis Layanan]]</f>
        <v>0</v>
      </c>
      <c r="AD211" s="1">
        <v>4</v>
      </c>
      <c r="AE211" s="1">
        <v>4</v>
      </c>
      <c r="AF211" s="1">
        <f>data[[#This Row],[Nilai Kepentingan Dimensi Kompetensi Pelaksana]]-data[[#This Row],[Nilai Kepuasan Dimensi Kompetensi Pelaksana]]</f>
        <v>0</v>
      </c>
      <c r="AG211" s="1">
        <v>4</v>
      </c>
      <c r="AH211" s="1">
        <v>4</v>
      </c>
      <c r="AI211" s="1">
        <f>data[[#This Row],[Nilai Kepentingan Dimensi Perilaku Pelaksana]]-data[[#This Row],[Nilai Kepuasan Dimensi Perilaku Pelaksana]]</f>
        <v>0</v>
      </c>
      <c r="AJ211" s="1">
        <v>4</v>
      </c>
      <c r="AK211" s="1">
        <v>4</v>
      </c>
      <c r="AL211" s="1">
        <f>data[[#This Row],[Nilai Kepentingan Dimensi Penanganan Pengaduan, Saran &amp; Masukan]]-data[[#This Row],[Nilai Kepuasan Dimensi Penanganan Pengaduan, Saran &amp; Masukan]]</f>
        <v>0</v>
      </c>
      <c r="AM211" s="1">
        <v>4</v>
      </c>
      <c r="AN211" s="1">
        <v>4</v>
      </c>
      <c r="AO211" s="1">
        <f>data[[#This Row],[Nilai Kepentingan Dimensi Kualitas Sarana dan Prasarana]]-data[[#This Row],[Nilai Kepuasan Dimensi Kualitas Sarana dan Prasarana]]</f>
        <v>0</v>
      </c>
      <c r="AP211" s="1">
        <v>0</v>
      </c>
      <c r="AQ211" s="1" t="s">
        <v>69</v>
      </c>
      <c r="AR211" s="1">
        <v>0</v>
      </c>
      <c r="AS211" s="1" t="s">
        <v>69</v>
      </c>
      <c r="AT211" s="1">
        <v>0</v>
      </c>
      <c r="AU211" s="1" t="s">
        <v>69</v>
      </c>
      <c r="AV211" s="1" t="s">
        <v>144</v>
      </c>
      <c r="AW211" s="1" t="s">
        <v>144</v>
      </c>
      <c r="AX211" s="1">
        <v>1</v>
      </c>
      <c r="AY211" s="1">
        <v>4</v>
      </c>
      <c r="AZ211" s="1" t="s">
        <v>985</v>
      </c>
      <c r="BA211" s="1" t="s">
        <v>79</v>
      </c>
      <c r="BB211" s="1" t="s">
        <v>985</v>
      </c>
      <c r="BC211" s="1" t="s">
        <v>79</v>
      </c>
      <c r="BD211" s="1" t="s">
        <v>985</v>
      </c>
      <c r="BE211" s="1" t="s">
        <v>79</v>
      </c>
      <c r="BF211" s="5" t="s">
        <v>83</v>
      </c>
    </row>
    <row r="212" spans="1:58" x14ac:dyDescent="0.35">
      <c r="A212" s="4">
        <v>211</v>
      </c>
      <c r="B212" s="1" t="s">
        <v>1400</v>
      </c>
      <c r="C212" s="1" t="s">
        <v>63</v>
      </c>
      <c r="D212" s="1" t="s">
        <v>1402</v>
      </c>
      <c r="E212" s="1" t="s">
        <v>69</v>
      </c>
      <c r="F212" s="1" t="s">
        <v>69</v>
      </c>
      <c r="G212" s="1" t="s">
        <v>69</v>
      </c>
      <c r="H212" s="1" t="s">
        <v>69</v>
      </c>
      <c r="I212" s="1" t="s">
        <v>106</v>
      </c>
      <c r="J212" s="1" t="s">
        <v>107</v>
      </c>
      <c r="K212" s="1">
        <v>29</v>
      </c>
      <c r="L212" s="1" t="s">
        <v>92</v>
      </c>
      <c r="M212" s="1" t="s">
        <v>93</v>
      </c>
      <c r="N212" s="1" t="s">
        <v>110</v>
      </c>
      <c r="O212" s="1">
        <v>4</v>
      </c>
      <c r="P212" s="1">
        <v>4</v>
      </c>
      <c r="Q212" s="1">
        <f>data[[#This Row],[Nilai Kepentingan Dimensi Persyaratan]]-data[[#This Row],[Nilai Kepuasan Dimensi Persyaratan]]</f>
        <v>0</v>
      </c>
      <c r="R212" s="1">
        <v>4</v>
      </c>
      <c r="S212" s="1">
        <v>4</v>
      </c>
      <c r="T212" s="1">
        <f>data[[#This Row],[Nilai Kepentingan Dimensi Prosedur]]-data[[#This Row],[Nilai Kepuasan Dimensi Prosedur]]</f>
        <v>0</v>
      </c>
      <c r="U212" s="1">
        <v>4</v>
      </c>
      <c r="V212" s="1">
        <v>4</v>
      </c>
      <c r="W212" s="1">
        <f>data[[#This Row],[Nilai Kepentingan Dimensi Waktu Pelayanan/Penyelesaian]]-data[[#This Row],[Nilai Kepuasan Dimensi Waktu Pelayanan/Penyelesaian]]</f>
        <v>0</v>
      </c>
      <c r="X212" s="1">
        <v>0</v>
      </c>
      <c r="Y212" s="1">
        <v>0</v>
      </c>
      <c r="Z212" s="1">
        <f>data[[#This Row],[Nilai Kepentingan Dimensi Tarif/ Biaya]]-data[[#This Row],[Nilai Kepuasan Dimensi Tarif / Biaya]]</f>
        <v>0</v>
      </c>
      <c r="AA212" s="1">
        <v>4</v>
      </c>
      <c r="AB212" s="1">
        <v>4</v>
      </c>
      <c r="AC212" s="1">
        <f>data[[#This Row],[Nilai Kepentingan Dimensi Produk Spesifikasi Jenis Layanan]]-data[[#This Row],[Nilai Kepuasan Dimensi Produk Spesifikasi Jenis Layanan]]</f>
        <v>0</v>
      </c>
      <c r="AD212" s="1">
        <v>4</v>
      </c>
      <c r="AE212" s="1">
        <v>4</v>
      </c>
      <c r="AF212" s="1">
        <f>data[[#This Row],[Nilai Kepentingan Dimensi Kompetensi Pelaksana]]-data[[#This Row],[Nilai Kepuasan Dimensi Kompetensi Pelaksana]]</f>
        <v>0</v>
      </c>
      <c r="AG212" s="1">
        <v>4</v>
      </c>
      <c r="AH212" s="1">
        <v>4</v>
      </c>
      <c r="AI212" s="1">
        <f>data[[#This Row],[Nilai Kepentingan Dimensi Perilaku Pelaksana]]-data[[#This Row],[Nilai Kepuasan Dimensi Perilaku Pelaksana]]</f>
        <v>0</v>
      </c>
      <c r="AJ212" s="1">
        <v>4</v>
      </c>
      <c r="AK212" s="1">
        <v>4</v>
      </c>
      <c r="AL212" s="1">
        <f>data[[#This Row],[Nilai Kepentingan Dimensi Penanganan Pengaduan, Saran &amp; Masukan]]-data[[#This Row],[Nilai Kepuasan Dimensi Penanganan Pengaduan, Saran &amp; Masukan]]</f>
        <v>0</v>
      </c>
      <c r="AM212" s="1">
        <v>4</v>
      </c>
      <c r="AN212" s="1">
        <v>4</v>
      </c>
      <c r="AO212" s="1">
        <f>data[[#This Row],[Nilai Kepentingan Dimensi Kualitas Sarana dan Prasarana]]-data[[#This Row],[Nilai Kepuasan Dimensi Kualitas Sarana dan Prasarana]]</f>
        <v>0</v>
      </c>
      <c r="AP212" s="1">
        <v>0</v>
      </c>
      <c r="AQ212" s="1" t="s">
        <v>69</v>
      </c>
      <c r="AR212" s="1">
        <v>0</v>
      </c>
      <c r="AS212" s="1" t="s">
        <v>69</v>
      </c>
      <c r="AT212" s="1">
        <v>0</v>
      </c>
      <c r="AU212" s="1" t="s">
        <v>69</v>
      </c>
      <c r="AV212" s="1" t="s">
        <v>1405</v>
      </c>
      <c r="AW212" s="1" t="s">
        <v>1162</v>
      </c>
      <c r="AX212" s="1">
        <v>1</v>
      </c>
      <c r="AY212" s="1">
        <v>4</v>
      </c>
      <c r="AZ212" s="1" t="s">
        <v>985</v>
      </c>
      <c r="BA212" s="1" t="s">
        <v>79</v>
      </c>
      <c r="BB212" s="1" t="s">
        <v>985</v>
      </c>
      <c r="BC212" s="1" t="s">
        <v>79</v>
      </c>
      <c r="BD212" s="1" t="s">
        <v>1406</v>
      </c>
      <c r="BE212" s="1" t="s">
        <v>79</v>
      </c>
      <c r="BF212" s="5" t="s">
        <v>83</v>
      </c>
    </row>
    <row r="213" spans="1:58" x14ac:dyDescent="0.35">
      <c r="A213" s="4">
        <v>212</v>
      </c>
      <c r="B213" s="1" t="s">
        <v>1407</v>
      </c>
      <c r="C213" s="1" t="s">
        <v>352</v>
      </c>
      <c r="D213" s="1" t="s">
        <v>1409</v>
      </c>
      <c r="E213" s="1" t="s">
        <v>69</v>
      </c>
      <c r="F213" s="1" t="s">
        <v>69</v>
      </c>
      <c r="G213" s="1" t="s">
        <v>69</v>
      </c>
      <c r="H213" s="1" t="s">
        <v>69</v>
      </c>
      <c r="I213" s="1" t="s">
        <v>70</v>
      </c>
      <c r="J213" s="1" t="s">
        <v>271</v>
      </c>
      <c r="K213" s="1">
        <v>20</v>
      </c>
      <c r="L213" s="1" t="s">
        <v>131</v>
      </c>
      <c r="M213" s="1" t="s">
        <v>73</v>
      </c>
      <c r="N213" s="1" t="s">
        <v>95</v>
      </c>
      <c r="O213" s="1">
        <v>4</v>
      </c>
      <c r="P213" s="1">
        <v>4</v>
      </c>
      <c r="Q213" s="1">
        <f>data[[#This Row],[Nilai Kepentingan Dimensi Persyaratan]]-data[[#This Row],[Nilai Kepuasan Dimensi Persyaratan]]</f>
        <v>0</v>
      </c>
      <c r="R213" s="1">
        <v>3</v>
      </c>
      <c r="S213" s="1">
        <v>4</v>
      </c>
      <c r="T213" s="1">
        <f>data[[#This Row],[Nilai Kepentingan Dimensi Prosedur]]-data[[#This Row],[Nilai Kepuasan Dimensi Prosedur]]</f>
        <v>1</v>
      </c>
      <c r="U213" s="1">
        <v>3</v>
      </c>
      <c r="V213" s="1">
        <v>4</v>
      </c>
      <c r="W213" s="1">
        <f>data[[#This Row],[Nilai Kepentingan Dimensi Waktu Pelayanan/Penyelesaian]]-data[[#This Row],[Nilai Kepuasan Dimensi Waktu Pelayanan/Penyelesaian]]</f>
        <v>1</v>
      </c>
      <c r="X213" s="1">
        <v>4</v>
      </c>
      <c r="Y213" s="1">
        <v>4</v>
      </c>
      <c r="Z213" s="1">
        <f>data[[#This Row],[Nilai Kepentingan Dimensi Tarif/ Biaya]]-data[[#This Row],[Nilai Kepuasan Dimensi Tarif / Biaya]]</f>
        <v>0</v>
      </c>
      <c r="AA213" s="1">
        <v>4</v>
      </c>
      <c r="AB213" s="1">
        <v>4</v>
      </c>
      <c r="AC213" s="1">
        <f>data[[#This Row],[Nilai Kepentingan Dimensi Produk Spesifikasi Jenis Layanan]]-data[[#This Row],[Nilai Kepuasan Dimensi Produk Spesifikasi Jenis Layanan]]</f>
        <v>0</v>
      </c>
      <c r="AD213" s="1">
        <v>4</v>
      </c>
      <c r="AE213" s="1">
        <v>4</v>
      </c>
      <c r="AF213" s="1">
        <f>data[[#This Row],[Nilai Kepentingan Dimensi Kompetensi Pelaksana]]-data[[#This Row],[Nilai Kepuasan Dimensi Kompetensi Pelaksana]]</f>
        <v>0</v>
      </c>
      <c r="AG213" s="1">
        <v>4</v>
      </c>
      <c r="AH213" s="1">
        <v>4</v>
      </c>
      <c r="AI213" s="1">
        <f>data[[#This Row],[Nilai Kepentingan Dimensi Perilaku Pelaksana]]-data[[#This Row],[Nilai Kepuasan Dimensi Perilaku Pelaksana]]</f>
        <v>0</v>
      </c>
      <c r="AJ213" s="1">
        <v>4</v>
      </c>
      <c r="AK213" s="1">
        <v>4</v>
      </c>
      <c r="AL213" s="1">
        <f>data[[#This Row],[Nilai Kepentingan Dimensi Penanganan Pengaduan, Saran &amp; Masukan]]-data[[#This Row],[Nilai Kepuasan Dimensi Penanganan Pengaduan, Saran &amp; Masukan]]</f>
        <v>0</v>
      </c>
      <c r="AM213" s="1">
        <v>4</v>
      </c>
      <c r="AN213" s="1">
        <v>4</v>
      </c>
      <c r="AO213" s="1">
        <f>data[[#This Row],[Nilai Kepentingan Dimensi Kualitas Sarana dan Prasarana]]-data[[#This Row],[Nilai Kepuasan Dimensi Kualitas Sarana dan Prasarana]]</f>
        <v>0</v>
      </c>
      <c r="AP213" s="1">
        <v>0</v>
      </c>
      <c r="AQ213" s="1" t="s">
        <v>69</v>
      </c>
      <c r="AR213" s="1">
        <v>0</v>
      </c>
      <c r="AS213" s="1" t="s">
        <v>69</v>
      </c>
      <c r="AT213" s="1">
        <v>0</v>
      </c>
      <c r="AU213" s="1" t="s">
        <v>69</v>
      </c>
      <c r="AV213" s="1" t="s">
        <v>532</v>
      </c>
      <c r="AW213" s="1" t="s">
        <v>77</v>
      </c>
      <c r="AX213" s="1">
        <v>1</v>
      </c>
      <c r="AY213" s="1">
        <v>4</v>
      </c>
      <c r="AZ213" s="1" t="s">
        <v>827</v>
      </c>
      <c r="BA213" s="1" t="s">
        <v>235</v>
      </c>
      <c r="BB213" s="1" t="s">
        <v>96</v>
      </c>
      <c r="BC213" s="1" t="s">
        <v>99</v>
      </c>
      <c r="BD213" s="1" t="s">
        <v>96</v>
      </c>
      <c r="BE213" s="1" t="s">
        <v>99</v>
      </c>
      <c r="BF213" s="5" t="s">
        <v>83</v>
      </c>
    </row>
    <row r="214" spans="1:58" x14ac:dyDescent="0.35">
      <c r="A214" s="4">
        <v>213</v>
      </c>
      <c r="B214" s="1" t="s">
        <v>1412</v>
      </c>
      <c r="C214" s="1" t="s">
        <v>63</v>
      </c>
      <c r="D214" s="1" t="s">
        <v>63</v>
      </c>
      <c r="E214" s="1" t="s">
        <v>69</v>
      </c>
      <c r="F214" s="1" t="s">
        <v>69</v>
      </c>
      <c r="G214" s="1" t="s">
        <v>69</v>
      </c>
      <c r="H214" s="1" t="s">
        <v>69</v>
      </c>
      <c r="I214" s="1" t="s">
        <v>70</v>
      </c>
      <c r="J214" s="1" t="s">
        <v>107</v>
      </c>
      <c r="K214" s="1">
        <v>30</v>
      </c>
      <c r="L214" s="1" t="s">
        <v>92</v>
      </c>
      <c r="M214" s="1" t="s">
        <v>73</v>
      </c>
      <c r="N214" s="1" t="s">
        <v>110</v>
      </c>
      <c r="O214" s="1">
        <v>4</v>
      </c>
      <c r="P214" s="1">
        <v>4</v>
      </c>
      <c r="Q214" s="1">
        <f>data[[#This Row],[Nilai Kepentingan Dimensi Persyaratan]]-data[[#This Row],[Nilai Kepuasan Dimensi Persyaratan]]</f>
        <v>0</v>
      </c>
      <c r="R214" s="1">
        <v>4</v>
      </c>
      <c r="S214" s="1">
        <v>4</v>
      </c>
      <c r="T214" s="1">
        <f>data[[#This Row],[Nilai Kepentingan Dimensi Prosedur]]-data[[#This Row],[Nilai Kepuasan Dimensi Prosedur]]</f>
        <v>0</v>
      </c>
      <c r="U214" s="1">
        <v>4</v>
      </c>
      <c r="V214" s="1">
        <v>4</v>
      </c>
      <c r="W214" s="1">
        <f>data[[#This Row],[Nilai Kepentingan Dimensi Waktu Pelayanan/Penyelesaian]]-data[[#This Row],[Nilai Kepuasan Dimensi Waktu Pelayanan/Penyelesaian]]</f>
        <v>0</v>
      </c>
      <c r="X214" s="1">
        <v>0</v>
      </c>
      <c r="Y214" s="1">
        <v>0</v>
      </c>
      <c r="Z214" s="1">
        <f>data[[#This Row],[Nilai Kepentingan Dimensi Tarif/ Biaya]]-data[[#This Row],[Nilai Kepuasan Dimensi Tarif / Biaya]]</f>
        <v>0</v>
      </c>
      <c r="AA214" s="1">
        <v>4</v>
      </c>
      <c r="AB214" s="1">
        <v>4</v>
      </c>
      <c r="AC214" s="1">
        <f>data[[#This Row],[Nilai Kepentingan Dimensi Produk Spesifikasi Jenis Layanan]]-data[[#This Row],[Nilai Kepuasan Dimensi Produk Spesifikasi Jenis Layanan]]</f>
        <v>0</v>
      </c>
      <c r="AD214" s="1">
        <v>4</v>
      </c>
      <c r="AE214" s="1">
        <v>4</v>
      </c>
      <c r="AF214" s="1">
        <f>data[[#This Row],[Nilai Kepentingan Dimensi Kompetensi Pelaksana]]-data[[#This Row],[Nilai Kepuasan Dimensi Kompetensi Pelaksana]]</f>
        <v>0</v>
      </c>
      <c r="AG214" s="1">
        <v>4</v>
      </c>
      <c r="AH214" s="1">
        <v>4</v>
      </c>
      <c r="AI214" s="1">
        <f>data[[#This Row],[Nilai Kepentingan Dimensi Perilaku Pelaksana]]-data[[#This Row],[Nilai Kepuasan Dimensi Perilaku Pelaksana]]</f>
        <v>0</v>
      </c>
      <c r="AJ214" s="1">
        <v>4</v>
      </c>
      <c r="AK214" s="1">
        <v>4</v>
      </c>
      <c r="AL214" s="1">
        <f>data[[#This Row],[Nilai Kepentingan Dimensi Penanganan Pengaduan, Saran &amp; Masukan]]-data[[#This Row],[Nilai Kepuasan Dimensi Penanganan Pengaduan, Saran &amp; Masukan]]</f>
        <v>0</v>
      </c>
      <c r="AM214" s="1">
        <v>3</v>
      </c>
      <c r="AN214" s="1">
        <v>4</v>
      </c>
      <c r="AO214" s="1">
        <f>data[[#This Row],[Nilai Kepentingan Dimensi Kualitas Sarana dan Prasarana]]-data[[#This Row],[Nilai Kepuasan Dimensi Kualitas Sarana dan Prasarana]]</f>
        <v>1</v>
      </c>
      <c r="AP214" s="1">
        <v>0</v>
      </c>
      <c r="AQ214" s="1" t="s">
        <v>69</v>
      </c>
      <c r="AR214" s="1">
        <v>0</v>
      </c>
      <c r="AS214" s="1" t="s">
        <v>69</v>
      </c>
      <c r="AT214" s="1">
        <v>4</v>
      </c>
      <c r="AU214" s="1" t="s">
        <v>75</v>
      </c>
      <c r="AV214" s="1" t="s">
        <v>83</v>
      </c>
      <c r="AW214" s="1" t="s">
        <v>96</v>
      </c>
      <c r="AX214" s="1">
        <v>0</v>
      </c>
      <c r="AY214" s="1">
        <v>0</v>
      </c>
      <c r="AZ214" s="1" t="s">
        <v>985</v>
      </c>
      <c r="BA214" s="1" t="s">
        <v>79</v>
      </c>
      <c r="BB214" s="1" t="s">
        <v>985</v>
      </c>
      <c r="BC214" s="1" t="s">
        <v>79</v>
      </c>
      <c r="BD214" s="1" t="s">
        <v>1415</v>
      </c>
      <c r="BE214" s="1" t="s">
        <v>190</v>
      </c>
      <c r="BF214" s="5" t="s">
        <v>83</v>
      </c>
    </row>
    <row r="215" spans="1:58" x14ac:dyDescent="0.35">
      <c r="A215" s="4">
        <v>214</v>
      </c>
      <c r="B215" s="1" t="s">
        <v>1416</v>
      </c>
      <c r="C215" s="1" t="s">
        <v>63</v>
      </c>
      <c r="D215" s="1" t="s">
        <v>63</v>
      </c>
      <c r="E215" s="1" t="s">
        <v>69</v>
      </c>
      <c r="F215" s="1" t="s">
        <v>69</v>
      </c>
      <c r="G215" s="1" t="s">
        <v>69</v>
      </c>
      <c r="H215" s="1" t="s">
        <v>69</v>
      </c>
      <c r="I215" s="1" t="s">
        <v>106</v>
      </c>
      <c r="J215" s="1" t="s">
        <v>107</v>
      </c>
      <c r="K215" s="1">
        <v>30</v>
      </c>
      <c r="L215" s="1" t="s">
        <v>92</v>
      </c>
      <c r="M215" s="1" t="s">
        <v>73</v>
      </c>
      <c r="N215" s="1" t="s">
        <v>74</v>
      </c>
      <c r="O215" s="1">
        <v>4</v>
      </c>
      <c r="P215" s="1">
        <v>4</v>
      </c>
      <c r="Q215" s="1">
        <f>data[[#This Row],[Nilai Kepentingan Dimensi Persyaratan]]-data[[#This Row],[Nilai Kepuasan Dimensi Persyaratan]]</f>
        <v>0</v>
      </c>
      <c r="R215" s="1">
        <v>3</v>
      </c>
      <c r="S215" s="1">
        <v>4</v>
      </c>
      <c r="T215" s="1">
        <f>data[[#This Row],[Nilai Kepentingan Dimensi Prosedur]]-data[[#This Row],[Nilai Kepuasan Dimensi Prosedur]]</f>
        <v>1</v>
      </c>
      <c r="U215" s="1">
        <v>3</v>
      </c>
      <c r="V215" s="1">
        <v>4</v>
      </c>
      <c r="W215" s="1">
        <f>data[[#This Row],[Nilai Kepentingan Dimensi Waktu Pelayanan/Penyelesaian]]-data[[#This Row],[Nilai Kepuasan Dimensi Waktu Pelayanan/Penyelesaian]]</f>
        <v>1</v>
      </c>
      <c r="X215" s="1">
        <v>0</v>
      </c>
      <c r="Y215" s="1">
        <v>0</v>
      </c>
      <c r="Z215" s="1">
        <f>data[[#This Row],[Nilai Kepentingan Dimensi Tarif/ Biaya]]-data[[#This Row],[Nilai Kepuasan Dimensi Tarif / Biaya]]</f>
        <v>0</v>
      </c>
      <c r="AA215" s="1">
        <v>4</v>
      </c>
      <c r="AB215" s="1">
        <v>4</v>
      </c>
      <c r="AC215" s="1">
        <f>data[[#This Row],[Nilai Kepentingan Dimensi Produk Spesifikasi Jenis Layanan]]-data[[#This Row],[Nilai Kepuasan Dimensi Produk Spesifikasi Jenis Layanan]]</f>
        <v>0</v>
      </c>
      <c r="AD215" s="1">
        <v>4</v>
      </c>
      <c r="AE215" s="1">
        <v>4</v>
      </c>
      <c r="AF215" s="1">
        <f>data[[#This Row],[Nilai Kepentingan Dimensi Kompetensi Pelaksana]]-data[[#This Row],[Nilai Kepuasan Dimensi Kompetensi Pelaksana]]</f>
        <v>0</v>
      </c>
      <c r="AG215" s="1">
        <v>4</v>
      </c>
      <c r="AH215" s="1">
        <v>4</v>
      </c>
      <c r="AI215" s="1">
        <f>data[[#This Row],[Nilai Kepentingan Dimensi Perilaku Pelaksana]]-data[[#This Row],[Nilai Kepuasan Dimensi Perilaku Pelaksana]]</f>
        <v>0</v>
      </c>
      <c r="AJ215" s="1">
        <v>4</v>
      </c>
      <c r="AK215" s="1">
        <v>4</v>
      </c>
      <c r="AL215" s="1">
        <f>data[[#This Row],[Nilai Kepentingan Dimensi Penanganan Pengaduan, Saran &amp; Masukan]]-data[[#This Row],[Nilai Kepuasan Dimensi Penanganan Pengaduan, Saran &amp; Masukan]]</f>
        <v>0</v>
      </c>
      <c r="AM215" s="1">
        <v>3</v>
      </c>
      <c r="AN215" s="1">
        <v>3</v>
      </c>
      <c r="AO215" s="1">
        <f>data[[#This Row],[Nilai Kepentingan Dimensi Kualitas Sarana dan Prasarana]]-data[[#This Row],[Nilai Kepuasan Dimensi Kualitas Sarana dan Prasarana]]</f>
        <v>0</v>
      </c>
      <c r="AP215" s="1">
        <v>0</v>
      </c>
      <c r="AQ215" s="1" t="s">
        <v>69</v>
      </c>
      <c r="AR215" s="1">
        <v>0</v>
      </c>
      <c r="AS215" s="1" t="s">
        <v>69</v>
      </c>
      <c r="AT215" s="1">
        <v>0</v>
      </c>
      <c r="AU215" s="1" t="s">
        <v>69</v>
      </c>
      <c r="AV215" s="1" t="s">
        <v>1405</v>
      </c>
      <c r="AW215" s="1" t="s">
        <v>1162</v>
      </c>
      <c r="AX215" s="1">
        <v>1</v>
      </c>
      <c r="AY215" s="1">
        <v>4</v>
      </c>
      <c r="AZ215" s="1" t="s">
        <v>985</v>
      </c>
      <c r="BA215" s="1" t="s">
        <v>79</v>
      </c>
      <c r="BB215" s="1" t="s">
        <v>985</v>
      </c>
      <c r="BC215" s="1" t="s">
        <v>79</v>
      </c>
      <c r="BD215" s="1" t="s">
        <v>1420</v>
      </c>
      <c r="BE215" s="1" t="s">
        <v>190</v>
      </c>
      <c r="BF215" s="5" t="s">
        <v>83</v>
      </c>
    </row>
    <row r="216" spans="1:58" x14ac:dyDescent="0.35">
      <c r="A216" s="4">
        <v>215</v>
      </c>
      <c r="B216" s="1" t="s">
        <v>1421</v>
      </c>
      <c r="C216" s="1" t="s">
        <v>63</v>
      </c>
      <c r="D216" s="1" t="s">
        <v>480</v>
      </c>
      <c r="E216" s="1" t="s">
        <v>69</v>
      </c>
      <c r="F216" s="1" t="s">
        <v>69</v>
      </c>
      <c r="G216" s="1" t="s">
        <v>69</v>
      </c>
      <c r="H216" s="1" t="s">
        <v>69</v>
      </c>
      <c r="I216" s="1" t="s">
        <v>106</v>
      </c>
      <c r="J216" s="1" t="s">
        <v>107</v>
      </c>
      <c r="K216" s="1">
        <v>30</v>
      </c>
      <c r="L216" s="1" t="s">
        <v>92</v>
      </c>
      <c r="M216" s="1" t="s">
        <v>93</v>
      </c>
      <c r="N216" s="1" t="s">
        <v>74</v>
      </c>
      <c r="O216" s="1">
        <v>4</v>
      </c>
      <c r="P216" s="1">
        <v>4</v>
      </c>
      <c r="Q216" s="1">
        <f>data[[#This Row],[Nilai Kepentingan Dimensi Persyaratan]]-data[[#This Row],[Nilai Kepuasan Dimensi Persyaratan]]</f>
        <v>0</v>
      </c>
      <c r="R216" s="1">
        <v>4</v>
      </c>
      <c r="S216" s="1">
        <v>4</v>
      </c>
      <c r="T216" s="1">
        <f>data[[#This Row],[Nilai Kepentingan Dimensi Prosedur]]-data[[#This Row],[Nilai Kepuasan Dimensi Prosedur]]</f>
        <v>0</v>
      </c>
      <c r="U216" s="1">
        <v>4</v>
      </c>
      <c r="V216" s="1">
        <v>4</v>
      </c>
      <c r="W216" s="1">
        <f>data[[#This Row],[Nilai Kepentingan Dimensi Waktu Pelayanan/Penyelesaian]]-data[[#This Row],[Nilai Kepuasan Dimensi Waktu Pelayanan/Penyelesaian]]</f>
        <v>0</v>
      </c>
      <c r="X216" s="1">
        <v>0</v>
      </c>
      <c r="Y216" s="1">
        <v>0</v>
      </c>
      <c r="Z216" s="1">
        <f>data[[#This Row],[Nilai Kepentingan Dimensi Tarif/ Biaya]]-data[[#This Row],[Nilai Kepuasan Dimensi Tarif / Biaya]]</f>
        <v>0</v>
      </c>
      <c r="AA216" s="1">
        <v>4</v>
      </c>
      <c r="AB216" s="1">
        <v>4</v>
      </c>
      <c r="AC216" s="1">
        <f>data[[#This Row],[Nilai Kepentingan Dimensi Produk Spesifikasi Jenis Layanan]]-data[[#This Row],[Nilai Kepuasan Dimensi Produk Spesifikasi Jenis Layanan]]</f>
        <v>0</v>
      </c>
      <c r="AD216" s="1">
        <v>4</v>
      </c>
      <c r="AE216" s="1">
        <v>4</v>
      </c>
      <c r="AF216" s="1">
        <f>data[[#This Row],[Nilai Kepentingan Dimensi Kompetensi Pelaksana]]-data[[#This Row],[Nilai Kepuasan Dimensi Kompetensi Pelaksana]]</f>
        <v>0</v>
      </c>
      <c r="AG216" s="1">
        <v>4</v>
      </c>
      <c r="AH216" s="1">
        <v>4</v>
      </c>
      <c r="AI216" s="1">
        <f>data[[#This Row],[Nilai Kepentingan Dimensi Perilaku Pelaksana]]-data[[#This Row],[Nilai Kepuasan Dimensi Perilaku Pelaksana]]</f>
        <v>0</v>
      </c>
      <c r="AJ216" s="1">
        <v>4</v>
      </c>
      <c r="AK216" s="1">
        <v>4</v>
      </c>
      <c r="AL216" s="1">
        <f>data[[#This Row],[Nilai Kepentingan Dimensi Penanganan Pengaduan, Saran &amp; Masukan]]-data[[#This Row],[Nilai Kepuasan Dimensi Penanganan Pengaduan, Saran &amp; Masukan]]</f>
        <v>0</v>
      </c>
      <c r="AM216" s="1">
        <v>4</v>
      </c>
      <c r="AN216" s="1">
        <v>4</v>
      </c>
      <c r="AO216" s="1">
        <f>data[[#This Row],[Nilai Kepentingan Dimensi Kualitas Sarana dan Prasarana]]-data[[#This Row],[Nilai Kepuasan Dimensi Kualitas Sarana dan Prasarana]]</f>
        <v>0</v>
      </c>
      <c r="AP216" s="1">
        <v>0</v>
      </c>
      <c r="AQ216" s="1" t="s">
        <v>69</v>
      </c>
      <c r="AR216" s="1">
        <v>0</v>
      </c>
      <c r="AS216" s="1" t="s">
        <v>69</v>
      </c>
      <c r="AT216" s="1">
        <v>0</v>
      </c>
      <c r="AU216" s="1" t="s">
        <v>69</v>
      </c>
      <c r="AV216" s="1" t="s">
        <v>1405</v>
      </c>
      <c r="AW216" s="1" t="s">
        <v>1162</v>
      </c>
      <c r="AX216" s="1">
        <v>1</v>
      </c>
      <c r="AY216" s="1">
        <v>4</v>
      </c>
      <c r="AZ216" s="1" t="s">
        <v>985</v>
      </c>
      <c r="BA216" s="1" t="s">
        <v>79</v>
      </c>
      <c r="BB216" s="1" t="s">
        <v>985</v>
      </c>
      <c r="BC216" s="1" t="s">
        <v>79</v>
      </c>
      <c r="BD216" s="1" t="s">
        <v>1425</v>
      </c>
      <c r="BE216" s="1" t="s">
        <v>79</v>
      </c>
      <c r="BF216" s="5" t="s">
        <v>83</v>
      </c>
    </row>
    <row r="217" spans="1:58" x14ac:dyDescent="0.35">
      <c r="A217" s="4">
        <v>216</v>
      </c>
      <c r="B217" s="1" t="s">
        <v>1426</v>
      </c>
      <c r="C217" s="1" t="s">
        <v>63</v>
      </c>
      <c r="D217" s="1" t="s">
        <v>63</v>
      </c>
      <c r="E217" s="1" t="s">
        <v>69</v>
      </c>
      <c r="F217" s="1" t="s">
        <v>69</v>
      </c>
      <c r="G217" s="1" t="s">
        <v>69</v>
      </c>
      <c r="H217" s="1" t="s">
        <v>69</v>
      </c>
      <c r="I217" s="1" t="s">
        <v>106</v>
      </c>
      <c r="J217" s="1" t="s">
        <v>107</v>
      </c>
      <c r="K217" s="1">
        <v>41</v>
      </c>
      <c r="L217" s="1" t="s">
        <v>197</v>
      </c>
      <c r="M217" s="1" t="s">
        <v>273</v>
      </c>
      <c r="N217" s="1" t="s">
        <v>74</v>
      </c>
      <c r="O217" s="1">
        <v>4</v>
      </c>
      <c r="P217" s="1">
        <v>4</v>
      </c>
      <c r="Q217" s="1">
        <f>data[[#This Row],[Nilai Kepentingan Dimensi Persyaratan]]-data[[#This Row],[Nilai Kepuasan Dimensi Persyaratan]]</f>
        <v>0</v>
      </c>
      <c r="R217" s="1">
        <v>4</v>
      </c>
      <c r="S217" s="1">
        <v>4</v>
      </c>
      <c r="T217" s="1">
        <f>data[[#This Row],[Nilai Kepentingan Dimensi Prosedur]]-data[[#This Row],[Nilai Kepuasan Dimensi Prosedur]]</f>
        <v>0</v>
      </c>
      <c r="U217" s="1">
        <v>4</v>
      </c>
      <c r="V217" s="1">
        <v>4</v>
      </c>
      <c r="W217" s="1">
        <f>data[[#This Row],[Nilai Kepentingan Dimensi Waktu Pelayanan/Penyelesaian]]-data[[#This Row],[Nilai Kepuasan Dimensi Waktu Pelayanan/Penyelesaian]]</f>
        <v>0</v>
      </c>
      <c r="X217" s="1">
        <v>0</v>
      </c>
      <c r="Y217" s="1">
        <v>0</v>
      </c>
      <c r="Z217" s="1">
        <f>data[[#This Row],[Nilai Kepentingan Dimensi Tarif/ Biaya]]-data[[#This Row],[Nilai Kepuasan Dimensi Tarif / Biaya]]</f>
        <v>0</v>
      </c>
      <c r="AA217" s="1">
        <v>4</v>
      </c>
      <c r="AB217" s="1">
        <v>4</v>
      </c>
      <c r="AC217" s="1">
        <f>data[[#This Row],[Nilai Kepentingan Dimensi Produk Spesifikasi Jenis Layanan]]-data[[#This Row],[Nilai Kepuasan Dimensi Produk Spesifikasi Jenis Layanan]]</f>
        <v>0</v>
      </c>
      <c r="AD217" s="1">
        <v>4</v>
      </c>
      <c r="AE217" s="1">
        <v>4</v>
      </c>
      <c r="AF217" s="1">
        <f>data[[#This Row],[Nilai Kepentingan Dimensi Kompetensi Pelaksana]]-data[[#This Row],[Nilai Kepuasan Dimensi Kompetensi Pelaksana]]</f>
        <v>0</v>
      </c>
      <c r="AG217" s="1">
        <v>4</v>
      </c>
      <c r="AH217" s="1">
        <v>4</v>
      </c>
      <c r="AI217" s="1">
        <f>data[[#This Row],[Nilai Kepentingan Dimensi Perilaku Pelaksana]]-data[[#This Row],[Nilai Kepuasan Dimensi Perilaku Pelaksana]]</f>
        <v>0</v>
      </c>
      <c r="AJ217" s="1">
        <v>4</v>
      </c>
      <c r="AK217" s="1">
        <v>4</v>
      </c>
      <c r="AL217" s="1">
        <f>data[[#This Row],[Nilai Kepentingan Dimensi Penanganan Pengaduan, Saran &amp; Masukan]]-data[[#This Row],[Nilai Kepuasan Dimensi Penanganan Pengaduan, Saran &amp; Masukan]]</f>
        <v>0</v>
      </c>
      <c r="AM217" s="1">
        <v>4</v>
      </c>
      <c r="AN217" s="1">
        <v>4</v>
      </c>
      <c r="AO217" s="1">
        <f>data[[#This Row],[Nilai Kepentingan Dimensi Kualitas Sarana dan Prasarana]]-data[[#This Row],[Nilai Kepuasan Dimensi Kualitas Sarana dan Prasarana]]</f>
        <v>0</v>
      </c>
      <c r="AP217" s="1">
        <v>0</v>
      </c>
      <c r="AQ217" s="1" t="s">
        <v>69</v>
      </c>
      <c r="AR217" s="1">
        <v>0</v>
      </c>
      <c r="AS217" s="1" t="s">
        <v>69</v>
      </c>
      <c r="AT217" s="1">
        <v>0</v>
      </c>
      <c r="AU217" s="1" t="s">
        <v>69</v>
      </c>
      <c r="AV217" s="1" t="s">
        <v>1405</v>
      </c>
      <c r="AW217" s="1" t="s">
        <v>1162</v>
      </c>
      <c r="AX217" s="1">
        <v>1</v>
      </c>
      <c r="AY217" s="1">
        <v>4</v>
      </c>
      <c r="AZ217" s="1" t="s">
        <v>985</v>
      </c>
      <c r="BA217" s="1" t="s">
        <v>79</v>
      </c>
      <c r="BB217" s="1" t="s">
        <v>985</v>
      </c>
      <c r="BC217" s="1" t="s">
        <v>79</v>
      </c>
      <c r="BD217" s="1" t="s">
        <v>985</v>
      </c>
      <c r="BE217" s="1" t="s">
        <v>79</v>
      </c>
      <c r="BF217" s="5" t="s">
        <v>83</v>
      </c>
    </row>
    <row r="218" spans="1:58" x14ac:dyDescent="0.35">
      <c r="A218" s="4">
        <v>217</v>
      </c>
      <c r="B218" s="1" t="s">
        <v>1429</v>
      </c>
      <c r="C218" s="1" t="s">
        <v>63</v>
      </c>
      <c r="D218" s="1" t="s">
        <v>63</v>
      </c>
      <c r="E218" s="1" t="s">
        <v>69</v>
      </c>
      <c r="F218" s="1" t="s">
        <v>69</v>
      </c>
      <c r="G218" s="1" t="s">
        <v>69</v>
      </c>
      <c r="H218" s="1" t="s">
        <v>69</v>
      </c>
      <c r="I218" s="1" t="s">
        <v>70</v>
      </c>
      <c r="J218" s="1" t="s">
        <v>271</v>
      </c>
      <c r="K218" s="1">
        <v>24</v>
      </c>
      <c r="L218" s="1" t="s">
        <v>72</v>
      </c>
      <c r="M218" s="1" t="s">
        <v>93</v>
      </c>
      <c r="N218" s="1" t="s">
        <v>110</v>
      </c>
      <c r="O218" s="1">
        <v>4</v>
      </c>
      <c r="P218" s="1">
        <v>4</v>
      </c>
      <c r="Q218" s="1">
        <f>data[[#This Row],[Nilai Kepentingan Dimensi Persyaratan]]-data[[#This Row],[Nilai Kepuasan Dimensi Persyaratan]]</f>
        <v>0</v>
      </c>
      <c r="R218" s="1">
        <v>3</v>
      </c>
      <c r="S218" s="1">
        <v>3</v>
      </c>
      <c r="T218" s="1">
        <f>data[[#This Row],[Nilai Kepentingan Dimensi Prosedur]]-data[[#This Row],[Nilai Kepuasan Dimensi Prosedur]]</f>
        <v>0</v>
      </c>
      <c r="U218" s="1">
        <v>4</v>
      </c>
      <c r="V218" s="1">
        <v>4</v>
      </c>
      <c r="W218" s="1">
        <f>data[[#This Row],[Nilai Kepentingan Dimensi Waktu Pelayanan/Penyelesaian]]-data[[#This Row],[Nilai Kepuasan Dimensi Waktu Pelayanan/Penyelesaian]]</f>
        <v>0</v>
      </c>
      <c r="X218" s="1">
        <v>4</v>
      </c>
      <c r="Y218" s="1">
        <v>4</v>
      </c>
      <c r="Z218" s="1">
        <f>data[[#This Row],[Nilai Kepentingan Dimensi Tarif/ Biaya]]-data[[#This Row],[Nilai Kepuasan Dimensi Tarif / Biaya]]</f>
        <v>0</v>
      </c>
      <c r="AA218" s="1">
        <v>4</v>
      </c>
      <c r="AB218" s="1">
        <v>4</v>
      </c>
      <c r="AC218" s="1">
        <f>data[[#This Row],[Nilai Kepentingan Dimensi Produk Spesifikasi Jenis Layanan]]-data[[#This Row],[Nilai Kepuasan Dimensi Produk Spesifikasi Jenis Layanan]]</f>
        <v>0</v>
      </c>
      <c r="AD218" s="1">
        <v>4</v>
      </c>
      <c r="AE218" s="1">
        <v>4</v>
      </c>
      <c r="AF218" s="1">
        <f>data[[#This Row],[Nilai Kepentingan Dimensi Kompetensi Pelaksana]]-data[[#This Row],[Nilai Kepuasan Dimensi Kompetensi Pelaksana]]</f>
        <v>0</v>
      </c>
      <c r="AG218" s="1">
        <v>4</v>
      </c>
      <c r="AH218" s="1">
        <v>4</v>
      </c>
      <c r="AI218" s="1">
        <f>data[[#This Row],[Nilai Kepentingan Dimensi Perilaku Pelaksana]]-data[[#This Row],[Nilai Kepuasan Dimensi Perilaku Pelaksana]]</f>
        <v>0</v>
      </c>
      <c r="AJ218" s="1">
        <v>4</v>
      </c>
      <c r="AK218" s="1">
        <v>4</v>
      </c>
      <c r="AL218" s="1">
        <f>data[[#This Row],[Nilai Kepentingan Dimensi Penanganan Pengaduan, Saran &amp; Masukan]]-data[[#This Row],[Nilai Kepuasan Dimensi Penanganan Pengaduan, Saran &amp; Masukan]]</f>
        <v>0</v>
      </c>
      <c r="AM218" s="1">
        <v>3</v>
      </c>
      <c r="AN218" s="1">
        <v>3</v>
      </c>
      <c r="AO218" s="1">
        <f>data[[#This Row],[Nilai Kepentingan Dimensi Kualitas Sarana dan Prasarana]]-data[[#This Row],[Nilai Kepuasan Dimensi Kualitas Sarana dan Prasarana]]</f>
        <v>0</v>
      </c>
      <c r="AP218" s="1">
        <v>0</v>
      </c>
      <c r="AQ218" s="1" t="s">
        <v>69</v>
      </c>
      <c r="AR218" s="1">
        <v>0</v>
      </c>
      <c r="AS218" s="1" t="s">
        <v>69</v>
      </c>
      <c r="AT218" s="1">
        <v>0</v>
      </c>
      <c r="AU218" s="1" t="s">
        <v>69</v>
      </c>
      <c r="AV218" s="1" t="s">
        <v>76</v>
      </c>
      <c r="AW218" s="1" t="s">
        <v>77</v>
      </c>
      <c r="AX218" s="1">
        <v>2</v>
      </c>
      <c r="AY218" s="1">
        <v>3</v>
      </c>
      <c r="AZ218" s="1" t="s">
        <v>98</v>
      </c>
      <c r="BA218" s="1" t="s">
        <v>99</v>
      </c>
      <c r="BB218" s="1" t="s">
        <v>98</v>
      </c>
      <c r="BC218" s="1" t="s">
        <v>99</v>
      </c>
      <c r="BD218" s="1" t="s">
        <v>1434</v>
      </c>
      <c r="BE218" s="1" t="s">
        <v>190</v>
      </c>
      <c r="BF218" s="5" t="s">
        <v>83</v>
      </c>
    </row>
    <row r="219" spans="1:58" x14ac:dyDescent="0.35">
      <c r="A219" s="4">
        <v>218</v>
      </c>
      <c r="B219" s="1" t="s">
        <v>1435</v>
      </c>
      <c r="C219" s="1" t="s">
        <v>63</v>
      </c>
      <c r="D219" s="1" t="s">
        <v>86</v>
      </c>
      <c r="E219" s="1" t="s">
        <v>69</v>
      </c>
      <c r="F219" s="1" t="s">
        <v>69</v>
      </c>
      <c r="G219" s="1" t="s">
        <v>69</v>
      </c>
      <c r="H219" s="1" t="s">
        <v>69</v>
      </c>
      <c r="I219" s="1" t="s">
        <v>106</v>
      </c>
      <c r="J219" s="1" t="s">
        <v>271</v>
      </c>
      <c r="K219" s="1">
        <v>18</v>
      </c>
      <c r="L219" s="1" t="s">
        <v>131</v>
      </c>
      <c r="M219" s="1" t="s">
        <v>73</v>
      </c>
      <c r="N219" s="1" t="s">
        <v>95</v>
      </c>
      <c r="O219" s="1">
        <v>3</v>
      </c>
      <c r="P219" s="1">
        <v>3</v>
      </c>
      <c r="Q219" s="1">
        <f>data[[#This Row],[Nilai Kepentingan Dimensi Persyaratan]]-data[[#This Row],[Nilai Kepuasan Dimensi Persyaratan]]</f>
        <v>0</v>
      </c>
      <c r="R219" s="1">
        <v>3</v>
      </c>
      <c r="S219" s="1">
        <v>3</v>
      </c>
      <c r="T219" s="1">
        <f>data[[#This Row],[Nilai Kepentingan Dimensi Prosedur]]-data[[#This Row],[Nilai Kepuasan Dimensi Prosedur]]</f>
        <v>0</v>
      </c>
      <c r="U219" s="1">
        <v>3</v>
      </c>
      <c r="V219" s="1">
        <v>3</v>
      </c>
      <c r="W219" s="1">
        <f>data[[#This Row],[Nilai Kepentingan Dimensi Waktu Pelayanan/Penyelesaian]]-data[[#This Row],[Nilai Kepuasan Dimensi Waktu Pelayanan/Penyelesaian]]</f>
        <v>0</v>
      </c>
      <c r="X219" s="1">
        <v>3</v>
      </c>
      <c r="Y219" s="1">
        <v>3</v>
      </c>
      <c r="Z219" s="1">
        <f>data[[#This Row],[Nilai Kepentingan Dimensi Tarif/ Biaya]]-data[[#This Row],[Nilai Kepuasan Dimensi Tarif / Biaya]]</f>
        <v>0</v>
      </c>
      <c r="AA219" s="1">
        <v>3</v>
      </c>
      <c r="AB219" s="1">
        <v>3</v>
      </c>
      <c r="AC219" s="1">
        <f>data[[#This Row],[Nilai Kepentingan Dimensi Produk Spesifikasi Jenis Layanan]]-data[[#This Row],[Nilai Kepuasan Dimensi Produk Spesifikasi Jenis Layanan]]</f>
        <v>0</v>
      </c>
      <c r="AD219" s="1">
        <v>3</v>
      </c>
      <c r="AE219" s="1">
        <v>3</v>
      </c>
      <c r="AF219" s="1">
        <f>data[[#This Row],[Nilai Kepentingan Dimensi Kompetensi Pelaksana]]-data[[#This Row],[Nilai Kepuasan Dimensi Kompetensi Pelaksana]]</f>
        <v>0</v>
      </c>
      <c r="AG219" s="1">
        <v>3</v>
      </c>
      <c r="AH219" s="1">
        <v>3</v>
      </c>
      <c r="AI219" s="1">
        <f>data[[#This Row],[Nilai Kepentingan Dimensi Perilaku Pelaksana]]-data[[#This Row],[Nilai Kepuasan Dimensi Perilaku Pelaksana]]</f>
        <v>0</v>
      </c>
      <c r="AJ219" s="1">
        <v>3</v>
      </c>
      <c r="AK219" s="1">
        <v>3</v>
      </c>
      <c r="AL219" s="1">
        <f>data[[#This Row],[Nilai Kepentingan Dimensi Penanganan Pengaduan, Saran &amp; Masukan]]-data[[#This Row],[Nilai Kepuasan Dimensi Penanganan Pengaduan, Saran &amp; Masukan]]</f>
        <v>0</v>
      </c>
      <c r="AM219" s="1">
        <v>3</v>
      </c>
      <c r="AN219" s="1">
        <v>3</v>
      </c>
      <c r="AO219" s="1">
        <f>data[[#This Row],[Nilai Kepentingan Dimensi Kualitas Sarana dan Prasarana]]-data[[#This Row],[Nilai Kepuasan Dimensi Kualitas Sarana dan Prasarana]]</f>
        <v>0</v>
      </c>
      <c r="AP219" s="1">
        <v>0</v>
      </c>
      <c r="AQ219" s="1" t="s">
        <v>69</v>
      </c>
      <c r="AR219" s="1">
        <v>0</v>
      </c>
      <c r="AS219" s="1" t="s">
        <v>69</v>
      </c>
      <c r="AT219" s="1">
        <v>0</v>
      </c>
      <c r="AU219" s="1" t="s">
        <v>69</v>
      </c>
      <c r="AV219" s="1" t="s">
        <v>76</v>
      </c>
      <c r="AW219" s="1" t="s">
        <v>77</v>
      </c>
      <c r="AX219" s="1">
        <v>2</v>
      </c>
      <c r="AY219" s="1">
        <v>3</v>
      </c>
      <c r="AZ219" s="1" t="s">
        <v>1439</v>
      </c>
      <c r="BA219" s="1" t="s">
        <v>433</v>
      </c>
      <c r="BB219" s="1" t="s">
        <v>1440</v>
      </c>
      <c r="BC219" s="1" t="s">
        <v>112</v>
      </c>
      <c r="BD219" s="1" t="s">
        <v>1441</v>
      </c>
      <c r="BE219" s="1" t="s">
        <v>146</v>
      </c>
      <c r="BF219" s="5" t="s">
        <v>1442</v>
      </c>
    </row>
    <row r="220" spans="1:58" x14ac:dyDescent="0.35">
      <c r="A220" s="4">
        <v>219</v>
      </c>
      <c r="B220" s="1" t="s">
        <v>1443</v>
      </c>
      <c r="C220" s="1" t="s">
        <v>63</v>
      </c>
      <c r="D220" s="1" t="s">
        <v>136</v>
      </c>
      <c r="E220" s="1" t="s">
        <v>69</v>
      </c>
      <c r="F220" s="1" t="s">
        <v>69</v>
      </c>
      <c r="G220" s="1" t="s">
        <v>69</v>
      </c>
      <c r="H220" s="1" t="s">
        <v>69</v>
      </c>
      <c r="I220" s="1" t="s">
        <v>70</v>
      </c>
      <c r="J220" s="1" t="s">
        <v>271</v>
      </c>
      <c r="K220" s="1">
        <v>18</v>
      </c>
      <c r="L220" s="1" t="s">
        <v>131</v>
      </c>
      <c r="M220" s="1" t="s">
        <v>73</v>
      </c>
      <c r="N220" s="1" t="s">
        <v>95</v>
      </c>
      <c r="O220" s="1">
        <v>3</v>
      </c>
      <c r="P220" s="1">
        <v>3</v>
      </c>
      <c r="Q220" s="1">
        <f>data[[#This Row],[Nilai Kepentingan Dimensi Persyaratan]]-data[[#This Row],[Nilai Kepuasan Dimensi Persyaratan]]</f>
        <v>0</v>
      </c>
      <c r="R220" s="1">
        <v>3</v>
      </c>
      <c r="S220" s="1">
        <v>3</v>
      </c>
      <c r="T220" s="1">
        <f>data[[#This Row],[Nilai Kepentingan Dimensi Prosedur]]-data[[#This Row],[Nilai Kepuasan Dimensi Prosedur]]</f>
        <v>0</v>
      </c>
      <c r="U220" s="1">
        <v>3</v>
      </c>
      <c r="V220" s="1">
        <v>3</v>
      </c>
      <c r="W220" s="1">
        <f>data[[#This Row],[Nilai Kepentingan Dimensi Waktu Pelayanan/Penyelesaian]]-data[[#This Row],[Nilai Kepuasan Dimensi Waktu Pelayanan/Penyelesaian]]</f>
        <v>0</v>
      </c>
      <c r="X220" s="1">
        <v>3</v>
      </c>
      <c r="Y220" s="1">
        <v>3</v>
      </c>
      <c r="Z220" s="1">
        <f>data[[#This Row],[Nilai Kepentingan Dimensi Tarif/ Biaya]]-data[[#This Row],[Nilai Kepuasan Dimensi Tarif / Biaya]]</f>
        <v>0</v>
      </c>
      <c r="AA220" s="1">
        <v>4</v>
      </c>
      <c r="AB220" s="1">
        <v>4</v>
      </c>
      <c r="AC220" s="1">
        <f>data[[#This Row],[Nilai Kepentingan Dimensi Produk Spesifikasi Jenis Layanan]]-data[[#This Row],[Nilai Kepuasan Dimensi Produk Spesifikasi Jenis Layanan]]</f>
        <v>0</v>
      </c>
      <c r="AD220" s="1">
        <v>4</v>
      </c>
      <c r="AE220" s="1">
        <v>4</v>
      </c>
      <c r="AF220" s="1">
        <f>data[[#This Row],[Nilai Kepentingan Dimensi Kompetensi Pelaksana]]-data[[#This Row],[Nilai Kepuasan Dimensi Kompetensi Pelaksana]]</f>
        <v>0</v>
      </c>
      <c r="AG220" s="1">
        <v>4</v>
      </c>
      <c r="AH220" s="1">
        <v>4</v>
      </c>
      <c r="AI220" s="1">
        <f>data[[#This Row],[Nilai Kepentingan Dimensi Perilaku Pelaksana]]-data[[#This Row],[Nilai Kepuasan Dimensi Perilaku Pelaksana]]</f>
        <v>0</v>
      </c>
      <c r="AJ220" s="1">
        <v>3</v>
      </c>
      <c r="AK220" s="1">
        <v>3</v>
      </c>
      <c r="AL220" s="1">
        <f>data[[#This Row],[Nilai Kepentingan Dimensi Penanganan Pengaduan, Saran &amp; Masukan]]-data[[#This Row],[Nilai Kepuasan Dimensi Penanganan Pengaduan, Saran &amp; Masukan]]</f>
        <v>0</v>
      </c>
      <c r="AM220" s="1">
        <v>3</v>
      </c>
      <c r="AN220" s="1">
        <v>3</v>
      </c>
      <c r="AO220" s="1">
        <f>data[[#This Row],[Nilai Kepentingan Dimensi Kualitas Sarana dan Prasarana]]-data[[#This Row],[Nilai Kepuasan Dimensi Kualitas Sarana dan Prasarana]]</f>
        <v>0</v>
      </c>
      <c r="AP220" s="1">
        <v>0</v>
      </c>
      <c r="AQ220" s="1" t="s">
        <v>69</v>
      </c>
      <c r="AR220" s="1">
        <v>0</v>
      </c>
      <c r="AS220" s="1" t="s">
        <v>69</v>
      </c>
      <c r="AT220" s="1">
        <v>0</v>
      </c>
      <c r="AU220" s="1" t="s">
        <v>69</v>
      </c>
      <c r="AV220" s="1" t="s">
        <v>631</v>
      </c>
      <c r="AW220" s="1" t="s">
        <v>77</v>
      </c>
      <c r="AX220" s="1">
        <v>2</v>
      </c>
      <c r="AY220" s="1">
        <v>3</v>
      </c>
      <c r="AZ220" s="1" t="s">
        <v>1447</v>
      </c>
      <c r="BA220" s="1" t="s">
        <v>79</v>
      </c>
      <c r="BB220" s="1" t="s">
        <v>1448</v>
      </c>
      <c r="BC220" s="1" t="s">
        <v>421</v>
      </c>
      <c r="BD220" s="1" t="s">
        <v>503</v>
      </c>
      <c r="BE220" s="1" t="s">
        <v>79</v>
      </c>
      <c r="BF220" s="5" t="s">
        <v>83</v>
      </c>
    </row>
    <row r="221" spans="1:58" x14ac:dyDescent="0.35">
      <c r="A221" s="4">
        <v>220</v>
      </c>
      <c r="B221" s="1" t="s">
        <v>1449</v>
      </c>
      <c r="C221" s="1" t="s">
        <v>63</v>
      </c>
      <c r="D221" s="1" t="s">
        <v>136</v>
      </c>
      <c r="E221" s="1" t="s">
        <v>69</v>
      </c>
      <c r="F221" s="1" t="s">
        <v>69</v>
      </c>
      <c r="G221" s="1" t="s">
        <v>69</v>
      </c>
      <c r="H221" s="1" t="s">
        <v>69</v>
      </c>
      <c r="I221" s="1" t="s">
        <v>70</v>
      </c>
      <c r="J221" s="1" t="s">
        <v>107</v>
      </c>
      <c r="K221" s="1">
        <v>22</v>
      </c>
      <c r="L221" s="1" t="s">
        <v>72</v>
      </c>
      <c r="M221" s="1" t="s">
        <v>73</v>
      </c>
      <c r="N221" s="1" t="s">
        <v>95</v>
      </c>
      <c r="O221" s="1">
        <v>3</v>
      </c>
      <c r="P221" s="1">
        <v>3</v>
      </c>
      <c r="Q221" s="1">
        <f>data[[#This Row],[Nilai Kepentingan Dimensi Persyaratan]]-data[[#This Row],[Nilai Kepuasan Dimensi Persyaratan]]</f>
        <v>0</v>
      </c>
      <c r="R221" s="1">
        <v>3</v>
      </c>
      <c r="S221" s="1">
        <v>3</v>
      </c>
      <c r="T221" s="1">
        <f>data[[#This Row],[Nilai Kepentingan Dimensi Prosedur]]-data[[#This Row],[Nilai Kepuasan Dimensi Prosedur]]</f>
        <v>0</v>
      </c>
      <c r="U221" s="1">
        <v>4</v>
      </c>
      <c r="V221" s="1">
        <v>3</v>
      </c>
      <c r="W221" s="1">
        <f>data[[#This Row],[Nilai Kepentingan Dimensi Waktu Pelayanan/Penyelesaian]]-data[[#This Row],[Nilai Kepuasan Dimensi Waktu Pelayanan/Penyelesaian]]</f>
        <v>-1</v>
      </c>
      <c r="X221" s="1">
        <v>4</v>
      </c>
      <c r="Y221" s="1">
        <v>4</v>
      </c>
      <c r="Z221" s="1">
        <f>data[[#This Row],[Nilai Kepentingan Dimensi Tarif/ Biaya]]-data[[#This Row],[Nilai Kepuasan Dimensi Tarif / Biaya]]</f>
        <v>0</v>
      </c>
      <c r="AA221" s="1">
        <v>3</v>
      </c>
      <c r="AB221" s="1">
        <v>3</v>
      </c>
      <c r="AC221" s="1">
        <f>data[[#This Row],[Nilai Kepentingan Dimensi Produk Spesifikasi Jenis Layanan]]-data[[#This Row],[Nilai Kepuasan Dimensi Produk Spesifikasi Jenis Layanan]]</f>
        <v>0</v>
      </c>
      <c r="AD221" s="1">
        <v>3</v>
      </c>
      <c r="AE221" s="1">
        <v>3</v>
      </c>
      <c r="AF221" s="1">
        <f>data[[#This Row],[Nilai Kepentingan Dimensi Kompetensi Pelaksana]]-data[[#This Row],[Nilai Kepuasan Dimensi Kompetensi Pelaksana]]</f>
        <v>0</v>
      </c>
      <c r="AG221" s="1">
        <v>3</v>
      </c>
      <c r="AH221" s="1">
        <v>3</v>
      </c>
      <c r="AI221" s="1">
        <f>data[[#This Row],[Nilai Kepentingan Dimensi Perilaku Pelaksana]]-data[[#This Row],[Nilai Kepuasan Dimensi Perilaku Pelaksana]]</f>
        <v>0</v>
      </c>
      <c r="AJ221" s="1">
        <v>3</v>
      </c>
      <c r="AK221" s="1">
        <v>3</v>
      </c>
      <c r="AL221" s="1">
        <f>data[[#This Row],[Nilai Kepentingan Dimensi Penanganan Pengaduan, Saran &amp; Masukan]]-data[[#This Row],[Nilai Kepuasan Dimensi Penanganan Pengaduan, Saran &amp; Masukan]]</f>
        <v>0</v>
      </c>
      <c r="AM221" s="1">
        <v>3</v>
      </c>
      <c r="AN221" s="1">
        <v>3</v>
      </c>
      <c r="AO221" s="1">
        <f>data[[#This Row],[Nilai Kepentingan Dimensi Kualitas Sarana dan Prasarana]]-data[[#This Row],[Nilai Kepuasan Dimensi Kualitas Sarana dan Prasarana]]</f>
        <v>0</v>
      </c>
      <c r="AP221" s="1">
        <v>4</v>
      </c>
      <c r="AQ221" s="1" t="s">
        <v>75</v>
      </c>
      <c r="AR221" s="1">
        <v>0</v>
      </c>
      <c r="AS221" s="1" t="s">
        <v>69</v>
      </c>
      <c r="AT221" s="1">
        <v>0</v>
      </c>
      <c r="AU221" s="1" t="s">
        <v>69</v>
      </c>
      <c r="AV221" s="1" t="s">
        <v>83</v>
      </c>
      <c r="AW221" s="1" t="s">
        <v>96</v>
      </c>
      <c r="AX221" s="1">
        <v>0</v>
      </c>
      <c r="AY221" s="1">
        <v>0</v>
      </c>
      <c r="AZ221" s="1" t="s">
        <v>98</v>
      </c>
      <c r="BA221" s="1" t="s">
        <v>99</v>
      </c>
      <c r="BB221" s="1" t="s">
        <v>98</v>
      </c>
      <c r="BC221" s="1" t="s">
        <v>99</v>
      </c>
      <c r="BD221" s="1" t="s">
        <v>98</v>
      </c>
      <c r="BE221" s="1" t="s">
        <v>99</v>
      </c>
      <c r="BF221" s="5" t="s">
        <v>1452</v>
      </c>
    </row>
    <row r="222" spans="1:58" x14ac:dyDescent="0.35">
      <c r="A222" s="4">
        <v>221</v>
      </c>
      <c r="B222" s="1" t="s">
        <v>1453</v>
      </c>
      <c r="C222" s="1" t="s">
        <v>63</v>
      </c>
      <c r="D222" s="1" t="s">
        <v>63</v>
      </c>
      <c r="E222" s="1" t="s">
        <v>69</v>
      </c>
      <c r="F222" s="1" t="s">
        <v>69</v>
      </c>
      <c r="G222" s="1" t="s">
        <v>69</v>
      </c>
      <c r="H222" s="1" t="s">
        <v>69</v>
      </c>
      <c r="I222" s="1" t="s">
        <v>106</v>
      </c>
      <c r="J222" s="1" t="s">
        <v>271</v>
      </c>
      <c r="K222" s="1">
        <v>18</v>
      </c>
      <c r="L222" s="1" t="s">
        <v>131</v>
      </c>
      <c r="M222" s="1" t="s">
        <v>73</v>
      </c>
      <c r="N222" s="1" t="s">
        <v>95</v>
      </c>
      <c r="O222" s="1">
        <v>3</v>
      </c>
      <c r="P222" s="1">
        <v>3</v>
      </c>
      <c r="Q222" s="1">
        <f>data[[#This Row],[Nilai Kepentingan Dimensi Persyaratan]]-data[[#This Row],[Nilai Kepuasan Dimensi Persyaratan]]</f>
        <v>0</v>
      </c>
      <c r="R222" s="1">
        <v>3</v>
      </c>
      <c r="S222" s="1">
        <v>3</v>
      </c>
      <c r="T222" s="1">
        <f>data[[#This Row],[Nilai Kepentingan Dimensi Prosedur]]-data[[#This Row],[Nilai Kepuasan Dimensi Prosedur]]</f>
        <v>0</v>
      </c>
      <c r="U222" s="1">
        <v>4</v>
      </c>
      <c r="V222" s="1">
        <v>4</v>
      </c>
      <c r="W222" s="1">
        <f>data[[#This Row],[Nilai Kepentingan Dimensi Waktu Pelayanan/Penyelesaian]]-data[[#This Row],[Nilai Kepuasan Dimensi Waktu Pelayanan/Penyelesaian]]</f>
        <v>0</v>
      </c>
      <c r="X222" s="1">
        <v>4</v>
      </c>
      <c r="Y222" s="1">
        <v>4</v>
      </c>
      <c r="Z222" s="1">
        <f>data[[#This Row],[Nilai Kepentingan Dimensi Tarif/ Biaya]]-data[[#This Row],[Nilai Kepuasan Dimensi Tarif / Biaya]]</f>
        <v>0</v>
      </c>
      <c r="AA222" s="1">
        <v>4</v>
      </c>
      <c r="AB222" s="1">
        <v>4</v>
      </c>
      <c r="AC222" s="1">
        <f>data[[#This Row],[Nilai Kepentingan Dimensi Produk Spesifikasi Jenis Layanan]]-data[[#This Row],[Nilai Kepuasan Dimensi Produk Spesifikasi Jenis Layanan]]</f>
        <v>0</v>
      </c>
      <c r="AD222" s="1">
        <v>4</v>
      </c>
      <c r="AE222" s="1">
        <v>4</v>
      </c>
      <c r="AF222" s="1">
        <f>data[[#This Row],[Nilai Kepentingan Dimensi Kompetensi Pelaksana]]-data[[#This Row],[Nilai Kepuasan Dimensi Kompetensi Pelaksana]]</f>
        <v>0</v>
      </c>
      <c r="AG222" s="1">
        <v>4</v>
      </c>
      <c r="AH222" s="1">
        <v>4</v>
      </c>
      <c r="AI222" s="1">
        <f>data[[#This Row],[Nilai Kepentingan Dimensi Perilaku Pelaksana]]-data[[#This Row],[Nilai Kepuasan Dimensi Perilaku Pelaksana]]</f>
        <v>0</v>
      </c>
      <c r="AJ222" s="1">
        <v>3</v>
      </c>
      <c r="AK222" s="1">
        <v>3</v>
      </c>
      <c r="AL222" s="1">
        <f>data[[#This Row],[Nilai Kepentingan Dimensi Penanganan Pengaduan, Saran &amp; Masukan]]-data[[#This Row],[Nilai Kepuasan Dimensi Penanganan Pengaduan, Saran &amp; Masukan]]</f>
        <v>0</v>
      </c>
      <c r="AM222" s="1">
        <v>3</v>
      </c>
      <c r="AN222" s="1">
        <v>3</v>
      </c>
      <c r="AO222" s="1">
        <f>data[[#This Row],[Nilai Kepentingan Dimensi Kualitas Sarana dan Prasarana]]-data[[#This Row],[Nilai Kepuasan Dimensi Kualitas Sarana dan Prasarana]]</f>
        <v>0</v>
      </c>
      <c r="AP222" s="1">
        <v>3</v>
      </c>
      <c r="AQ222" s="1" t="s">
        <v>75</v>
      </c>
      <c r="AR222" s="1">
        <v>0</v>
      </c>
      <c r="AS222" s="1" t="s">
        <v>69</v>
      </c>
      <c r="AT222" s="1">
        <v>0</v>
      </c>
      <c r="AU222" s="1" t="s">
        <v>69</v>
      </c>
      <c r="AV222" s="1" t="s">
        <v>83</v>
      </c>
      <c r="AW222" s="1" t="s">
        <v>96</v>
      </c>
      <c r="AX222" s="1">
        <v>0</v>
      </c>
      <c r="AY222" s="1">
        <v>0</v>
      </c>
      <c r="AZ222" s="1" t="s">
        <v>1455</v>
      </c>
      <c r="BA222" s="1" t="s">
        <v>235</v>
      </c>
      <c r="BB222" s="1" t="s">
        <v>98</v>
      </c>
      <c r="BC222" s="1" t="s">
        <v>99</v>
      </c>
      <c r="BD222" s="1" t="s">
        <v>98</v>
      </c>
      <c r="BE222" s="1" t="s">
        <v>99</v>
      </c>
      <c r="BF222" s="5" t="s">
        <v>83</v>
      </c>
    </row>
    <row r="223" spans="1:58" x14ac:dyDescent="0.35">
      <c r="A223" s="4">
        <v>222</v>
      </c>
      <c r="B223" s="1" t="s">
        <v>1456</v>
      </c>
      <c r="C223" s="1" t="s">
        <v>63</v>
      </c>
      <c r="D223" s="1" t="s">
        <v>136</v>
      </c>
      <c r="E223" s="1" t="s">
        <v>69</v>
      </c>
      <c r="F223" s="1" t="s">
        <v>69</v>
      </c>
      <c r="G223" s="1" t="s">
        <v>69</v>
      </c>
      <c r="H223" s="1" t="s">
        <v>69</v>
      </c>
      <c r="I223" s="1" t="s">
        <v>106</v>
      </c>
      <c r="J223" s="1" t="s">
        <v>107</v>
      </c>
      <c r="K223" s="1">
        <v>26</v>
      </c>
      <c r="L223" s="1" t="s">
        <v>92</v>
      </c>
      <c r="M223" s="1" t="s">
        <v>93</v>
      </c>
      <c r="N223" s="1" t="s">
        <v>74</v>
      </c>
      <c r="O223" s="1">
        <v>3</v>
      </c>
      <c r="P223" s="1">
        <v>3</v>
      </c>
      <c r="Q223" s="1">
        <f>data[[#This Row],[Nilai Kepentingan Dimensi Persyaratan]]-data[[#This Row],[Nilai Kepuasan Dimensi Persyaratan]]</f>
        <v>0</v>
      </c>
      <c r="R223" s="1">
        <v>3</v>
      </c>
      <c r="S223" s="1">
        <v>3</v>
      </c>
      <c r="T223" s="1">
        <f>data[[#This Row],[Nilai Kepentingan Dimensi Prosedur]]-data[[#This Row],[Nilai Kepuasan Dimensi Prosedur]]</f>
        <v>0</v>
      </c>
      <c r="U223" s="1">
        <v>3</v>
      </c>
      <c r="V223" s="1">
        <v>3</v>
      </c>
      <c r="W223" s="1">
        <f>data[[#This Row],[Nilai Kepentingan Dimensi Waktu Pelayanan/Penyelesaian]]-data[[#This Row],[Nilai Kepuasan Dimensi Waktu Pelayanan/Penyelesaian]]</f>
        <v>0</v>
      </c>
      <c r="X223" s="1">
        <v>4</v>
      </c>
      <c r="Y223" s="1">
        <v>4</v>
      </c>
      <c r="Z223" s="1">
        <f>data[[#This Row],[Nilai Kepentingan Dimensi Tarif/ Biaya]]-data[[#This Row],[Nilai Kepuasan Dimensi Tarif / Biaya]]</f>
        <v>0</v>
      </c>
      <c r="AA223" s="1">
        <v>3</v>
      </c>
      <c r="AB223" s="1">
        <v>3</v>
      </c>
      <c r="AC223" s="1">
        <f>data[[#This Row],[Nilai Kepentingan Dimensi Produk Spesifikasi Jenis Layanan]]-data[[#This Row],[Nilai Kepuasan Dimensi Produk Spesifikasi Jenis Layanan]]</f>
        <v>0</v>
      </c>
      <c r="AD223" s="1">
        <v>3</v>
      </c>
      <c r="AE223" s="1">
        <v>3</v>
      </c>
      <c r="AF223" s="1">
        <f>data[[#This Row],[Nilai Kepentingan Dimensi Kompetensi Pelaksana]]-data[[#This Row],[Nilai Kepuasan Dimensi Kompetensi Pelaksana]]</f>
        <v>0</v>
      </c>
      <c r="AG223" s="1">
        <v>3</v>
      </c>
      <c r="AH223" s="1">
        <v>3</v>
      </c>
      <c r="AI223" s="1">
        <f>data[[#This Row],[Nilai Kepentingan Dimensi Perilaku Pelaksana]]-data[[#This Row],[Nilai Kepuasan Dimensi Perilaku Pelaksana]]</f>
        <v>0</v>
      </c>
      <c r="AJ223" s="1">
        <v>3</v>
      </c>
      <c r="AK223" s="1">
        <v>3</v>
      </c>
      <c r="AL223" s="1">
        <f>data[[#This Row],[Nilai Kepentingan Dimensi Penanganan Pengaduan, Saran &amp; Masukan]]-data[[#This Row],[Nilai Kepuasan Dimensi Penanganan Pengaduan, Saran &amp; Masukan]]</f>
        <v>0</v>
      </c>
      <c r="AM223" s="1">
        <v>3</v>
      </c>
      <c r="AN223" s="1">
        <v>3</v>
      </c>
      <c r="AO223" s="1">
        <f>data[[#This Row],[Nilai Kepentingan Dimensi Kualitas Sarana dan Prasarana]]-data[[#This Row],[Nilai Kepuasan Dimensi Kualitas Sarana dan Prasarana]]</f>
        <v>0</v>
      </c>
      <c r="AP223" s="1">
        <v>0</v>
      </c>
      <c r="AQ223" s="1" t="s">
        <v>69</v>
      </c>
      <c r="AR223" s="1">
        <v>0</v>
      </c>
      <c r="AS223" s="1" t="s">
        <v>69</v>
      </c>
      <c r="AT223" s="1">
        <v>0</v>
      </c>
      <c r="AU223" s="1" t="s">
        <v>69</v>
      </c>
      <c r="AV223" s="1" t="s">
        <v>144</v>
      </c>
      <c r="AW223" s="1" t="s">
        <v>144</v>
      </c>
      <c r="AX223" s="1">
        <v>2</v>
      </c>
      <c r="AY223" s="1">
        <v>3</v>
      </c>
      <c r="AZ223" s="1" t="s">
        <v>98</v>
      </c>
      <c r="BA223" s="1" t="s">
        <v>99</v>
      </c>
      <c r="BB223" s="1" t="s">
        <v>98</v>
      </c>
      <c r="BC223" s="1" t="s">
        <v>99</v>
      </c>
      <c r="BD223" s="1" t="s">
        <v>98</v>
      </c>
      <c r="BE223" s="1" t="s">
        <v>99</v>
      </c>
      <c r="BF223" s="5" t="s">
        <v>98</v>
      </c>
    </row>
    <row r="224" spans="1:58" x14ac:dyDescent="0.35">
      <c r="A224" s="4">
        <v>223</v>
      </c>
      <c r="B224" s="1" t="s">
        <v>1460</v>
      </c>
      <c r="C224" s="1" t="s">
        <v>63</v>
      </c>
      <c r="D224" s="1" t="s">
        <v>338</v>
      </c>
      <c r="E224" s="1" t="s">
        <v>69</v>
      </c>
      <c r="F224" s="1" t="s">
        <v>69</v>
      </c>
      <c r="G224" s="1" t="s">
        <v>69</v>
      </c>
      <c r="H224" s="1" t="s">
        <v>69</v>
      </c>
      <c r="I224" s="1" t="s">
        <v>106</v>
      </c>
      <c r="J224" s="1" t="s">
        <v>271</v>
      </c>
      <c r="K224" s="1">
        <v>28</v>
      </c>
      <c r="L224" s="1" t="s">
        <v>92</v>
      </c>
      <c r="M224" s="1" t="s">
        <v>73</v>
      </c>
      <c r="N224" s="1" t="s">
        <v>74</v>
      </c>
      <c r="O224" s="1">
        <v>3</v>
      </c>
      <c r="P224" s="1">
        <v>3</v>
      </c>
      <c r="Q224" s="1">
        <f>data[[#This Row],[Nilai Kepentingan Dimensi Persyaratan]]-data[[#This Row],[Nilai Kepuasan Dimensi Persyaratan]]</f>
        <v>0</v>
      </c>
      <c r="R224" s="1">
        <v>4</v>
      </c>
      <c r="S224" s="1">
        <v>4</v>
      </c>
      <c r="T224" s="1">
        <f>data[[#This Row],[Nilai Kepentingan Dimensi Prosedur]]-data[[#This Row],[Nilai Kepuasan Dimensi Prosedur]]</f>
        <v>0</v>
      </c>
      <c r="U224" s="1">
        <v>4</v>
      </c>
      <c r="V224" s="1">
        <v>4</v>
      </c>
      <c r="W224" s="1">
        <f>data[[#This Row],[Nilai Kepentingan Dimensi Waktu Pelayanan/Penyelesaian]]-data[[#This Row],[Nilai Kepuasan Dimensi Waktu Pelayanan/Penyelesaian]]</f>
        <v>0</v>
      </c>
      <c r="X224" s="1">
        <v>4</v>
      </c>
      <c r="Y224" s="1">
        <v>4</v>
      </c>
      <c r="Z224" s="1">
        <f>data[[#This Row],[Nilai Kepentingan Dimensi Tarif/ Biaya]]-data[[#This Row],[Nilai Kepuasan Dimensi Tarif / Biaya]]</f>
        <v>0</v>
      </c>
      <c r="AA224" s="1">
        <v>4</v>
      </c>
      <c r="AB224" s="1">
        <v>4</v>
      </c>
      <c r="AC224" s="1">
        <f>data[[#This Row],[Nilai Kepentingan Dimensi Produk Spesifikasi Jenis Layanan]]-data[[#This Row],[Nilai Kepuasan Dimensi Produk Spesifikasi Jenis Layanan]]</f>
        <v>0</v>
      </c>
      <c r="AD224" s="1">
        <v>4</v>
      </c>
      <c r="AE224" s="1">
        <v>4</v>
      </c>
      <c r="AF224" s="1">
        <f>data[[#This Row],[Nilai Kepentingan Dimensi Kompetensi Pelaksana]]-data[[#This Row],[Nilai Kepuasan Dimensi Kompetensi Pelaksana]]</f>
        <v>0</v>
      </c>
      <c r="AG224" s="1">
        <v>4</v>
      </c>
      <c r="AH224" s="1">
        <v>4</v>
      </c>
      <c r="AI224" s="1">
        <f>data[[#This Row],[Nilai Kepentingan Dimensi Perilaku Pelaksana]]-data[[#This Row],[Nilai Kepuasan Dimensi Perilaku Pelaksana]]</f>
        <v>0</v>
      </c>
      <c r="AJ224" s="1">
        <v>4</v>
      </c>
      <c r="AK224" s="1">
        <v>4</v>
      </c>
      <c r="AL224" s="1">
        <f>data[[#This Row],[Nilai Kepentingan Dimensi Penanganan Pengaduan, Saran &amp; Masukan]]-data[[#This Row],[Nilai Kepuasan Dimensi Penanganan Pengaduan, Saran &amp; Masukan]]</f>
        <v>0</v>
      </c>
      <c r="AM224" s="1">
        <v>3</v>
      </c>
      <c r="AN224" s="1">
        <v>4</v>
      </c>
      <c r="AO224" s="1">
        <f>data[[#This Row],[Nilai Kepentingan Dimensi Kualitas Sarana dan Prasarana]]-data[[#This Row],[Nilai Kepuasan Dimensi Kualitas Sarana dan Prasarana]]</f>
        <v>1</v>
      </c>
      <c r="AP224" s="1">
        <v>0</v>
      </c>
      <c r="AQ224" s="1" t="s">
        <v>69</v>
      </c>
      <c r="AR224" s="1">
        <v>3</v>
      </c>
      <c r="AS224" s="1" t="s">
        <v>75</v>
      </c>
      <c r="AT224" s="1">
        <v>0</v>
      </c>
      <c r="AU224" s="1" t="s">
        <v>69</v>
      </c>
      <c r="AV224" s="1" t="s">
        <v>83</v>
      </c>
      <c r="AW224" s="1" t="s">
        <v>96</v>
      </c>
      <c r="AX224" s="1">
        <v>0</v>
      </c>
      <c r="AY224" s="1">
        <v>0</v>
      </c>
      <c r="AZ224" s="1" t="s">
        <v>1465</v>
      </c>
      <c r="BA224" s="1" t="s">
        <v>99</v>
      </c>
      <c r="BB224" s="1" t="s">
        <v>98</v>
      </c>
      <c r="BC224" s="1" t="s">
        <v>99</v>
      </c>
      <c r="BD224" s="1" t="s">
        <v>98</v>
      </c>
      <c r="BE224" s="1" t="s">
        <v>99</v>
      </c>
      <c r="BF224" s="5" t="s">
        <v>83</v>
      </c>
    </row>
    <row r="225" spans="1:58" x14ac:dyDescent="0.35">
      <c r="A225" s="4">
        <v>224</v>
      </c>
      <c r="B225" s="1" t="s">
        <v>1466</v>
      </c>
      <c r="C225" s="1" t="s">
        <v>1468</v>
      </c>
      <c r="D225" s="1" t="s">
        <v>1469</v>
      </c>
      <c r="E225" s="1" t="s">
        <v>69</v>
      </c>
      <c r="F225" s="1" t="s">
        <v>69</v>
      </c>
      <c r="G225" s="1" t="s">
        <v>69</v>
      </c>
      <c r="H225" s="1" t="s">
        <v>69</v>
      </c>
      <c r="I225" s="1" t="s">
        <v>106</v>
      </c>
      <c r="J225" s="1" t="s">
        <v>107</v>
      </c>
      <c r="K225" s="1">
        <v>59</v>
      </c>
      <c r="L225" s="1" t="s">
        <v>182</v>
      </c>
      <c r="M225" s="1" t="s">
        <v>273</v>
      </c>
      <c r="N225" s="1" t="s">
        <v>74</v>
      </c>
      <c r="O225" s="1">
        <v>3</v>
      </c>
      <c r="P225" s="1">
        <v>3</v>
      </c>
      <c r="Q225" s="1">
        <f>data[[#This Row],[Nilai Kepentingan Dimensi Persyaratan]]-data[[#This Row],[Nilai Kepuasan Dimensi Persyaratan]]</f>
        <v>0</v>
      </c>
      <c r="R225" s="1">
        <v>4</v>
      </c>
      <c r="S225" s="1">
        <v>4</v>
      </c>
      <c r="T225" s="1">
        <f>data[[#This Row],[Nilai Kepentingan Dimensi Prosedur]]-data[[#This Row],[Nilai Kepuasan Dimensi Prosedur]]</f>
        <v>0</v>
      </c>
      <c r="U225" s="1">
        <v>4</v>
      </c>
      <c r="V225" s="1">
        <v>4</v>
      </c>
      <c r="W225" s="1">
        <f>data[[#This Row],[Nilai Kepentingan Dimensi Waktu Pelayanan/Penyelesaian]]-data[[#This Row],[Nilai Kepuasan Dimensi Waktu Pelayanan/Penyelesaian]]</f>
        <v>0</v>
      </c>
      <c r="X225" s="1">
        <v>3</v>
      </c>
      <c r="Y225" s="1">
        <v>3</v>
      </c>
      <c r="Z225" s="1">
        <f>data[[#This Row],[Nilai Kepentingan Dimensi Tarif/ Biaya]]-data[[#This Row],[Nilai Kepuasan Dimensi Tarif / Biaya]]</f>
        <v>0</v>
      </c>
      <c r="AA225" s="1">
        <v>4</v>
      </c>
      <c r="AB225" s="1">
        <v>4</v>
      </c>
      <c r="AC225" s="1">
        <f>data[[#This Row],[Nilai Kepentingan Dimensi Produk Spesifikasi Jenis Layanan]]-data[[#This Row],[Nilai Kepuasan Dimensi Produk Spesifikasi Jenis Layanan]]</f>
        <v>0</v>
      </c>
      <c r="AD225" s="1">
        <v>4</v>
      </c>
      <c r="AE225" s="1">
        <v>4</v>
      </c>
      <c r="AF225" s="1">
        <f>data[[#This Row],[Nilai Kepentingan Dimensi Kompetensi Pelaksana]]-data[[#This Row],[Nilai Kepuasan Dimensi Kompetensi Pelaksana]]</f>
        <v>0</v>
      </c>
      <c r="AG225" s="1">
        <v>4</v>
      </c>
      <c r="AH225" s="1">
        <v>4</v>
      </c>
      <c r="AI225" s="1">
        <f>data[[#This Row],[Nilai Kepentingan Dimensi Perilaku Pelaksana]]-data[[#This Row],[Nilai Kepuasan Dimensi Perilaku Pelaksana]]</f>
        <v>0</v>
      </c>
      <c r="AJ225" s="1">
        <v>4</v>
      </c>
      <c r="AK225" s="1">
        <v>4</v>
      </c>
      <c r="AL225" s="1">
        <f>data[[#This Row],[Nilai Kepentingan Dimensi Penanganan Pengaduan, Saran &amp; Masukan]]-data[[#This Row],[Nilai Kepuasan Dimensi Penanganan Pengaduan, Saran &amp; Masukan]]</f>
        <v>0</v>
      </c>
      <c r="AM225" s="1">
        <v>4</v>
      </c>
      <c r="AN225" s="1">
        <v>4</v>
      </c>
      <c r="AO225" s="1">
        <f>data[[#This Row],[Nilai Kepentingan Dimensi Kualitas Sarana dan Prasarana]]-data[[#This Row],[Nilai Kepuasan Dimensi Kualitas Sarana dan Prasarana]]</f>
        <v>0</v>
      </c>
      <c r="AP225" s="1">
        <v>0</v>
      </c>
      <c r="AQ225" s="1" t="s">
        <v>69</v>
      </c>
      <c r="AR225" s="1">
        <v>0</v>
      </c>
      <c r="AS225" s="1" t="s">
        <v>69</v>
      </c>
      <c r="AT225" s="1">
        <v>0</v>
      </c>
      <c r="AU225" s="1" t="s">
        <v>69</v>
      </c>
      <c r="AV225" s="1" t="s">
        <v>1472</v>
      </c>
      <c r="AW225" s="1" t="s">
        <v>186</v>
      </c>
      <c r="AX225" s="1">
        <v>1</v>
      </c>
      <c r="AY225" s="1">
        <v>4</v>
      </c>
      <c r="AZ225" s="1" t="s">
        <v>98</v>
      </c>
      <c r="BA225" s="1" t="s">
        <v>99</v>
      </c>
      <c r="BB225" s="1" t="s">
        <v>98</v>
      </c>
      <c r="BC225" s="1" t="s">
        <v>99</v>
      </c>
      <c r="BD225" s="1" t="s">
        <v>98</v>
      </c>
      <c r="BE225" s="1" t="s">
        <v>99</v>
      </c>
      <c r="BF225" s="5" t="s">
        <v>98</v>
      </c>
    </row>
    <row r="226" spans="1:58" x14ac:dyDescent="0.35">
      <c r="A226" s="4">
        <v>225</v>
      </c>
      <c r="B226" s="1" t="s">
        <v>1473</v>
      </c>
      <c r="C226" s="1" t="s">
        <v>63</v>
      </c>
      <c r="D226" s="1" t="s">
        <v>136</v>
      </c>
      <c r="E226" s="1" t="s">
        <v>69</v>
      </c>
      <c r="F226" s="1" t="s">
        <v>69</v>
      </c>
      <c r="G226" s="1" t="s">
        <v>69</v>
      </c>
      <c r="H226" s="1" t="s">
        <v>69</v>
      </c>
      <c r="I226" s="1" t="s">
        <v>70</v>
      </c>
      <c r="J226" s="1" t="s">
        <v>107</v>
      </c>
      <c r="K226" s="1">
        <v>25</v>
      </c>
      <c r="L226" s="1" t="s">
        <v>72</v>
      </c>
      <c r="M226" s="1" t="s">
        <v>73</v>
      </c>
      <c r="N226" s="1" t="s">
        <v>110</v>
      </c>
      <c r="O226" s="1">
        <v>4</v>
      </c>
      <c r="P226" s="1">
        <v>4</v>
      </c>
      <c r="Q226" s="1">
        <f>data[[#This Row],[Nilai Kepentingan Dimensi Persyaratan]]-data[[#This Row],[Nilai Kepuasan Dimensi Persyaratan]]</f>
        <v>0</v>
      </c>
      <c r="R226" s="1">
        <v>4</v>
      </c>
      <c r="S226" s="1">
        <v>4</v>
      </c>
      <c r="T226" s="1">
        <f>data[[#This Row],[Nilai Kepentingan Dimensi Prosedur]]-data[[#This Row],[Nilai Kepuasan Dimensi Prosedur]]</f>
        <v>0</v>
      </c>
      <c r="U226" s="1">
        <v>4</v>
      </c>
      <c r="V226" s="1">
        <v>4</v>
      </c>
      <c r="W226" s="1">
        <f>data[[#This Row],[Nilai Kepentingan Dimensi Waktu Pelayanan/Penyelesaian]]-data[[#This Row],[Nilai Kepuasan Dimensi Waktu Pelayanan/Penyelesaian]]</f>
        <v>0</v>
      </c>
      <c r="X226" s="1">
        <v>4</v>
      </c>
      <c r="Y226" s="1">
        <v>4</v>
      </c>
      <c r="Z226" s="1">
        <f>data[[#This Row],[Nilai Kepentingan Dimensi Tarif/ Biaya]]-data[[#This Row],[Nilai Kepuasan Dimensi Tarif / Biaya]]</f>
        <v>0</v>
      </c>
      <c r="AA226" s="1">
        <v>4</v>
      </c>
      <c r="AB226" s="1">
        <v>4</v>
      </c>
      <c r="AC226" s="1">
        <f>data[[#This Row],[Nilai Kepentingan Dimensi Produk Spesifikasi Jenis Layanan]]-data[[#This Row],[Nilai Kepuasan Dimensi Produk Spesifikasi Jenis Layanan]]</f>
        <v>0</v>
      </c>
      <c r="AD226" s="1">
        <v>4</v>
      </c>
      <c r="AE226" s="1">
        <v>4</v>
      </c>
      <c r="AF226" s="1">
        <f>data[[#This Row],[Nilai Kepentingan Dimensi Kompetensi Pelaksana]]-data[[#This Row],[Nilai Kepuasan Dimensi Kompetensi Pelaksana]]</f>
        <v>0</v>
      </c>
      <c r="AG226" s="1">
        <v>4</v>
      </c>
      <c r="AH226" s="1">
        <v>4</v>
      </c>
      <c r="AI226" s="1">
        <f>data[[#This Row],[Nilai Kepentingan Dimensi Perilaku Pelaksana]]-data[[#This Row],[Nilai Kepuasan Dimensi Perilaku Pelaksana]]</f>
        <v>0</v>
      </c>
      <c r="AJ226" s="1">
        <v>4</v>
      </c>
      <c r="AK226" s="1">
        <v>4</v>
      </c>
      <c r="AL226" s="1">
        <f>data[[#This Row],[Nilai Kepentingan Dimensi Penanganan Pengaduan, Saran &amp; Masukan]]-data[[#This Row],[Nilai Kepuasan Dimensi Penanganan Pengaduan, Saran &amp; Masukan]]</f>
        <v>0</v>
      </c>
      <c r="AM226" s="1">
        <v>4</v>
      </c>
      <c r="AN226" s="1">
        <v>4</v>
      </c>
      <c r="AO226" s="1">
        <f>data[[#This Row],[Nilai Kepentingan Dimensi Kualitas Sarana dan Prasarana]]-data[[#This Row],[Nilai Kepuasan Dimensi Kualitas Sarana dan Prasarana]]</f>
        <v>0</v>
      </c>
      <c r="AP226" s="1">
        <v>0</v>
      </c>
      <c r="AQ226" s="1" t="s">
        <v>69</v>
      </c>
      <c r="AR226" s="1">
        <v>0</v>
      </c>
      <c r="AS226" s="1" t="s">
        <v>69</v>
      </c>
      <c r="AT226" s="1">
        <v>0</v>
      </c>
      <c r="AU226" s="1" t="s">
        <v>69</v>
      </c>
      <c r="AV226" s="1" t="s">
        <v>5</v>
      </c>
      <c r="AW226" s="1" t="s">
        <v>450</v>
      </c>
      <c r="AX226" s="1">
        <v>2</v>
      </c>
      <c r="AY226" s="1">
        <v>3</v>
      </c>
      <c r="AZ226" s="1" t="s">
        <v>98</v>
      </c>
      <c r="BA226" s="1" t="s">
        <v>99</v>
      </c>
      <c r="BB226" s="1" t="s">
        <v>98</v>
      </c>
      <c r="BC226" s="1" t="s">
        <v>99</v>
      </c>
      <c r="BD226" s="1" t="s">
        <v>98</v>
      </c>
      <c r="BE226" s="1" t="s">
        <v>99</v>
      </c>
      <c r="BF226" s="5" t="s">
        <v>98</v>
      </c>
    </row>
    <row r="227" spans="1:58" x14ac:dyDescent="0.35">
      <c r="A227" s="4">
        <v>226</v>
      </c>
      <c r="B227" s="1" t="s">
        <v>1477</v>
      </c>
      <c r="C227" s="1" t="s">
        <v>63</v>
      </c>
      <c r="D227" s="1" t="s">
        <v>136</v>
      </c>
      <c r="E227" s="1" t="s">
        <v>69</v>
      </c>
      <c r="F227" s="1" t="s">
        <v>69</v>
      </c>
      <c r="G227" s="1" t="s">
        <v>69</v>
      </c>
      <c r="H227" s="1" t="s">
        <v>69</v>
      </c>
      <c r="I227" s="1" t="s">
        <v>106</v>
      </c>
      <c r="J227" s="1" t="s">
        <v>107</v>
      </c>
      <c r="K227" s="1">
        <v>42</v>
      </c>
      <c r="L227" s="1" t="s">
        <v>197</v>
      </c>
      <c r="M227" s="1" t="s">
        <v>73</v>
      </c>
      <c r="N227" s="1" t="s">
        <v>74</v>
      </c>
      <c r="O227" s="1">
        <v>3</v>
      </c>
      <c r="P227" s="1">
        <v>3</v>
      </c>
      <c r="Q227" s="1">
        <f>data[[#This Row],[Nilai Kepentingan Dimensi Persyaratan]]-data[[#This Row],[Nilai Kepuasan Dimensi Persyaratan]]</f>
        <v>0</v>
      </c>
      <c r="R227" s="1">
        <v>3</v>
      </c>
      <c r="S227" s="1">
        <v>3</v>
      </c>
      <c r="T227" s="1">
        <f>data[[#This Row],[Nilai Kepentingan Dimensi Prosedur]]-data[[#This Row],[Nilai Kepuasan Dimensi Prosedur]]</f>
        <v>0</v>
      </c>
      <c r="U227" s="1">
        <v>3</v>
      </c>
      <c r="V227" s="1">
        <v>3</v>
      </c>
      <c r="W227" s="1">
        <f>data[[#This Row],[Nilai Kepentingan Dimensi Waktu Pelayanan/Penyelesaian]]-data[[#This Row],[Nilai Kepuasan Dimensi Waktu Pelayanan/Penyelesaian]]</f>
        <v>0</v>
      </c>
      <c r="X227" s="1">
        <v>3</v>
      </c>
      <c r="Y227" s="1">
        <v>3</v>
      </c>
      <c r="Z227" s="1">
        <f>data[[#This Row],[Nilai Kepentingan Dimensi Tarif/ Biaya]]-data[[#This Row],[Nilai Kepuasan Dimensi Tarif / Biaya]]</f>
        <v>0</v>
      </c>
      <c r="AA227" s="1">
        <v>4</v>
      </c>
      <c r="AB227" s="1">
        <v>4</v>
      </c>
      <c r="AC227" s="1">
        <f>data[[#This Row],[Nilai Kepentingan Dimensi Produk Spesifikasi Jenis Layanan]]-data[[#This Row],[Nilai Kepuasan Dimensi Produk Spesifikasi Jenis Layanan]]</f>
        <v>0</v>
      </c>
      <c r="AD227" s="1">
        <v>3</v>
      </c>
      <c r="AE227" s="1">
        <v>3</v>
      </c>
      <c r="AF227" s="1">
        <f>data[[#This Row],[Nilai Kepentingan Dimensi Kompetensi Pelaksana]]-data[[#This Row],[Nilai Kepuasan Dimensi Kompetensi Pelaksana]]</f>
        <v>0</v>
      </c>
      <c r="AG227" s="1">
        <v>3</v>
      </c>
      <c r="AH227" s="1">
        <v>3</v>
      </c>
      <c r="AI227" s="1">
        <f>data[[#This Row],[Nilai Kepentingan Dimensi Perilaku Pelaksana]]-data[[#This Row],[Nilai Kepuasan Dimensi Perilaku Pelaksana]]</f>
        <v>0</v>
      </c>
      <c r="AJ227" s="1">
        <v>3</v>
      </c>
      <c r="AK227" s="1">
        <v>3</v>
      </c>
      <c r="AL227" s="1">
        <f>data[[#This Row],[Nilai Kepentingan Dimensi Penanganan Pengaduan, Saran &amp; Masukan]]-data[[#This Row],[Nilai Kepuasan Dimensi Penanganan Pengaduan, Saran &amp; Masukan]]</f>
        <v>0</v>
      </c>
      <c r="AM227" s="1">
        <v>3</v>
      </c>
      <c r="AN227" s="1">
        <v>3</v>
      </c>
      <c r="AO227" s="1">
        <f>data[[#This Row],[Nilai Kepentingan Dimensi Kualitas Sarana dan Prasarana]]-data[[#This Row],[Nilai Kepuasan Dimensi Kualitas Sarana dan Prasarana]]</f>
        <v>0</v>
      </c>
      <c r="AP227" s="1">
        <v>0</v>
      </c>
      <c r="AQ227" s="1" t="s">
        <v>69</v>
      </c>
      <c r="AR227" s="1">
        <v>0</v>
      </c>
      <c r="AS227" s="1" t="s">
        <v>69</v>
      </c>
      <c r="AT227" s="1">
        <v>0</v>
      </c>
      <c r="AU227" s="1" t="s">
        <v>69</v>
      </c>
      <c r="AV227" s="1" t="s">
        <v>144</v>
      </c>
      <c r="AW227" s="1" t="s">
        <v>144</v>
      </c>
      <c r="AX227" s="1">
        <v>2</v>
      </c>
      <c r="AY227" s="1">
        <v>3</v>
      </c>
      <c r="AZ227" s="1" t="s">
        <v>98</v>
      </c>
      <c r="BA227" s="1" t="s">
        <v>99</v>
      </c>
      <c r="BB227" s="1" t="s">
        <v>98</v>
      </c>
      <c r="BC227" s="1" t="s">
        <v>99</v>
      </c>
      <c r="BD227" s="1" t="s">
        <v>1482</v>
      </c>
      <c r="BE227" s="1" t="s">
        <v>1483</v>
      </c>
      <c r="BF227" s="5" t="s">
        <v>98</v>
      </c>
    </row>
    <row r="228" spans="1:58" x14ac:dyDescent="0.35">
      <c r="A228" s="4">
        <v>227</v>
      </c>
      <c r="B228" s="1" t="s">
        <v>1484</v>
      </c>
      <c r="C228" s="1" t="s">
        <v>1486</v>
      </c>
      <c r="D228" s="1" t="s">
        <v>136</v>
      </c>
      <c r="E228" s="1" t="s">
        <v>69</v>
      </c>
      <c r="F228" s="1" t="s">
        <v>69</v>
      </c>
      <c r="G228" s="1" t="s">
        <v>69</v>
      </c>
      <c r="H228" s="1" t="s">
        <v>69</v>
      </c>
      <c r="I228" s="1" t="s">
        <v>106</v>
      </c>
      <c r="J228" s="1" t="s">
        <v>107</v>
      </c>
      <c r="K228" s="1">
        <v>42</v>
      </c>
      <c r="L228" s="1" t="s">
        <v>197</v>
      </c>
      <c r="M228" s="1" t="s">
        <v>73</v>
      </c>
      <c r="N228" s="1" t="s">
        <v>74</v>
      </c>
      <c r="O228" s="1">
        <v>3</v>
      </c>
      <c r="P228" s="1">
        <v>3</v>
      </c>
      <c r="Q228" s="1">
        <f>data[[#This Row],[Nilai Kepentingan Dimensi Persyaratan]]-data[[#This Row],[Nilai Kepuasan Dimensi Persyaratan]]</f>
        <v>0</v>
      </c>
      <c r="R228" s="1">
        <v>3</v>
      </c>
      <c r="S228" s="1">
        <v>3</v>
      </c>
      <c r="T228" s="1">
        <f>data[[#This Row],[Nilai Kepentingan Dimensi Prosedur]]-data[[#This Row],[Nilai Kepuasan Dimensi Prosedur]]</f>
        <v>0</v>
      </c>
      <c r="U228" s="1">
        <v>3</v>
      </c>
      <c r="V228" s="1">
        <v>3</v>
      </c>
      <c r="W228" s="1">
        <f>data[[#This Row],[Nilai Kepentingan Dimensi Waktu Pelayanan/Penyelesaian]]-data[[#This Row],[Nilai Kepuasan Dimensi Waktu Pelayanan/Penyelesaian]]</f>
        <v>0</v>
      </c>
      <c r="X228" s="1">
        <v>3</v>
      </c>
      <c r="Y228" s="1">
        <v>3</v>
      </c>
      <c r="Z228" s="1">
        <f>data[[#This Row],[Nilai Kepentingan Dimensi Tarif/ Biaya]]-data[[#This Row],[Nilai Kepuasan Dimensi Tarif / Biaya]]</f>
        <v>0</v>
      </c>
      <c r="AA228" s="1">
        <v>3</v>
      </c>
      <c r="AB228" s="1">
        <v>3</v>
      </c>
      <c r="AC228" s="1">
        <f>data[[#This Row],[Nilai Kepentingan Dimensi Produk Spesifikasi Jenis Layanan]]-data[[#This Row],[Nilai Kepuasan Dimensi Produk Spesifikasi Jenis Layanan]]</f>
        <v>0</v>
      </c>
      <c r="AD228" s="1">
        <v>3</v>
      </c>
      <c r="AE228" s="1">
        <v>3</v>
      </c>
      <c r="AF228" s="1">
        <f>data[[#This Row],[Nilai Kepentingan Dimensi Kompetensi Pelaksana]]-data[[#This Row],[Nilai Kepuasan Dimensi Kompetensi Pelaksana]]</f>
        <v>0</v>
      </c>
      <c r="AG228" s="1">
        <v>4</v>
      </c>
      <c r="AH228" s="1">
        <v>4</v>
      </c>
      <c r="AI228" s="1">
        <f>data[[#This Row],[Nilai Kepentingan Dimensi Perilaku Pelaksana]]-data[[#This Row],[Nilai Kepuasan Dimensi Perilaku Pelaksana]]</f>
        <v>0</v>
      </c>
      <c r="AJ228" s="1">
        <v>3</v>
      </c>
      <c r="AK228" s="1">
        <v>3</v>
      </c>
      <c r="AL228" s="1">
        <f>data[[#This Row],[Nilai Kepentingan Dimensi Penanganan Pengaduan, Saran &amp; Masukan]]-data[[#This Row],[Nilai Kepuasan Dimensi Penanganan Pengaduan, Saran &amp; Masukan]]</f>
        <v>0</v>
      </c>
      <c r="AM228" s="1">
        <v>3</v>
      </c>
      <c r="AN228" s="1">
        <v>3</v>
      </c>
      <c r="AO228" s="1">
        <f>data[[#This Row],[Nilai Kepentingan Dimensi Kualitas Sarana dan Prasarana]]-data[[#This Row],[Nilai Kepuasan Dimensi Kualitas Sarana dan Prasarana]]</f>
        <v>0</v>
      </c>
      <c r="AP228" s="1">
        <v>0</v>
      </c>
      <c r="AQ228" s="1" t="s">
        <v>69</v>
      </c>
      <c r="AR228" s="1">
        <v>0</v>
      </c>
      <c r="AS228" s="1" t="s">
        <v>69</v>
      </c>
      <c r="AT228" s="1">
        <v>0</v>
      </c>
      <c r="AU228" s="1" t="s">
        <v>69</v>
      </c>
      <c r="AV228" s="1" t="s">
        <v>5</v>
      </c>
      <c r="AW228" s="1" t="s">
        <v>450</v>
      </c>
      <c r="AX228" s="1">
        <v>2</v>
      </c>
      <c r="AY228" s="1">
        <v>3</v>
      </c>
      <c r="AZ228" s="1" t="s">
        <v>98</v>
      </c>
      <c r="BA228" s="1" t="s">
        <v>99</v>
      </c>
      <c r="BB228" s="1" t="s">
        <v>98</v>
      </c>
      <c r="BC228" s="1" t="s">
        <v>99</v>
      </c>
      <c r="BD228" s="1" t="s">
        <v>98</v>
      </c>
      <c r="BE228" s="1" t="s">
        <v>99</v>
      </c>
      <c r="BF228" s="5" t="s">
        <v>98</v>
      </c>
    </row>
    <row r="229" spans="1:58" x14ac:dyDescent="0.35">
      <c r="A229" s="4">
        <v>228</v>
      </c>
      <c r="B229" s="1" t="s">
        <v>1489</v>
      </c>
      <c r="C229" s="1" t="s">
        <v>63</v>
      </c>
      <c r="D229" s="1" t="s">
        <v>179</v>
      </c>
      <c r="E229" s="1" t="s">
        <v>69</v>
      </c>
      <c r="F229" s="1" t="s">
        <v>69</v>
      </c>
      <c r="G229" s="1" t="s">
        <v>69</v>
      </c>
      <c r="H229" s="1" t="s">
        <v>69</v>
      </c>
      <c r="I229" s="1" t="s">
        <v>106</v>
      </c>
      <c r="J229" s="1" t="s">
        <v>107</v>
      </c>
      <c r="K229" s="1">
        <v>53</v>
      </c>
      <c r="L229" s="1" t="s">
        <v>383</v>
      </c>
      <c r="M229" s="1" t="s">
        <v>73</v>
      </c>
      <c r="N229" s="1" t="s">
        <v>110</v>
      </c>
      <c r="O229" s="1">
        <v>4</v>
      </c>
      <c r="P229" s="1">
        <v>4</v>
      </c>
      <c r="Q229" s="1">
        <f>data[[#This Row],[Nilai Kepentingan Dimensi Persyaratan]]-data[[#This Row],[Nilai Kepuasan Dimensi Persyaratan]]</f>
        <v>0</v>
      </c>
      <c r="R229" s="1">
        <v>3</v>
      </c>
      <c r="S229" s="1">
        <v>3</v>
      </c>
      <c r="T229" s="1">
        <f>data[[#This Row],[Nilai Kepentingan Dimensi Prosedur]]-data[[#This Row],[Nilai Kepuasan Dimensi Prosedur]]</f>
        <v>0</v>
      </c>
      <c r="U229" s="1">
        <v>3</v>
      </c>
      <c r="V229" s="1">
        <v>3</v>
      </c>
      <c r="W229" s="1">
        <f>data[[#This Row],[Nilai Kepentingan Dimensi Waktu Pelayanan/Penyelesaian]]-data[[#This Row],[Nilai Kepuasan Dimensi Waktu Pelayanan/Penyelesaian]]</f>
        <v>0</v>
      </c>
      <c r="X229" s="1">
        <v>0</v>
      </c>
      <c r="Y229" s="1">
        <v>0</v>
      </c>
      <c r="Z229" s="1">
        <f>data[[#This Row],[Nilai Kepentingan Dimensi Tarif/ Biaya]]-data[[#This Row],[Nilai Kepuasan Dimensi Tarif / Biaya]]</f>
        <v>0</v>
      </c>
      <c r="AA229" s="1">
        <v>3</v>
      </c>
      <c r="AB229" s="1">
        <v>3</v>
      </c>
      <c r="AC229" s="1">
        <f>data[[#This Row],[Nilai Kepentingan Dimensi Produk Spesifikasi Jenis Layanan]]-data[[#This Row],[Nilai Kepuasan Dimensi Produk Spesifikasi Jenis Layanan]]</f>
        <v>0</v>
      </c>
      <c r="AD229" s="1">
        <v>3</v>
      </c>
      <c r="AE229" s="1">
        <v>3</v>
      </c>
      <c r="AF229" s="1">
        <f>data[[#This Row],[Nilai Kepentingan Dimensi Kompetensi Pelaksana]]-data[[#This Row],[Nilai Kepuasan Dimensi Kompetensi Pelaksana]]</f>
        <v>0</v>
      </c>
      <c r="AG229" s="1">
        <v>3</v>
      </c>
      <c r="AH229" s="1">
        <v>3</v>
      </c>
      <c r="AI229" s="1">
        <f>data[[#This Row],[Nilai Kepentingan Dimensi Perilaku Pelaksana]]-data[[#This Row],[Nilai Kepuasan Dimensi Perilaku Pelaksana]]</f>
        <v>0</v>
      </c>
      <c r="AJ229" s="1">
        <v>3</v>
      </c>
      <c r="AK229" s="1">
        <v>3</v>
      </c>
      <c r="AL229" s="1">
        <f>data[[#This Row],[Nilai Kepentingan Dimensi Penanganan Pengaduan, Saran &amp; Masukan]]-data[[#This Row],[Nilai Kepuasan Dimensi Penanganan Pengaduan, Saran &amp; Masukan]]</f>
        <v>0</v>
      </c>
      <c r="AM229" s="1">
        <v>3</v>
      </c>
      <c r="AN229" s="1">
        <v>3</v>
      </c>
      <c r="AO229" s="1">
        <f>data[[#This Row],[Nilai Kepentingan Dimensi Kualitas Sarana dan Prasarana]]-data[[#This Row],[Nilai Kepuasan Dimensi Kualitas Sarana dan Prasarana]]</f>
        <v>0</v>
      </c>
      <c r="AP229" s="1">
        <v>0</v>
      </c>
      <c r="AQ229" s="1" t="s">
        <v>69</v>
      </c>
      <c r="AR229" s="1">
        <v>0</v>
      </c>
      <c r="AS229" s="1" t="s">
        <v>69</v>
      </c>
      <c r="AT229" s="1">
        <v>0</v>
      </c>
      <c r="AU229" s="1" t="s">
        <v>69</v>
      </c>
      <c r="AV229" s="1" t="s">
        <v>77</v>
      </c>
      <c r="AW229" s="1" t="s">
        <v>77</v>
      </c>
      <c r="AX229" s="1">
        <v>2</v>
      </c>
      <c r="AY229" s="1">
        <v>3</v>
      </c>
      <c r="AZ229" s="1" t="s">
        <v>98</v>
      </c>
      <c r="BA229" s="1" t="s">
        <v>99</v>
      </c>
      <c r="BB229" s="1" t="s">
        <v>98</v>
      </c>
      <c r="BC229" s="1" t="s">
        <v>99</v>
      </c>
      <c r="BD229" s="1" t="s">
        <v>98</v>
      </c>
      <c r="BE229" s="1" t="s">
        <v>99</v>
      </c>
      <c r="BF229" s="5" t="s">
        <v>1494</v>
      </c>
    </row>
    <row r="230" spans="1:58" x14ac:dyDescent="0.35">
      <c r="A230" s="4">
        <v>229</v>
      </c>
      <c r="B230" s="1" t="s">
        <v>1495</v>
      </c>
      <c r="C230" s="1" t="s">
        <v>63</v>
      </c>
      <c r="D230" s="1" t="s">
        <v>179</v>
      </c>
      <c r="E230" s="1" t="s">
        <v>69</v>
      </c>
      <c r="F230" s="1" t="s">
        <v>69</v>
      </c>
      <c r="G230" s="1" t="s">
        <v>69</v>
      </c>
      <c r="H230" s="1" t="s">
        <v>69</v>
      </c>
      <c r="I230" s="1" t="s">
        <v>70</v>
      </c>
      <c r="J230" s="1" t="s">
        <v>107</v>
      </c>
      <c r="K230" s="1">
        <v>44</v>
      </c>
      <c r="L230" s="1" t="s">
        <v>197</v>
      </c>
      <c r="M230" s="1" t="s">
        <v>73</v>
      </c>
      <c r="N230" s="1" t="s">
        <v>74</v>
      </c>
      <c r="O230" s="1">
        <v>4</v>
      </c>
      <c r="P230" s="1">
        <v>4</v>
      </c>
      <c r="Q230" s="1">
        <f>data[[#This Row],[Nilai Kepentingan Dimensi Persyaratan]]-data[[#This Row],[Nilai Kepuasan Dimensi Persyaratan]]</f>
        <v>0</v>
      </c>
      <c r="R230" s="1">
        <v>4</v>
      </c>
      <c r="S230" s="1">
        <v>4</v>
      </c>
      <c r="T230" s="1">
        <f>data[[#This Row],[Nilai Kepentingan Dimensi Prosedur]]-data[[#This Row],[Nilai Kepuasan Dimensi Prosedur]]</f>
        <v>0</v>
      </c>
      <c r="U230" s="1">
        <v>4</v>
      </c>
      <c r="V230" s="1">
        <v>4</v>
      </c>
      <c r="W230" s="1">
        <f>data[[#This Row],[Nilai Kepentingan Dimensi Waktu Pelayanan/Penyelesaian]]-data[[#This Row],[Nilai Kepuasan Dimensi Waktu Pelayanan/Penyelesaian]]</f>
        <v>0</v>
      </c>
      <c r="X230" s="1">
        <v>4</v>
      </c>
      <c r="Y230" s="1">
        <v>4</v>
      </c>
      <c r="Z230" s="1">
        <f>data[[#This Row],[Nilai Kepentingan Dimensi Tarif/ Biaya]]-data[[#This Row],[Nilai Kepuasan Dimensi Tarif / Biaya]]</f>
        <v>0</v>
      </c>
      <c r="AA230" s="1">
        <v>4</v>
      </c>
      <c r="AB230" s="1">
        <v>4</v>
      </c>
      <c r="AC230" s="1">
        <f>data[[#This Row],[Nilai Kepentingan Dimensi Produk Spesifikasi Jenis Layanan]]-data[[#This Row],[Nilai Kepuasan Dimensi Produk Spesifikasi Jenis Layanan]]</f>
        <v>0</v>
      </c>
      <c r="AD230" s="1">
        <v>4</v>
      </c>
      <c r="AE230" s="1">
        <v>4</v>
      </c>
      <c r="AF230" s="1">
        <f>data[[#This Row],[Nilai Kepentingan Dimensi Kompetensi Pelaksana]]-data[[#This Row],[Nilai Kepuasan Dimensi Kompetensi Pelaksana]]</f>
        <v>0</v>
      </c>
      <c r="AG230" s="1">
        <v>4</v>
      </c>
      <c r="AH230" s="1">
        <v>4</v>
      </c>
      <c r="AI230" s="1">
        <f>data[[#This Row],[Nilai Kepentingan Dimensi Perilaku Pelaksana]]-data[[#This Row],[Nilai Kepuasan Dimensi Perilaku Pelaksana]]</f>
        <v>0</v>
      </c>
      <c r="AJ230" s="1">
        <v>4</v>
      </c>
      <c r="AK230" s="1">
        <v>4</v>
      </c>
      <c r="AL230" s="1">
        <f>data[[#This Row],[Nilai Kepentingan Dimensi Penanganan Pengaduan, Saran &amp; Masukan]]-data[[#This Row],[Nilai Kepuasan Dimensi Penanganan Pengaduan, Saran &amp; Masukan]]</f>
        <v>0</v>
      </c>
      <c r="AM230" s="1">
        <v>4</v>
      </c>
      <c r="AN230" s="1">
        <v>4</v>
      </c>
      <c r="AO230" s="1">
        <f>data[[#This Row],[Nilai Kepentingan Dimensi Kualitas Sarana dan Prasarana]]-data[[#This Row],[Nilai Kepuasan Dimensi Kualitas Sarana dan Prasarana]]</f>
        <v>0</v>
      </c>
      <c r="AP230" s="1">
        <v>0</v>
      </c>
      <c r="AQ230" s="1" t="s">
        <v>69</v>
      </c>
      <c r="AR230" s="1">
        <v>0</v>
      </c>
      <c r="AS230" s="1" t="s">
        <v>69</v>
      </c>
      <c r="AT230" s="1">
        <v>0</v>
      </c>
      <c r="AU230" s="1" t="s">
        <v>69</v>
      </c>
      <c r="AV230" s="1" t="s">
        <v>1500</v>
      </c>
      <c r="AW230" s="1" t="s">
        <v>450</v>
      </c>
      <c r="AX230" s="1">
        <v>1</v>
      </c>
      <c r="AY230" s="1">
        <v>4</v>
      </c>
      <c r="AZ230" s="1" t="s">
        <v>98</v>
      </c>
      <c r="BA230" s="1" t="s">
        <v>99</v>
      </c>
      <c r="BB230" s="1" t="s">
        <v>98</v>
      </c>
      <c r="BC230" s="1" t="s">
        <v>99</v>
      </c>
      <c r="BD230" s="1" t="s">
        <v>98</v>
      </c>
      <c r="BE230" s="1" t="s">
        <v>99</v>
      </c>
      <c r="BF230" s="5" t="s">
        <v>98</v>
      </c>
    </row>
    <row r="231" spans="1:58" x14ac:dyDescent="0.35">
      <c r="A231" s="4">
        <v>230</v>
      </c>
      <c r="B231" s="1" t="s">
        <v>1501</v>
      </c>
      <c r="C231" s="1" t="s">
        <v>63</v>
      </c>
      <c r="D231" s="1" t="s">
        <v>179</v>
      </c>
      <c r="E231" s="1" t="s">
        <v>69</v>
      </c>
      <c r="F231" s="1" t="s">
        <v>69</v>
      </c>
      <c r="G231" s="1" t="s">
        <v>69</v>
      </c>
      <c r="H231" s="1" t="s">
        <v>69</v>
      </c>
      <c r="I231" s="1" t="s">
        <v>106</v>
      </c>
      <c r="J231" s="1" t="s">
        <v>107</v>
      </c>
      <c r="K231" s="1">
        <v>21</v>
      </c>
      <c r="L231" s="1" t="s">
        <v>72</v>
      </c>
      <c r="M231" s="1" t="s">
        <v>73</v>
      </c>
      <c r="N231" s="1" t="s">
        <v>133</v>
      </c>
      <c r="O231" s="1">
        <v>3</v>
      </c>
      <c r="P231" s="1">
        <v>3</v>
      </c>
      <c r="Q231" s="1">
        <f>data[[#This Row],[Nilai Kepentingan Dimensi Persyaratan]]-data[[#This Row],[Nilai Kepuasan Dimensi Persyaratan]]</f>
        <v>0</v>
      </c>
      <c r="R231" s="1">
        <v>3</v>
      </c>
      <c r="S231" s="1">
        <v>3</v>
      </c>
      <c r="T231" s="1">
        <f>data[[#This Row],[Nilai Kepentingan Dimensi Prosedur]]-data[[#This Row],[Nilai Kepuasan Dimensi Prosedur]]</f>
        <v>0</v>
      </c>
      <c r="U231" s="1">
        <v>3</v>
      </c>
      <c r="V231" s="1">
        <v>3</v>
      </c>
      <c r="W231" s="1">
        <f>data[[#This Row],[Nilai Kepentingan Dimensi Waktu Pelayanan/Penyelesaian]]-data[[#This Row],[Nilai Kepuasan Dimensi Waktu Pelayanan/Penyelesaian]]</f>
        <v>0</v>
      </c>
      <c r="X231" s="1">
        <v>0</v>
      </c>
      <c r="Y231" s="1">
        <v>0</v>
      </c>
      <c r="Z231" s="1">
        <f>data[[#This Row],[Nilai Kepentingan Dimensi Tarif/ Biaya]]-data[[#This Row],[Nilai Kepuasan Dimensi Tarif / Biaya]]</f>
        <v>0</v>
      </c>
      <c r="AA231" s="1">
        <v>3</v>
      </c>
      <c r="AB231" s="1">
        <v>3</v>
      </c>
      <c r="AC231" s="1">
        <f>data[[#This Row],[Nilai Kepentingan Dimensi Produk Spesifikasi Jenis Layanan]]-data[[#This Row],[Nilai Kepuasan Dimensi Produk Spesifikasi Jenis Layanan]]</f>
        <v>0</v>
      </c>
      <c r="AD231" s="1">
        <v>2</v>
      </c>
      <c r="AE231" s="1">
        <v>3</v>
      </c>
      <c r="AF231" s="1">
        <f>data[[#This Row],[Nilai Kepentingan Dimensi Kompetensi Pelaksana]]-data[[#This Row],[Nilai Kepuasan Dimensi Kompetensi Pelaksana]]</f>
        <v>1</v>
      </c>
      <c r="AG231" s="1">
        <v>2</v>
      </c>
      <c r="AH231" s="1">
        <v>2</v>
      </c>
      <c r="AI231" s="1">
        <f>data[[#This Row],[Nilai Kepentingan Dimensi Perilaku Pelaksana]]-data[[#This Row],[Nilai Kepuasan Dimensi Perilaku Pelaksana]]</f>
        <v>0</v>
      </c>
      <c r="AJ231" s="1">
        <v>3</v>
      </c>
      <c r="AK231" s="1">
        <v>3</v>
      </c>
      <c r="AL231" s="1">
        <f>data[[#This Row],[Nilai Kepentingan Dimensi Penanganan Pengaduan, Saran &amp; Masukan]]-data[[#This Row],[Nilai Kepuasan Dimensi Penanganan Pengaduan, Saran &amp; Masukan]]</f>
        <v>0</v>
      </c>
      <c r="AM231" s="1">
        <v>3</v>
      </c>
      <c r="AN231" s="1">
        <v>3</v>
      </c>
      <c r="AO231" s="1">
        <f>data[[#This Row],[Nilai Kepentingan Dimensi Kualitas Sarana dan Prasarana]]-data[[#This Row],[Nilai Kepuasan Dimensi Kualitas Sarana dan Prasarana]]</f>
        <v>0</v>
      </c>
      <c r="AP231" s="1">
        <v>0</v>
      </c>
      <c r="AQ231" s="1" t="s">
        <v>69</v>
      </c>
      <c r="AR231" s="1">
        <v>0</v>
      </c>
      <c r="AS231" s="1" t="s">
        <v>69</v>
      </c>
      <c r="AT231" s="1">
        <v>0</v>
      </c>
      <c r="AU231" s="1" t="s">
        <v>69</v>
      </c>
      <c r="AV231" s="1" t="s">
        <v>293</v>
      </c>
      <c r="AW231" s="1" t="s">
        <v>144</v>
      </c>
      <c r="AX231" s="1">
        <v>2</v>
      </c>
      <c r="AY231" s="1">
        <v>3</v>
      </c>
      <c r="AZ231" s="1" t="s">
        <v>1506</v>
      </c>
      <c r="BA231" s="1" t="s">
        <v>235</v>
      </c>
      <c r="BB231" s="1" t="s">
        <v>98</v>
      </c>
      <c r="BC231" s="1" t="s">
        <v>99</v>
      </c>
      <c r="BD231" s="1" t="s">
        <v>98</v>
      </c>
      <c r="BE231" s="1" t="s">
        <v>99</v>
      </c>
      <c r="BF231" s="5" t="s">
        <v>98</v>
      </c>
    </row>
    <row r="232" spans="1:58" x14ac:dyDescent="0.35">
      <c r="A232" s="4">
        <v>231</v>
      </c>
      <c r="B232" s="1" t="s">
        <v>1507</v>
      </c>
      <c r="C232" s="1" t="s">
        <v>63</v>
      </c>
      <c r="D232" s="1" t="s">
        <v>179</v>
      </c>
      <c r="E232" s="1" t="s">
        <v>69</v>
      </c>
      <c r="F232" s="1" t="s">
        <v>69</v>
      </c>
      <c r="G232" s="1" t="s">
        <v>69</v>
      </c>
      <c r="H232" s="1" t="s">
        <v>69</v>
      </c>
      <c r="I232" s="1" t="s">
        <v>106</v>
      </c>
      <c r="J232" s="1" t="s">
        <v>1168</v>
      </c>
      <c r="K232" s="1">
        <v>25</v>
      </c>
      <c r="L232" s="1" t="s">
        <v>72</v>
      </c>
      <c r="M232" s="1" t="s">
        <v>73</v>
      </c>
      <c r="N232" s="1" t="s">
        <v>74</v>
      </c>
      <c r="O232" s="1">
        <v>3</v>
      </c>
      <c r="P232" s="1">
        <v>4</v>
      </c>
      <c r="Q232" s="1">
        <f>data[[#This Row],[Nilai Kepentingan Dimensi Persyaratan]]-data[[#This Row],[Nilai Kepuasan Dimensi Persyaratan]]</f>
        <v>1</v>
      </c>
      <c r="R232" s="1">
        <v>4</v>
      </c>
      <c r="S232" s="1">
        <v>4</v>
      </c>
      <c r="T232" s="1">
        <f>data[[#This Row],[Nilai Kepentingan Dimensi Prosedur]]-data[[#This Row],[Nilai Kepuasan Dimensi Prosedur]]</f>
        <v>0</v>
      </c>
      <c r="U232" s="1">
        <v>4</v>
      </c>
      <c r="V232" s="1">
        <v>4</v>
      </c>
      <c r="W232" s="1">
        <f>data[[#This Row],[Nilai Kepentingan Dimensi Waktu Pelayanan/Penyelesaian]]-data[[#This Row],[Nilai Kepuasan Dimensi Waktu Pelayanan/Penyelesaian]]</f>
        <v>0</v>
      </c>
      <c r="X232" s="1">
        <v>4</v>
      </c>
      <c r="Y232" s="1">
        <v>4</v>
      </c>
      <c r="Z232" s="1">
        <f>data[[#This Row],[Nilai Kepentingan Dimensi Tarif/ Biaya]]-data[[#This Row],[Nilai Kepuasan Dimensi Tarif / Biaya]]</f>
        <v>0</v>
      </c>
      <c r="AA232" s="1">
        <v>4</v>
      </c>
      <c r="AB232" s="1">
        <v>4</v>
      </c>
      <c r="AC232" s="1">
        <f>data[[#This Row],[Nilai Kepentingan Dimensi Produk Spesifikasi Jenis Layanan]]-data[[#This Row],[Nilai Kepuasan Dimensi Produk Spesifikasi Jenis Layanan]]</f>
        <v>0</v>
      </c>
      <c r="AD232" s="1">
        <v>3</v>
      </c>
      <c r="AE232" s="1">
        <v>3</v>
      </c>
      <c r="AF232" s="1">
        <f>data[[#This Row],[Nilai Kepentingan Dimensi Kompetensi Pelaksana]]-data[[#This Row],[Nilai Kepuasan Dimensi Kompetensi Pelaksana]]</f>
        <v>0</v>
      </c>
      <c r="AG232" s="1">
        <v>4</v>
      </c>
      <c r="AH232" s="1">
        <v>4</v>
      </c>
      <c r="AI232" s="1">
        <f>data[[#This Row],[Nilai Kepentingan Dimensi Perilaku Pelaksana]]-data[[#This Row],[Nilai Kepuasan Dimensi Perilaku Pelaksana]]</f>
        <v>0</v>
      </c>
      <c r="AJ232" s="1">
        <v>4</v>
      </c>
      <c r="AK232" s="1">
        <v>4</v>
      </c>
      <c r="AL232" s="1">
        <f>data[[#This Row],[Nilai Kepentingan Dimensi Penanganan Pengaduan, Saran &amp; Masukan]]-data[[#This Row],[Nilai Kepuasan Dimensi Penanganan Pengaduan, Saran &amp; Masukan]]</f>
        <v>0</v>
      </c>
      <c r="AM232" s="1">
        <v>3</v>
      </c>
      <c r="AN232" s="1">
        <v>3</v>
      </c>
      <c r="AO232" s="1">
        <f>data[[#This Row],[Nilai Kepentingan Dimensi Kualitas Sarana dan Prasarana]]-data[[#This Row],[Nilai Kepuasan Dimensi Kualitas Sarana dan Prasarana]]</f>
        <v>0</v>
      </c>
      <c r="AP232" s="1">
        <v>0</v>
      </c>
      <c r="AQ232" s="1" t="s">
        <v>69</v>
      </c>
      <c r="AR232" s="1">
        <v>0</v>
      </c>
      <c r="AS232" s="1" t="s">
        <v>69</v>
      </c>
      <c r="AT232" s="1">
        <v>4</v>
      </c>
      <c r="AU232" s="1" t="s">
        <v>75</v>
      </c>
      <c r="AV232" s="1" t="s">
        <v>83</v>
      </c>
      <c r="AW232" s="1" t="s">
        <v>96</v>
      </c>
      <c r="AX232" s="1">
        <v>0</v>
      </c>
      <c r="AY232" s="1">
        <v>0</v>
      </c>
      <c r="AZ232" s="1" t="s">
        <v>503</v>
      </c>
      <c r="BA232" s="1" t="s">
        <v>79</v>
      </c>
      <c r="BB232" s="1" t="s">
        <v>503</v>
      </c>
      <c r="BC232" s="1" t="s">
        <v>79</v>
      </c>
      <c r="BD232" s="1" t="s">
        <v>503</v>
      </c>
      <c r="BE232" s="1" t="s">
        <v>79</v>
      </c>
      <c r="BF232" s="5" t="s">
        <v>83</v>
      </c>
    </row>
    <row r="233" spans="1:58" x14ac:dyDescent="0.35">
      <c r="A233" s="4">
        <v>232</v>
      </c>
      <c r="B233" s="1" t="s">
        <v>1510</v>
      </c>
      <c r="C233" s="1" t="s">
        <v>63</v>
      </c>
      <c r="D233" s="1" t="s">
        <v>179</v>
      </c>
      <c r="E233" s="1" t="s">
        <v>69</v>
      </c>
      <c r="F233" s="1" t="s">
        <v>69</v>
      </c>
      <c r="G233" s="1" t="s">
        <v>69</v>
      </c>
      <c r="H233" s="1" t="s">
        <v>69</v>
      </c>
      <c r="I233" s="1" t="s">
        <v>106</v>
      </c>
      <c r="J233" s="1" t="s">
        <v>107</v>
      </c>
      <c r="K233" s="1">
        <v>58</v>
      </c>
      <c r="L233" s="1" t="s">
        <v>182</v>
      </c>
      <c r="M233" s="1" t="s">
        <v>273</v>
      </c>
      <c r="N233" s="1" t="s">
        <v>74</v>
      </c>
      <c r="O233" s="1">
        <v>4</v>
      </c>
      <c r="P233" s="1">
        <v>4</v>
      </c>
      <c r="Q233" s="1">
        <f>data[[#This Row],[Nilai Kepentingan Dimensi Persyaratan]]-data[[#This Row],[Nilai Kepuasan Dimensi Persyaratan]]</f>
        <v>0</v>
      </c>
      <c r="R233" s="1">
        <v>4</v>
      </c>
      <c r="S233" s="1">
        <v>4</v>
      </c>
      <c r="T233" s="1">
        <f>data[[#This Row],[Nilai Kepentingan Dimensi Prosedur]]-data[[#This Row],[Nilai Kepuasan Dimensi Prosedur]]</f>
        <v>0</v>
      </c>
      <c r="U233" s="1">
        <v>3</v>
      </c>
      <c r="V233" s="1">
        <v>3</v>
      </c>
      <c r="W233" s="1">
        <f>data[[#This Row],[Nilai Kepentingan Dimensi Waktu Pelayanan/Penyelesaian]]-data[[#This Row],[Nilai Kepuasan Dimensi Waktu Pelayanan/Penyelesaian]]</f>
        <v>0</v>
      </c>
      <c r="X233" s="1">
        <v>0</v>
      </c>
      <c r="Y233" s="1">
        <v>0</v>
      </c>
      <c r="Z233" s="1">
        <f>data[[#This Row],[Nilai Kepentingan Dimensi Tarif/ Biaya]]-data[[#This Row],[Nilai Kepuasan Dimensi Tarif / Biaya]]</f>
        <v>0</v>
      </c>
      <c r="AA233" s="1">
        <v>3</v>
      </c>
      <c r="AB233" s="1">
        <v>3</v>
      </c>
      <c r="AC233" s="1">
        <f>data[[#This Row],[Nilai Kepentingan Dimensi Produk Spesifikasi Jenis Layanan]]-data[[#This Row],[Nilai Kepuasan Dimensi Produk Spesifikasi Jenis Layanan]]</f>
        <v>0</v>
      </c>
      <c r="AD233" s="1">
        <v>3</v>
      </c>
      <c r="AE233" s="1">
        <v>3</v>
      </c>
      <c r="AF233" s="1">
        <f>data[[#This Row],[Nilai Kepentingan Dimensi Kompetensi Pelaksana]]-data[[#This Row],[Nilai Kepuasan Dimensi Kompetensi Pelaksana]]</f>
        <v>0</v>
      </c>
      <c r="AG233" s="1">
        <v>3</v>
      </c>
      <c r="AH233" s="1">
        <v>4</v>
      </c>
      <c r="AI233" s="1">
        <f>data[[#This Row],[Nilai Kepentingan Dimensi Perilaku Pelaksana]]-data[[#This Row],[Nilai Kepuasan Dimensi Perilaku Pelaksana]]</f>
        <v>1</v>
      </c>
      <c r="AJ233" s="1">
        <v>4</v>
      </c>
      <c r="AK233" s="1">
        <v>4</v>
      </c>
      <c r="AL233" s="1">
        <f>data[[#This Row],[Nilai Kepentingan Dimensi Penanganan Pengaduan, Saran &amp; Masukan]]-data[[#This Row],[Nilai Kepuasan Dimensi Penanganan Pengaduan, Saran &amp; Masukan]]</f>
        <v>0</v>
      </c>
      <c r="AM233" s="1">
        <v>3</v>
      </c>
      <c r="AN233" s="1">
        <v>3</v>
      </c>
      <c r="AO233" s="1">
        <f>data[[#This Row],[Nilai Kepentingan Dimensi Kualitas Sarana dan Prasarana]]-data[[#This Row],[Nilai Kepuasan Dimensi Kualitas Sarana dan Prasarana]]</f>
        <v>0</v>
      </c>
      <c r="AP233" s="1">
        <v>0</v>
      </c>
      <c r="AQ233" s="1" t="s">
        <v>69</v>
      </c>
      <c r="AR233" s="1">
        <v>0</v>
      </c>
      <c r="AS233" s="1" t="s">
        <v>69</v>
      </c>
      <c r="AT233" s="1">
        <v>0</v>
      </c>
      <c r="AU233" s="1" t="s">
        <v>69</v>
      </c>
      <c r="AV233" s="1" t="s">
        <v>1514</v>
      </c>
      <c r="AW233" s="1" t="s">
        <v>1515</v>
      </c>
      <c r="AX233" s="1">
        <v>2</v>
      </c>
      <c r="AY233" s="1">
        <v>3</v>
      </c>
      <c r="AZ233" s="1" t="s">
        <v>248</v>
      </c>
      <c r="BA233" s="1" t="s">
        <v>79</v>
      </c>
      <c r="BB233" s="1" t="s">
        <v>248</v>
      </c>
      <c r="BC233" s="1" t="s">
        <v>79</v>
      </c>
      <c r="BD233" s="1" t="s">
        <v>248</v>
      </c>
      <c r="BE233" s="1" t="s">
        <v>79</v>
      </c>
      <c r="BF233" s="5" t="s">
        <v>83</v>
      </c>
    </row>
    <row r="234" spans="1:58" x14ac:dyDescent="0.35">
      <c r="A234" s="4">
        <v>233</v>
      </c>
      <c r="B234" s="1" t="s">
        <v>1516</v>
      </c>
      <c r="C234" s="1" t="s">
        <v>63</v>
      </c>
      <c r="D234" s="1" t="s">
        <v>1518</v>
      </c>
      <c r="E234" s="1" t="s">
        <v>69</v>
      </c>
      <c r="F234" s="1" t="s">
        <v>69</v>
      </c>
      <c r="G234" s="1" t="s">
        <v>69</v>
      </c>
      <c r="H234" s="1" t="s">
        <v>69</v>
      </c>
      <c r="I234" s="1" t="s">
        <v>70</v>
      </c>
      <c r="J234" s="1" t="s">
        <v>107</v>
      </c>
      <c r="K234" s="1">
        <v>50</v>
      </c>
      <c r="L234" s="1" t="s">
        <v>225</v>
      </c>
      <c r="M234" s="1" t="s">
        <v>273</v>
      </c>
      <c r="N234" s="1" t="s">
        <v>110</v>
      </c>
      <c r="O234" s="1">
        <v>4</v>
      </c>
      <c r="P234" s="1">
        <v>4</v>
      </c>
      <c r="Q234" s="1">
        <f>data[[#This Row],[Nilai Kepentingan Dimensi Persyaratan]]-data[[#This Row],[Nilai Kepuasan Dimensi Persyaratan]]</f>
        <v>0</v>
      </c>
      <c r="R234" s="1">
        <v>4</v>
      </c>
      <c r="S234" s="1">
        <v>4</v>
      </c>
      <c r="T234" s="1">
        <f>data[[#This Row],[Nilai Kepentingan Dimensi Prosedur]]-data[[#This Row],[Nilai Kepuasan Dimensi Prosedur]]</f>
        <v>0</v>
      </c>
      <c r="U234" s="1">
        <v>4</v>
      </c>
      <c r="V234" s="1">
        <v>4</v>
      </c>
      <c r="W234" s="1">
        <f>data[[#This Row],[Nilai Kepentingan Dimensi Waktu Pelayanan/Penyelesaian]]-data[[#This Row],[Nilai Kepuasan Dimensi Waktu Pelayanan/Penyelesaian]]</f>
        <v>0</v>
      </c>
      <c r="X234" s="1">
        <v>0</v>
      </c>
      <c r="Y234" s="1">
        <v>0</v>
      </c>
      <c r="Z234" s="1">
        <f>data[[#This Row],[Nilai Kepentingan Dimensi Tarif/ Biaya]]-data[[#This Row],[Nilai Kepuasan Dimensi Tarif / Biaya]]</f>
        <v>0</v>
      </c>
      <c r="AA234" s="1">
        <v>4</v>
      </c>
      <c r="AB234" s="1">
        <v>4</v>
      </c>
      <c r="AC234" s="1">
        <f>data[[#This Row],[Nilai Kepentingan Dimensi Produk Spesifikasi Jenis Layanan]]-data[[#This Row],[Nilai Kepuasan Dimensi Produk Spesifikasi Jenis Layanan]]</f>
        <v>0</v>
      </c>
      <c r="AD234" s="1">
        <v>4</v>
      </c>
      <c r="AE234" s="1">
        <v>4</v>
      </c>
      <c r="AF234" s="1">
        <f>data[[#This Row],[Nilai Kepentingan Dimensi Kompetensi Pelaksana]]-data[[#This Row],[Nilai Kepuasan Dimensi Kompetensi Pelaksana]]</f>
        <v>0</v>
      </c>
      <c r="AG234" s="1">
        <v>4</v>
      </c>
      <c r="AH234" s="1">
        <v>4</v>
      </c>
      <c r="AI234" s="1">
        <f>data[[#This Row],[Nilai Kepentingan Dimensi Perilaku Pelaksana]]-data[[#This Row],[Nilai Kepuasan Dimensi Perilaku Pelaksana]]</f>
        <v>0</v>
      </c>
      <c r="AJ234" s="1">
        <v>4</v>
      </c>
      <c r="AK234" s="1">
        <v>4</v>
      </c>
      <c r="AL234" s="1">
        <f>data[[#This Row],[Nilai Kepentingan Dimensi Penanganan Pengaduan, Saran &amp; Masukan]]-data[[#This Row],[Nilai Kepuasan Dimensi Penanganan Pengaduan, Saran &amp; Masukan]]</f>
        <v>0</v>
      </c>
      <c r="AM234" s="1">
        <v>4</v>
      </c>
      <c r="AN234" s="1">
        <v>4</v>
      </c>
      <c r="AO234" s="1">
        <f>data[[#This Row],[Nilai Kepentingan Dimensi Kualitas Sarana dan Prasarana]]-data[[#This Row],[Nilai Kepuasan Dimensi Kualitas Sarana dan Prasarana]]</f>
        <v>0</v>
      </c>
      <c r="AP234" s="1">
        <v>0</v>
      </c>
      <c r="AQ234" s="1" t="s">
        <v>69</v>
      </c>
      <c r="AR234" s="1">
        <v>0</v>
      </c>
      <c r="AS234" s="1" t="s">
        <v>69</v>
      </c>
      <c r="AT234" s="1">
        <v>0</v>
      </c>
      <c r="AU234" s="1" t="s">
        <v>69</v>
      </c>
      <c r="AV234" s="1" t="s">
        <v>293</v>
      </c>
      <c r="AW234" s="1" t="s">
        <v>144</v>
      </c>
      <c r="AX234" s="1">
        <v>1</v>
      </c>
      <c r="AY234" s="1">
        <v>4</v>
      </c>
      <c r="AZ234" s="1" t="s">
        <v>1521</v>
      </c>
      <c r="BA234" s="1" t="s">
        <v>79</v>
      </c>
      <c r="BB234" s="1" t="s">
        <v>248</v>
      </c>
      <c r="BC234" s="1" t="s">
        <v>79</v>
      </c>
      <c r="BD234" s="1" t="s">
        <v>248</v>
      </c>
      <c r="BE234" s="1" t="s">
        <v>79</v>
      </c>
      <c r="BF234" s="5" t="s">
        <v>83</v>
      </c>
    </row>
    <row r="235" spans="1:58" x14ac:dyDescent="0.35">
      <c r="A235" s="4">
        <v>234</v>
      </c>
      <c r="B235" s="1" t="s">
        <v>1522</v>
      </c>
      <c r="C235" s="1" t="s">
        <v>63</v>
      </c>
      <c r="D235" s="1" t="s">
        <v>179</v>
      </c>
      <c r="E235" s="1" t="s">
        <v>69</v>
      </c>
      <c r="F235" s="1" t="s">
        <v>69</v>
      </c>
      <c r="G235" s="1" t="s">
        <v>69</v>
      </c>
      <c r="H235" s="1" t="s">
        <v>69</v>
      </c>
      <c r="I235" s="1" t="s">
        <v>106</v>
      </c>
      <c r="J235" s="1" t="s">
        <v>107</v>
      </c>
      <c r="K235" s="1">
        <v>20</v>
      </c>
      <c r="L235" s="1" t="s">
        <v>131</v>
      </c>
      <c r="M235" s="1" t="s">
        <v>73</v>
      </c>
      <c r="N235" s="1" t="s">
        <v>95</v>
      </c>
      <c r="O235" s="1">
        <v>4</v>
      </c>
      <c r="P235" s="1">
        <v>3</v>
      </c>
      <c r="Q235" s="1">
        <f>data[[#This Row],[Nilai Kepentingan Dimensi Persyaratan]]-data[[#This Row],[Nilai Kepuasan Dimensi Persyaratan]]</f>
        <v>-1</v>
      </c>
      <c r="R235" s="1">
        <v>3</v>
      </c>
      <c r="S235" s="1">
        <v>3</v>
      </c>
      <c r="T235" s="1">
        <f>data[[#This Row],[Nilai Kepentingan Dimensi Prosedur]]-data[[#This Row],[Nilai Kepuasan Dimensi Prosedur]]</f>
        <v>0</v>
      </c>
      <c r="U235" s="1">
        <v>4</v>
      </c>
      <c r="V235" s="1">
        <v>4</v>
      </c>
      <c r="W235" s="1">
        <f>data[[#This Row],[Nilai Kepentingan Dimensi Waktu Pelayanan/Penyelesaian]]-data[[#This Row],[Nilai Kepuasan Dimensi Waktu Pelayanan/Penyelesaian]]</f>
        <v>0</v>
      </c>
      <c r="X235" s="1">
        <v>0</v>
      </c>
      <c r="Y235" s="1">
        <v>0</v>
      </c>
      <c r="Z235" s="1">
        <f>data[[#This Row],[Nilai Kepentingan Dimensi Tarif/ Biaya]]-data[[#This Row],[Nilai Kepuasan Dimensi Tarif / Biaya]]</f>
        <v>0</v>
      </c>
      <c r="AA235" s="1">
        <v>3</v>
      </c>
      <c r="AB235" s="1">
        <v>3</v>
      </c>
      <c r="AC235" s="1">
        <f>data[[#This Row],[Nilai Kepentingan Dimensi Produk Spesifikasi Jenis Layanan]]-data[[#This Row],[Nilai Kepuasan Dimensi Produk Spesifikasi Jenis Layanan]]</f>
        <v>0</v>
      </c>
      <c r="AD235" s="1">
        <v>4</v>
      </c>
      <c r="AE235" s="1">
        <v>3</v>
      </c>
      <c r="AF235" s="1">
        <f>data[[#This Row],[Nilai Kepentingan Dimensi Kompetensi Pelaksana]]-data[[#This Row],[Nilai Kepuasan Dimensi Kompetensi Pelaksana]]</f>
        <v>-1</v>
      </c>
      <c r="AG235" s="1">
        <v>4</v>
      </c>
      <c r="AH235" s="1">
        <v>4</v>
      </c>
      <c r="AI235" s="1">
        <f>data[[#This Row],[Nilai Kepentingan Dimensi Perilaku Pelaksana]]-data[[#This Row],[Nilai Kepuasan Dimensi Perilaku Pelaksana]]</f>
        <v>0</v>
      </c>
      <c r="AJ235" s="1">
        <v>3</v>
      </c>
      <c r="AK235" s="1">
        <v>3</v>
      </c>
      <c r="AL235" s="1">
        <f>data[[#This Row],[Nilai Kepentingan Dimensi Penanganan Pengaduan, Saran &amp; Masukan]]-data[[#This Row],[Nilai Kepuasan Dimensi Penanganan Pengaduan, Saran &amp; Masukan]]</f>
        <v>0</v>
      </c>
      <c r="AM235" s="1">
        <v>4</v>
      </c>
      <c r="AN235" s="1">
        <v>4</v>
      </c>
      <c r="AO235" s="1">
        <f>data[[#This Row],[Nilai Kepentingan Dimensi Kualitas Sarana dan Prasarana]]-data[[#This Row],[Nilai Kepuasan Dimensi Kualitas Sarana dan Prasarana]]</f>
        <v>0</v>
      </c>
      <c r="AP235" s="1">
        <v>0</v>
      </c>
      <c r="AQ235" s="1" t="s">
        <v>69</v>
      </c>
      <c r="AR235" s="1">
        <v>0</v>
      </c>
      <c r="AS235" s="1" t="s">
        <v>69</v>
      </c>
      <c r="AT235" s="1">
        <v>0</v>
      </c>
      <c r="AU235" s="1" t="s">
        <v>69</v>
      </c>
      <c r="AV235" s="1" t="s">
        <v>77</v>
      </c>
      <c r="AW235" s="1" t="s">
        <v>77</v>
      </c>
      <c r="AX235" s="1">
        <v>2</v>
      </c>
      <c r="AY235" s="1">
        <v>3</v>
      </c>
      <c r="AZ235" s="1" t="s">
        <v>248</v>
      </c>
      <c r="BA235" s="1" t="s">
        <v>79</v>
      </c>
      <c r="BB235" s="1" t="s">
        <v>462</v>
      </c>
      <c r="BC235" s="1" t="s">
        <v>79</v>
      </c>
      <c r="BD235" s="1" t="s">
        <v>248</v>
      </c>
      <c r="BE235" s="1" t="s">
        <v>79</v>
      </c>
      <c r="BF235" s="5" t="s">
        <v>83</v>
      </c>
    </row>
    <row r="236" spans="1:58" x14ac:dyDescent="0.35">
      <c r="A236" s="4">
        <v>235</v>
      </c>
      <c r="B236" s="1" t="s">
        <v>1526</v>
      </c>
      <c r="C236" s="1" t="s">
        <v>63</v>
      </c>
      <c r="D236" s="1" t="s">
        <v>136</v>
      </c>
      <c r="E236" s="1" t="s">
        <v>69</v>
      </c>
      <c r="F236" s="1" t="s">
        <v>69</v>
      </c>
      <c r="G236" s="1" t="s">
        <v>69</v>
      </c>
      <c r="H236" s="1" t="s">
        <v>69</v>
      </c>
      <c r="I236" s="1" t="s">
        <v>106</v>
      </c>
      <c r="J236" s="1" t="s">
        <v>107</v>
      </c>
      <c r="K236" s="1">
        <v>24</v>
      </c>
      <c r="L236" s="1" t="s">
        <v>72</v>
      </c>
      <c r="M236" s="1" t="s">
        <v>73</v>
      </c>
      <c r="N236" s="1" t="s">
        <v>110</v>
      </c>
      <c r="O236" s="1">
        <v>3</v>
      </c>
      <c r="P236" s="1">
        <v>4</v>
      </c>
      <c r="Q236" s="1">
        <f>data[[#This Row],[Nilai Kepentingan Dimensi Persyaratan]]-data[[#This Row],[Nilai Kepuasan Dimensi Persyaratan]]</f>
        <v>1</v>
      </c>
      <c r="R236" s="1">
        <v>3</v>
      </c>
      <c r="S236" s="1">
        <v>4</v>
      </c>
      <c r="T236" s="1">
        <f>data[[#This Row],[Nilai Kepentingan Dimensi Prosedur]]-data[[#This Row],[Nilai Kepuasan Dimensi Prosedur]]</f>
        <v>1</v>
      </c>
      <c r="U236" s="1">
        <v>4</v>
      </c>
      <c r="V236" s="1">
        <v>4</v>
      </c>
      <c r="W236" s="1">
        <f>data[[#This Row],[Nilai Kepentingan Dimensi Waktu Pelayanan/Penyelesaian]]-data[[#This Row],[Nilai Kepuasan Dimensi Waktu Pelayanan/Penyelesaian]]</f>
        <v>0</v>
      </c>
      <c r="X236" s="1">
        <v>4</v>
      </c>
      <c r="Y236" s="1">
        <v>4</v>
      </c>
      <c r="Z236" s="1">
        <f>data[[#This Row],[Nilai Kepentingan Dimensi Tarif/ Biaya]]-data[[#This Row],[Nilai Kepuasan Dimensi Tarif / Biaya]]</f>
        <v>0</v>
      </c>
      <c r="AA236" s="1">
        <v>3</v>
      </c>
      <c r="AB236" s="1">
        <v>3</v>
      </c>
      <c r="AC236" s="1">
        <f>data[[#This Row],[Nilai Kepentingan Dimensi Produk Spesifikasi Jenis Layanan]]-data[[#This Row],[Nilai Kepuasan Dimensi Produk Spesifikasi Jenis Layanan]]</f>
        <v>0</v>
      </c>
      <c r="AD236" s="1">
        <v>4</v>
      </c>
      <c r="AE236" s="1">
        <v>4</v>
      </c>
      <c r="AF236" s="1">
        <f>data[[#This Row],[Nilai Kepentingan Dimensi Kompetensi Pelaksana]]-data[[#This Row],[Nilai Kepuasan Dimensi Kompetensi Pelaksana]]</f>
        <v>0</v>
      </c>
      <c r="AG236" s="1">
        <v>3</v>
      </c>
      <c r="AH236" s="1">
        <v>3</v>
      </c>
      <c r="AI236" s="1">
        <f>data[[#This Row],[Nilai Kepentingan Dimensi Perilaku Pelaksana]]-data[[#This Row],[Nilai Kepuasan Dimensi Perilaku Pelaksana]]</f>
        <v>0</v>
      </c>
      <c r="AJ236" s="1">
        <v>4</v>
      </c>
      <c r="AK236" s="1">
        <v>3</v>
      </c>
      <c r="AL236" s="1">
        <f>data[[#This Row],[Nilai Kepentingan Dimensi Penanganan Pengaduan, Saran &amp; Masukan]]-data[[#This Row],[Nilai Kepuasan Dimensi Penanganan Pengaduan, Saran &amp; Masukan]]</f>
        <v>-1</v>
      </c>
      <c r="AM236" s="1">
        <v>4</v>
      </c>
      <c r="AN236" s="1">
        <v>4</v>
      </c>
      <c r="AO236" s="1">
        <f>data[[#This Row],[Nilai Kepentingan Dimensi Kualitas Sarana dan Prasarana]]-data[[#This Row],[Nilai Kepuasan Dimensi Kualitas Sarana dan Prasarana]]</f>
        <v>0</v>
      </c>
      <c r="AP236" s="1">
        <v>0</v>
      </c>
      <c r="AQ236" s="1" t="s">
        <v>69</v>
      </c>
      <c r="AR236" s="1">
        <v>0</v>
      </c>
      <c r="AS236" s="1" t="s">
        <v>69</v>
      </c>
      <c r="AT236" s="1">
        <v>0</v>
      </c>
      <c r="AU236" s="1" t="s">
        <v>69</v>
      </c>
      <c r="AV236" s="1" t="s">
        <v>293</v>
      </c>
      <c r="AW236" s="1" t="s">
        <v>144</v>
      </c>
      <c r="AX236" s="1">
        <v>1</v>
      </c>
      <c r="AY236" s="1">
        <v>4</v>
      </c>
      <c r="AZ236" s="1" t="s">
        <v>98</v>
      </c>
      <c r="BA236" s="1" t="s">
        <v>99</v>
      </c>
      <c r="BB236" s="1" t="s">
        <v>98</v>
      </c>
      <c r="BC236" s="1" t="s">
        <v>99</v>
      </c>
      <c r="BD236" s="1" t="s">
        <v>98</v>
      </c>
      <c r="BE236" s="1" t="s">
        <v>99</v>
      </c>
      <c r="BF236" s="5" t="s">
        <v>1530</v>
      </c>
    </row>
    <row r="237" spans="1:58" x14ac:dyDescent="0.35">
      <c r="A237" s="4">
        <v>236</v>
      </c>
      <c r="B237" s="1" t="s">
        <v>1531</v>
      </c>
      <c r="C237" s="1" t="s">
        <v>63</v>
      </c>
      <c r="D237" s="1" t="s">
        <v>136</v>
      </c>
      <c r="E237" s="1" t="s">
        <v>69</v>
      </c>
      <c r="F237" s="1" t="s">
        <v>69</v>
      </c>
      <c r="G237" s="1" t="s">
        <v>69</v>
      </c>
      <c r="H237" s="1" t="s">
        <v>69</v>
      </c>
      <c r="I237" s="1" t="s">
        <v>70</v>
      </c>
      <c r="J237" s="1" t="s">
        <v>107</v>
      </c>
      <c r="K237" s="1">
        <v>26</v>
      </c>
      <c r="L237" s="1" t="s">
        <v>92</v>
      </c>
      <c r="M237" s="1" t="s">
        <v>73</v>
      </c>
      <c r="N237" s="1" t="s">
        <v>110</v>
      </c>
      <c r="O237" s="1">
        <v>4</v>
      </c>
      <c r="P237" s="1">
        <v>4</v>
      </c>
      <c r="Q237" s="1">
        <f>data[[#This Row],[Nilai Kepentingan Dimensi Persyaratan]]-data[[#This Row],[Nilai Kepuasan Dimensi Persyaratan]]</f>
        <v>0</v>
      </c>
      <c r="R237" s="1">
        <v>4</v>
      </c>
      <c r="S237" s="1">
        <v>4</v>
      </c>
      <c r="T237" s="1">
        <f>data[[#This Row],[Nilai Kepentingan Dimensi Prosedur]]-data[[#This Row],[Nilai Kepuasan Dimensi Prosedur]]</f>
        <v>0</v>
      </c>
      <c r="U237" s="1">
        <v>4</v>
      </c>
      <c r="V237" s="1">
        <v>4</v>
      </c>
      <c r="W237" s="1">
        <f>data[[#This Row],[Nilai Kepentingan Dimensi Waktu Pelayanan/Penyelesaian]]-data[[#This Row],[Nilai Kepuasan Dimensi Waktu Pelayanan/Penyelesaian]]</f>
        <v>0</v>
      </c>
      <c r="X237" s="1">
        <v>4</v>
      </c>
      <c r="Y237" s="1">
        <v>4</v>
      </c>
      <c r="Z237" s="1">
        <f>data[[#This Row],[Nilai Kepentingan Dimensi Tarif/ Biaya]]-data[[#This Row],[Nilai Kepuasan Dimensi Tarif / Biaya]]</f>
        <v>0</v>
      </c>
      <c r="AA237" s="1">
        <v>4</v>
      </c>
      <c r="AB237" s="1">
        <v>4</v>
      </c>
      <c r="AC237" s="1">
        <f>data[[#This Row],[Nilai Kepentingan Dimensi Produk Spesifikasi Jenis Layanan]]-data[[#This Row],[Nilai Kepuasan Dimensi Produk Spesifikasi Jenis Layanan]]</f>
        <v>0</v>
      </c>
      <c r="AD237" s="1">
        <v>4</v>
      </c>
      <c r="AE237" s="1">
        <v>4</v>
      </c>
      <c r="AF237" s="1">
        <f>data[[#This Row],[Nilai Kepentingan Dimensi Kompetensi Pelaksana]]-data[[#This Row],[Nilai Kepuasan Dimensi Kompetensi Pelaksana]]</f>
        <v>0</v>
      </c>
      <c r="AG237" s="1">
        <v>4</v>
      </c>
      <c r="AH237" s="1">
        <v>4</v>
      </c>
      <c r="AI237" s="1">
        <f>data[[#This Row],[Nilai Kepentingan Dimensi Perilaku Pelaksana]]-data[[#This Row],[Nilai Kepuasan Dimensi Perilaku Pelaksana]]</f>
        <v>0</v>
      </c>
      <c r="AJ237" s="1">
        <v>4</v>
      </c>
      <c r="AK237" s="1">
        <v>4</v>
      </c>
      <c r="AL237" s="1">
        <f>data[[#This Row],[Nilai Kepentingan Dimensi Penanganan Pengaduan, Saran &amp; Masukan]]-data[[#This Row],[Nilai Kepuasan Dimensi Penanganan Pengaduan, Saran &amp; Masukan]]</f>
        <v>0</v>
      </c>
      <c r="AM237" s="1">
        <v>4</v>
      </c>
      <c r="AN237" s="1">
        <v>4</v>
      </c>
      <c r="AO237" s="1">
        <f>data[[#This Row],[Nilai Kepentingan Dimensi Kualitas Sarana dan Prasarana]]-data[[#This Row],[Nilai Kepuasan Dimensi Kualitas Sarana dan Prasarana]]</f>
        <v>0</v>
      </c>
      <c r="AP237" s="1">
        <v>0</v>
      </c>
      <c r="AQ237" s="1" t="s">
        <v>69</v>
      </c>
      <c r="AR237" s="1">
        <v>0</v>
      </c>
      <c r="AS237" s="1" t="s">
        <v>69</v>
      </c>
      <c r="AT237" s="1">
        <v>0</v>
      </c>
      <c r="AU237" s="1" t="s">
        <v>69</v>
      </c>
      <c r="AV237" s="1" t="s">
        <v>144</v>
      </c>
      <c r="AW237" s="1" t="s">
        <v>144</v>
      </c>
      <c r="AX237" s="1">
        <v>2</v>
      </c>
      <c r="AY237" s="1">
        <v>3</v>
      </c>
      <c r="AZ237" s="1" t="s">
        <v>98</v>
      </c>
      <c r="BA237" s="1" t="s">
        <v>99</v>
      </c>
      <c r="BB237" s="1" t="s">
        <v>98</v>
      </c>
      <c r="BC237" s="1" t="s">
        <v>99</v>
      </c>
      <c r="BD237" s="1" t="s">
        <v>98</v>
      </c>
      <c r="BE237" s="1" t="s">
        <v>99</v>
      </c>
      <c r="BF237" s="5" t="s">
        <v>98</v>
      </c>
    </row>
    <row r="238" spans="1:58" x14ac:dyDescent="0.35">
      <c r="A238" s="4">
        <v>237</v>
      </c>
      <c r="B238" s="1" t="s">
        <v>1535</v>
      </c>
      <c r="C238" s="1" t="s">
        <v>63</v>
      </c>
      <c r="D238" s="1" t="s">
        <v>136</v>
      </c>
      <c r="E238" s="1" t="s">
        <v>69</v>
      </c>
      <c r="F238" s="1" t="s">
        <v>69</v>
      </c>
      <c r="G238" s="1" t="s">
        <v>69</v>
      </c>
      <c r="H238" s="1" t="s">
        <v>69</v>
      </c>
      <c r="I238" s="1" t="s">
        <v>70</v>
      </c>
      <c r="J238" s="1" t="s">
        <v>107</v>
      </c>
      <c r="K238" s="1">
        <v>20</v>
      </c>
      <c r="L238" s="1" t="s">
        <v>131</v>
      </c>
      <c r="M238" s="1" t="s">
        <v>73</v>
      </c>
      <c r="N238" s="1" t="s">
        <v>95</v>
      </c>
      <c r="O238" s="1">
        <v>4</v>
      </c>
      <c r="P238" s="1">
        <v>4</v>
      </c>
      <c r="Q238" s="1">
        <f>data[[#This Row],[Nilai Kepentingan Dimensi Persyaratan]]-data[[#This Row],[Nilai Kepuasan Dimensi Persyaratan]]</f>
        <v>0</v>
      </c>
      <c r="R238" s="1">
        <v>4</v>
      </c>
      <c r="S238" s="1">
        <v>4</v>
      </c>
      <c r="T238" s="1">
        <f>data[[#This Row],[Nilai Kepentingan Dimensi Prosedur]]-data[[#This Row],[Nilai Kepuasan Dimensi Prosedur]]</f>
        <v>0</v>
      </c>
      <c r="U238" s="1">
        <v>4</v>
      </c>
      <c r="V238" s="1">
        <v>4</v>
      </c>
      <c r="W238" s="1">
        <f>data[[#This Row],[Nilai Kepentingan Dimensi Waktu Pelayanan/Penyelesaian]]-data[[#This Row],[Nilai Kepuasan Dimensi Waktu Pelayanan/Penyelesaian]]</f>
        <v>0</v>
      </c>
      <c r="X238" s="1">
        <v>4</v>
      </c>
      <c r="Y238" s="1">
        <v>4</v>
      </c>
      <c r="Z238" s="1">
        <f>data[[#This Row],[Nilai Kepentingan Dimensi Tarif/ Biaya]]-data[[#This Row],[Nilai Kepuasan Dimensi Tarif / Biaya]]</f>
        <v>0</v>
      </c>
      <c r="AA238" s="1">
        <v>4</v>
      </c>
      <c r="AB238" s="1">
        <v>4</v>
      </c>
      <c r="AC238" s="1">
        <f>data[[#This Row],[Nilai Kepentingan Dimensi Produk Spesifikasi Jenis Layanan]]-data[[#This Row],[Nilai Kepuasan Dimensi Produk Spesifikasi Jenis Layanan]]</f>
        <v>0</v>
      </c>
      <c r="AD238" s="1">
        <v>4</v>
      </c>
      <c r="AE238" s="1">
        <v>4</v>
      </c>
      <c r="AF238" s="1">
        <f>data[[#This Row],[Nilai Kepentingan Dimensi Kompetensi Pelaksana]]-data[[#This Row],[Nilai Kepuasan Dimensi Kompetensi Pelaksana]]</f>
        <v>0</v>
      </c>
      <c r="AG238" s="1">
        <v>4</v>
      </c>
      <c r="AH238" s="1">
        <v>4</v>
      </c>
      <c r="AI238" s="1">
        <f>data[[#This Row],[Nilai Kepentingan Dimensi Perilaku Pelaksana]]-data[[#This Row],[Nilai Kepuasan Dimensi Perilaku Pelaksana]]</f>
        <v>0</v>
      </c>
      <c r="AJ238" s="1">
        <v>4</v>
      </c>
      <c r="AK238" s="1">
        <v>4</v>
      </c>
      <c r="AL238" s="1">
        <f>data[[#This Row],[Nilai Kepentingan Dimensi Penanganan Pengaduan, Saran &amp; Masukan]]-data[[#This Row],[Nilai Kepuasan Dimensi Penanganan Pengaduan, Saran &amp; Masukan]]</f>
        <v>0</v>
      </c>
      <c r="AM238" s="1">
        <v>4</v>
      </c>
      <c r="AN238" s="1">
        <v>4</v>
      </c>
      <c r="AO238" s="1">
        <f>data[[#This Row],[Nilai Kepentingan Dimensi Kualitas Sarana dan Prasarana]]-data[[#This Row],[Nilai Kepuasan Dimensi Kualitas Sarana dan Prasarana]]</f>
        <v>0</v>
      </c>
      <c r="AP238" s="1">
        <v>0</v>
      </c>
      <c r="AQ238" s="1" t="s">
        <v>69</v>
      </c>
      <c r="AR238" s="1">
        <v>0</v>
      </c>
      <c r="AS238" s="1" t="s">
        <v>69</v>
      </c>
      <c r="AT238" s="1">
        <v>0</v>
      </c>
      <c r="AU238" s="1" t="s">
        <v>69</v>
      </c>
      <c r="AV238" s="1" t="s">
        <v>144</v>
      </c>
      <c r="AW238" s="1" t="s">
        <v>144</v>
      </c>
      <c r="AX238" s="1">
        <v>2</v>
      </c>
      <c r="AY238" s="1">
        <v>3</v>
      </c>
      <c r="AZ238" s="1" t="s">
        <v>98</v>
      </c>
      <c r="BA238" s="1" t="s">
        <v>99</v>
      </c>
      <c r="BB238" s="1" t="s">
        <v>98</v>
      </c>
      <c r="BC238" s="1" t="s">
        <v>99</v>
      </c>
      <c r="BD238" s="1" t="s">
        <v>98</v>
      </c>
      <c r="BE238" s="1" t="s">
        <v>99</v>
      </c>
      <c r="BF238" s="5" t="s">
        <v>98</v>
      </c>
    </row>
    <row r="239" spans="1:58" x14ac:dyDescent="0.35">
      <c r="A239" s="4">
        <v>238</v>
      </c>
      <c r="B239" s="1" t="s">
        <v>1539</v>
      </c>
      <c r="C239" s="1" t="s">
        <v>772</v>
      </c>
      <c r="D239" s="1" t="s">
        <v>772</v>
      </c>
      <c r="E239" s="1" t="s">
        <v>69</v>
      </c>
      <c r="F239" s="1" t="s">
        <v>69</v>
      </c>
      <c r="G239" s="1" t="s">
        <v>69</v>
      </c>
      <c r="H239" s="1" t="s">
        <v>69</v>
      </c>
      <c r="I239" s="1" t="s">
        <v>106</v>
      </c>
      <c r="J239" s="1" t="s">
        <v>1180</v>
      </c>
      <c r="K239" s="1">
        <v>47</v>
      </c>
      <c r="L239" s="1" t="s">
        <v>225</v>
      </c>
      <c r="M239" s="1" t="s">
        <v>93</v>
      </c>
      <c r="N239" s="1" t="s">
        <v>74</v>
      </c>
      <c r="O239" s="1">
        <v>4</v>
      </c>
      <c r="P239" s="1">
        <v>4</v>
      </c>
      <c r="Q239" s="1">
        <f>data[[#This Row],[Nilai Kepentingan Dimensi Persyaratan]]-data[[#This Row],[Nilai Kepuasan Dimensi Persyaratan]]</f>
        <v>0</v>
      </c>
      <c r="R239" s="1">
        <v>3</v>
      </c>
      <c r="S239" s="1">
        <v>4</v>
      </c>
      <c r="T239" s="1">
        <f>data[[#This Row],[Nilai Kepentingan Dimensi Prosedur]]-data[[#This Row],[Nilai Kepuasan Dimensi Prosedur]]</f>
        <v>1</v>
      </c>
      <c r="U239" s="1">
        <v>4</v>
      </c>
      <c r="V239" s="1">
        <v>4</v>
      </c>
      <c r="W239" s="1">
        <f>data[[#This Row],[Nilai Kepentingan Dimensi Waktu Pelayanan/Penyelesaian]]-data[[#This Row],[Nilai Kepuasan Dimensi Waktu Pelayanan/Penyelesaian]]</f>
        <v>0</v>
      </c>
      <c r="X239" s="1">
        <v>0</v>
      </c>
      <c r="Y239" s="1">
        <v>0</v>
      </c>
      <c r="Z239" s="1">
        <f>data[[#This Row],[Nilai Kepentingan Dimensi Tarif/ Biaya]]-data[[#This Row],[Nilai Kepuasan Dimensi Tarif / Biaya]]</f>
        <v>0</v>
      </c>
      <c r="AA239" s="1">
        <v>4</v>
      </c>
      <c r="AB239" s="1">
        <v>4</v>
      </c>
      <c r="AC239" s="1">
        <f>data[[#This Row],[Nilai Kepentingan Dimensi Produk Spesifikasi Jenis Layanan]]-data[[#This Row],[Nilai Kepuasan Dimensi Produk Spesifikasi Jenis Layanan]]</f>
        <v>0</v>
      </c>
      <c r="AD239" s="1">
        <v>4</v>
      </c>
      <c r="AE239" s="1">
        <v>4</v>
      </c>
      <c r="AF239" s="1">
        <f>data[[#This Row],[Nilai Kepentingan Dimensi Kompetensi Pelaksana]]-data[[#This Row],[Nilai Kepuasan Dimensi Kompetensi Pelaksana]]</f>
        <v>0</v>
      </c>
      <c r="AG239" s="1">
        <v>4</v>
      </c>
      <c r="AH239" s="1">
        <v>4</v>
      </c>
      <c r="AI239" s="1">
        <f>data[[#This Row],[Nilai Kepentingan Dimensi Perilaku Pelaksana]]-data[[#This Row],[Nilai Kepuasan Dimensi Perilaku Pelaksana]]</f>
        <v>0</v>
      </c>
      <c r="AJ239" s="1">
        <v>3</v>
      </c>
      <c r="AK239" s="1">
        <v>3</v>
      </c>
      <c r="AL239" s="1">
        <f>data[[#This Row],[Nilai Kepentingan Dimensi Penanganan Pengaduan, Saran &amp; Masukan]]-data[[#This Row],[Nilai Kepuasan Dimensi Penanganan Pengaduan, Saran &amp; Masukan]]</f>
        <v>0</v>
      </c>
      <c r="AM239" s="1">
        <v>4</v>
      </c>
      <c r="AN239" s="1">
        <v>4</v>
      </c>
      <c r="AO239" s="1">
        <f>data[[#This Row],[Nilai Kepentingan Dimensi Kualitas Sarana dan Prasarana]]-data[[#This Row],[Nilai Kepuasan Dimensi Kualitas Sarana dan Prasarana]]</f>
        <v>0</v>
      </c>
      <c r="AP239" s="1">
        <v>0</v>
      </c>
      <c r="AQ239" s="1" t="s">
        <v>69</v>
      </c>
      <c r="AR239" s="1">
        <v>0</v>
      </c>
      <c r="AS239" s="1" t="s">
        <v>69</v>
      </c>
      <c r="AT239" s="1">
        <v>0</v>
      </c>
      <c r="AU239" s="1" t="s">
        <v>69</v>
      </c>
      <c r="AV239" s="1" t="s">
        <v>144</v>
      </c>
      <c r="AW239" s="1" t="s">
        <v>144</v>
      </c>
      <c r="AX239" s="1">
        <v>1</v>
      </c>
      <c r="AY239" s="1">
        <v>4</v>
      </c>
      <c r="AZ239" s="1" t="s">
        <v>1544</v>
      </c>
      <c r="BA239" s="1" t="s">
        <v>79</v>
      </c>
      <c r="BB239" s="1" t="s">
        <v>1545</v>
      </c>
      <c r="BC239" s="1" t="s">
        <v>79</v>
      </c>
      <c r="BD239" s="1" t="s">
        <v>1546</v>
      </c>
      <c r="BE239" s="1" t="s">
        <v>79</v>
      </c>
      <c r="BF239" s="5" t="s">
        <v>1547</v>
      </c>
    </row>
    <row r="240" spans="1:58" x14ac:dyDescent="0.35">
      <c r="A240" s="4">
        <v>239</v>
      </c>
      <c r="B240" s="1" t="s">
        <v>1548</v>
      </c>
      <c r="C240" s="1" t="s">
        <v>63</v>
      </c>
      <c r="D240" s="1" t="s">
        <v>136</v>
      </c>
      <c r="E240" s="1" t="s">
        <v>69</v>
      </c>
      <c r="F240" s="1" t="s">
        <v>69</v>
      </c>
      <c r="G240" s="1" t="s">
        <v>69</v>
      </c>
      <c r="H240" s="1" t="s">
        <v>69</v>
      </c>
      <c r="I240" s="1" t="s">
        <v>106</v>
      </c>
      <c r="J240" s="1" t="s">
        <v>107</v>
      </c>
      <c r="K240" s="1">
        <v>50</v>
      </c>
      <c r="L240" s="1" t="s">
        <v>225</v>
      </c>
      <c r="M240" s="1" t="s">
        <v>254</v>
      </c>
      <c r="N240" s="1" t="s">
        <v>74</v>
      </c>
      <c r="O240" s="1">
        <v>4</v>
      </c>
      <c r="P240" s="1">
        <v>4</v>
      </c>
      <c r="Q240" s="1">
        <f>data[[#This Row],[Nilai Kepentingan Dimensi Persyaratan]]-data[[#This Row],[Nilai Kepuasan Dimensi Persyaratan]]</f>
        <v>0</v>
      </c>
      <c r="R240" s="1">
        <v>4</v>
      </c>
      <c r="S240" s="1">
        <v>4</v>
      </c>
      <c r="T240" s="1">
        <f>data[[#This Row],[Nilai Kepentingan Dimensi Prosedur]]-data[[#This Row],[Nilai Kepuasan Dimensi Prosedur]]</f>
        <v>0</v>
      </c>
      <c r="U240" s="1">
        <v>4</v>
      </c>
      <c r="V240" s="1">
        <v>4</v>
      </c>
      <c r="W240" s="1">
        <f>data[[#This Row],[Nilai Kepentingan Dimensi Waktu Pelayanan/Penyelesaian]]-data[[#This Row],[Nilai Kepuasan Dimensi Waktu Pelayanan/Penyelesaian]]</f>
        <v>0</v>
      </c>
      <c r="X240" s="1">
        <v>4</v>
      </c>
      <c r="Y240" s="1">
        <v>4</v>
      </c>
      <c r="Z240" s="1">
        <f>data[[#This Row],[Nilai Kepentingan Dimensi Tarif/ Biaya]]-data[[#This Row],[Nilai Kepuasan Dimensi Tarif / Biaya]]</f>
        <v>0</v>
      </c>
      <c r="AA240" s="1">
        <v>4</v>
      </c>
      <c r="AB240" s="1">
        <v>4</v>
      </c>
      <c r="AC240" s="1">
        <f>data[[#This Row],[Nilai Kepentingan Dimensi Produk Spesifikasi Jenis Layanan]]-data[[#This Row],[Nilai Kepuasan Dimensi Produk Spesifikasi Jenis Layanan]]</f>
        <v>0</v>
      </c>
      <c r="AD240" s="1">
        <v>4</v>
      </c>
      <c r="AE240" s="1">
        <v>4</v>
      </c>
      <c r="AF240" s="1">
        <f>data[[#This Row],[Nilai Kepentingan Dimensi Kompetensi Pelaksana]]-data[[#This Row],[Nilai Kepuasan Dimensi Kompetensi Pelaksana]]</f>
        <v>0</v>
      </c>
      <c r="AG240" s="1">
        <v>4</v>
      </c>
      <c r="AH240" s="1">
        <v>4</v>
      </c>
      <c r="AI240" s="1">
        <f>data[[#This Row],[Nilai Kepentingan Dimensi Perilaku Pelaksana]]-data[[#This Row],[Nilai Kepuasan Dimensi Perilaku Pelaksana]]</f>
        <v>0</v>
      </c>
      <c r="AJ240" s="1">
        <v>4</v>
      </c>
      <c r="AK240" s="1">
        <v>4</v>
      </c>
      <c r="AL240" s="1">
        <f>data[[#This Row],[Nilai Kepentingan Dimensi Penanganan Pengaduan, Saran &amp; Masukan]]-data[[#This Row],[Nilai Kepuasan Dimensi Penanganan Pengaduan, Saran &amp; Masukan]]</f>
        <v>0</v>
      </c>
      <c r="AM240" s="1">
        <v>4</v>
      </c>
      <c r="AN240" s="1">
        <v>4</v>
      </c>
      <c r="AO240" s="1">
        <f>data[[#This Row],[Nilai Kepentingan Dimensi Kualitas Sarana dan Prasarana]]-data[[#This Row],[Nilai Kepuasan Dimensi Kualitas Sarana dan Prasarana]]</f>
        <v>0</v>
      </c>
      <c r="AP240" s="1">
        <v>4</v>
      </c>
      <c r="AQ240" s="1" t="s">
        <v>69</v>
      </c>
      <c r="AR240" s="1">
        <v>0</v>
      </c>
      <c r="AS240" s="1" t="s">
        <v>69</v>
      </c>
      <c r="AT240" s="1">
        <v>0</v>
      </c>
      <c r="AU240" s="1" t="s">
        <v>69</v>
      </c>
      <c r="AV240" s="1" t="s">
        <v>83</v>
      </c>
      <c r="AW240" s="1" t="s">
        <v>96</v>
      </c>
      <c r="AX240" s="1">
        <v>0</v>
      </c>
      <c r="AY240" s="1">
        <v>0</v>
      </c>
      <c r="AZ240" s="1" t="s">
        <v>98</v>
      </c>
      <c r="BA240" s="1" t="s">
        <v>99</v>
      </c>
      <c r="BB240" s="1" t="s">
        <v>98</v>
      </c>
      <c r="BC240" s="1" t="s">
        <v>99</v>
      </c>
      <c r="BD240" s="1" t="s">
        <v>98</v>
      </c>
      <c r="BE240" s="1" t="s">
        <v>99</v>
      </c>
      <c r="BF240" s="5" t="s">
        <v>1552</v>
      </c>
    </row>
    <row r="241" spans="1:58" x14ac:dyDescent="0.35">
      <c r="A241" s="4">
        <v>240</v>
      </c>
      <c r="B241" s="1" t="s">
        <v>1553</v>
      </c>
      <c r="C241" s="1" t="s">
        <v>63</v>
      </c>
      <c r="D241" s="1" t="s">
        <v>1555</v>
      </c>
      <c r="E241" s="1" t="s">
        <v>69</v>
      </c>
      <c r="F241" s="1" t="s">
        <v>69</v>
      </c>
      <c r="G241" s="1" t="s">
        <v>69</v>
      </c>
      <c r="H241" s="1" t="s">
        <v>69</v>
      </c>
      <c r="I241" s="1" t="s">
        <v>70</v>
      </c>
      <c r="J241" s="1" t="s">
        <v>292</v>
      </c>
      <c r="K241" s="1">
        <v>18</v>
      </c>
      <c r="L241" s="1" t="s">
        <v>131</v>
      </c>
      <c r="M241" s="1" t="s">
        <v>73</v>
      </c>
      <c r="N241" s="1" t="s">
        <v>95</v>
      </c>
      <c r="O241" s="1">
        <v>3</v>
      </c>
      <c r="P241" s="1">
        <v>4</v>
      </c>
      <c r="Q241" s="1">
        <f>data[[#This Row],[Nilai Kepentingan Dimensi Persyaratan]]-data[[#This Row],[Nilai Kepuasan Dimensi Persyaratan]]</f>
        <v>1</v>
      </c>
      <c r="R241" s="1">
        <v>4</v>
      </c>
      <c r="S241" s="1">
        <v>4</v>
      </c>
      <c r="T241" s="1">
        <f>data[[#This Row],[Nilai Kepentingan Dimensi Prosedur]]-data[[#This Row],[Nilai Kepuasan Dimensi Prosedur]]</f>
        <v>0</v>
      </c>
      <c r="U241" s="1">
        <v>4</v>
      </c>
      <c r="V241" s="1">
        <v>4</v>
      </c>
      <c r="W241" s="1">
        <f>data[[#This Row],[Nilai Kepentingan Dimensi Waktu Pelayanan/Penyelesaian]]-data[[#This Row],[Nilai Kepuasan Dimensi Waktu Pelayanan/Penyelesaian]]</f>
        <v>0</v>
      </c>
      <c r="X241" s="1">
        <v>3</v>
      </c>
      <c r="Y241" s="1">
        <v>3</v>
      </c>
      <c r="Z241" s="1">
        <f>data[[#This Row],[Nilai Kepentingan Dimensi Tarif/ Biaya]]-data[[#This Row],[Nilai Kepuasan Dimensi Tarif / Biaya]]</f>
        <v>0</v>
      </c>
      <c r="AA241" s="1">
        <v>4</v>
      </c>
      <c r="AB241" s="1">
        <v>4</v>
      </c>
      <c r="AC241" s="1">
        <f>data[[#This Row],[Nilai Kepentingan Dimensi Produk Spesifikasi Jenis Layanan]]-data[[#This Row],[Nilai Kepuasan Dimensi Produk Spesifikasi Jenis Layanan]]</f>
        <v>0</v>
      </c>
      <c r="AD241" s="1">
        <v>4</v>
      </c>
      <c r="AE241" s="1">
        <v>4</v>
      </c>
      <c r="AF241" s="1">
        <f>data[[#This Row],[Nilai Kepentingan Dimensi Kompetensi Pelaksana]]-data[[#This Row],[Nilai Kepuasan Dimensi Kompetensi Pelaksana]]</f>
        <v>0</v>
      </c>
      <c r="AG241" s="1">
        <v>3</v>
      </c>
      <c r="AH241" s="1">
        <v>4</v>
      </c>
      <c r="AI241" s="1">
        <f>data[[#This Row],[Nilai Kepentingan Dimensi Perilaku Pelaksana]]-data[[#This Row],[Nilai Kepuasan Dimensi Perilaku Pelaksana]]</f>
        <v>1</v>
      </c>
      <c r="AJ241" s="1">
        <v>4</v>
      </c>
      <c r="AK241" s="1">
        <v>4</v>
      </c>
      <c r="AL241" s="1">
        <f>data[[#This Row],[Nilai Kepentingan Dimensi Penanganan Pengaduan, Saran &amp; Masukan]]-data[[#This Row],[Nilai Kepuasan Dimensi Penanganan Pengaduan, Saran &amp; Masukan]]</f>
        <v>0</v>
      </c>
      <c r="AM241" s="1">
        <v>3</v>
      </c>
      <c r="AN241" s="1">
        <v>3</v>
      </c>
      <c r="AO241" s="1">
        <f>data[[#This Row],[Nilai Kepentingan Dimensi Kualitas Sarana dan Prasarana]]-data[[#This Row],[Nilai Kepuasan Dimensi Kualitas Sarana dan Prasarana]]</f>
        <v>0</v>
      </c>
      <c r="AP241" s="1">
        <v>0</v>
      </c>
      <c r="AQ241" s="1" t="s">
        <v>69</v>
      </c>
      <c r="AR241" s="1">
        <v>3</v>
      </c>
      <c r="AS241" s="1" t="s">
        <v>75</v>
      </c>
      <c r="AT241" s="1">
        <v>0</v>
      </c>
      <c r="AU241" s="1" t="s">
        <v>69</v>
      </c>
      <c r="AV241" s="1" t="s">
        <v>83</v>
      </c>
      <c r="AW241" s="1" t="s">
        <v>96</v>
      </c>
      <c r="AX241" s="1">
        <v>0</v>
      </c>
      <c r="AY241" s="1">
        <v>0</v>
      </c>
      <c r="AZ241" s="1" t="s">
        <v>98</v>
      </c>
      <c r="BA241" s="1" t="s">
        <v>99</v>
      </c>
      <c r="BB241" s="1" t="s">
        <v>98</v>
      </c>
      <c r="BC241" s="1" t="s">
        <v>99</v>
      </c>
      <c r="BD241" s="1" t="s">
        <v>98</v>
      </c>
      <c r="BE241" s="1" t="s">
        <v>99</v>
      </c>
      <c r="BF241" s="5" t="s">
        <v>83</v>
      </c>
    </row>
    <row r="242" spans="1:58" x14ac:dyDescent="0.35">
      <c r="A242" s="4">
        <v>241</v>
      </c>
      <c r="B242" s="1" t="s">
        <v>1557</v>
      </c>
      <c r="C242" s="1" t="s">
        <v>63</v>
      </c>
      <c r="D242" s="1" t="s">
        <v>136</v>
      </c>
      <c r="E242" s="1" t="s">
        <v>69</v>
      </c>
      <c r="F242" s="1" t="s">
        <v>69</v>
      </c>
      <c r="G242" s="1" t="s">
        <v>69</v>
      </c>
      <c r="H242" s="1" t="s">
        <v>69</v>
      </c>
      <c r="I242" s="1" t="s">
        <v>106</v>
      </c>
      <c r="J242" s="1" t="s">
        <v>107</v>
      </c>
      <c r="K242" s="1">
        <v>29</v>
      </c>
      <c r="L242" s="1" t="s">
        <v>92</v>
      </c>
      <c r="M242" s="1" t="s">
        <v>73</v>
      </c>
      <c r="N242" s="1" t="s">
        <v>74</v>
      </c>
      <c r="O242" s="1">
        <v>4</v>
      </c>
      <c r="P242" s="1">
        <v>4</v>
      </c>
      <c r="Q242" s="1">
        <f>data[[#This Row],[Nilai Kepentingan Dimensi Persyaratan]]-data[[#This Row],[Nilai Kepuasan Dimensi Persyaratan]]</f>
        <v>0</v>
      </c>
      <c r="R242" s="1">
        <v>4</v>
      </c>
      <c r="S242" s="1">
        <v>4</v>
      </c>
      <c r="T242" s="1">
        <f>data[[#This Row],[Nilai Kepentingan Dimensi Prosedur]]-data[[#This Row],[Nilai Kepuasan Dimensi Prosedur]]</f>
        <v>0</v>
      </c>
      <c r="U242" s="1">
        <v>4</v>
      </c>
      <c r="V242" s="1">
        <v>4</v>
      </c>
      <c r="W242" s="1">
        <f>data[[#This Row],[Nilai Kepentingan Dimensi Waktu Pelayanan/Penyelesaian]]-data[[#This Row],[Nilai Kepuasan Dimensi Waktu Pelayanan/Penyelesaian]]</f>
        <v>0</v>
      </c>
      <c r="X242" s="1">
        <v>4</v>
      </c>
      <c r="Y242" s="1">
        <v>4</v>
      </c>
      <c r="Z242" s="1">
        <f>data[[#This Row],[Nilai Kepentingan Dimensi Tarif/ Biaya]]-data[[#This Row],[Nilai Kepuasan Dimensi Tarif / Biaya]]</f>
        <v>0</v>
      </c>
      <c r="AA242" s="1">
        <v>3</v>
      </c>
      <c r="AB242" s="1">
        <v>3</v>
      </c>
      <c r="AC242" s="1">
        <f>data[[#This Row],[Nilai Kepentingan Dimensi Produk Spesifikasi Jenis Layanan]]-data[[#This Row],[Nilai Kepuasan Dimensi Produk Spesifikasi Jenis Layanan]]</f>
        <v>0</v>
      </c>
      <c r="AD242" s="1">
        <v>4</v>
      </c>
      <c r="AE242" s="1">
        <v>4</v>
      </c>
      <c r="AF242" s="1">
        <f>data[[#This Row],[Nilai Kepentingan Dimensi Kompetensi Pelaksana]]-data[[#This Row],[Nilai Kepuasan Dimensi Kompetensi Pelaksana]]</f>
        <v>0</v>
      </c>
      <c r="AG242" s="1">
        <v>4</v>
      </c>
      <c r="AH242" s="1">
        <v>4</v>
      </c>
      <c r="AI242" s="1">
        <f>data[[#This Row],[Nilai Kepentingan Dimensi Perilaku Pelaksana]]-data[[#This Row],[Nilai Kepuasan Dimensi Perilaku Pelaksana]]</f>
        <v>0</v>
      </c>
      <c r="AJ242" s="1">
        <v>4</v>
      </c>
      <c r="AK242" s="1">
        <v>4</v>
      </c>
      <c r="AL242" s="1">
        <f>data[[#This Row],[Nilai Kepentingan Dimensi Penanganan Pengaduan, Saran &amp; Masukan]]-data[[#This Row],[Nilai Kepuasan Dimensi Penanganan Pengaduan, Saran &amp; Masukan]]</f>
        <v>0</v>
      </c>
      <c r="AM242" s="1">
        <v>3</v>
      </c>
      <c r="AN242" s="1">
        <v>3</v>
      </c>
      <c r="AO242" s="1">
        <f>data[[#This Row],[Nilai Kepentingan Dimensi Kualitas Sarana dan Prasarana]]-data[[#This Row],[Nilai Kepuasan Dimensi Kualitas Sarana dan Prasarana]]</f>
        <v>0</v>
      </c>
      <c r="AP242" s="1">
        <v>0</v>
      </c>
      <c r="AQ242" s="1" t="s">
        <v>69</v>
      </c>
      <c r="AR242" s="1">
        <v>0</v>
      </c>
      <c r="AS242" s="1" t="s">
        <v>69</v>
      </c>
      <c r="AT242" s="1">
        <v>0</v>
      </c>
      <c r="AU242" s="1" t="s">
        <v>69</v>
      </c>
      <c r="AV242" s="1" t="s">
        <v>384</v>
      </c>
      <c r="AW242" s="1" t="s">
        <v>186</v>
      </c>
      <c r="AX242" s="1">
        <v>1</v>
      </c>
      <c r="AY242" s="1">
        <v>4</v>
      </c>
      <c r="AZ242" s="1" t="s">
        <v>98</v>
      </c>
      <c r="BA242" s="1" t="s">
        <v>99</v>
      </c>
      <c r="BB242" s="1" t="s">
        <v>98</v>
      </c>
      <c r="BC242" s="1" t="s">
        <v>99</v>
      </c>
      <c r="BD242" s="1" t="s">
        <v>98</v>
      </c>
      <c r="BE242" s="1" t="s">
        <v>99</v>
      </c>
      <c r="BF242" s="5" t="s">
        <v>98</v>
      </c>
    </row>
    <row r="243" spans="1:58" x14ac:dyDescent="0.35">
      <c r="A243" s="4">
        <v>242</v>
      </c>
      <c r="B243" s="1" t="s">
        <v>1561</v>
      </c>
      <c r="C243" s="1" t="s">
        <v>63</v>
      </c>
      <c r="D243" s="1" t="s">
        <v>63</v>
      </c>
      <c r="E243" s="1" t="s">
        <v>69</v>
      </c>
      <c r="F243" s="1" t="s">
        <v>69</v>
      </c>
      <c r="G243" s="1" t="s">
        <v>69</v>
      </c>
      <c r="H243" s="1" t="s">
        <v>69</v>
      </c>
      <c r="I243" s="1" t="s">
        <v>106</v>
      </c>
      <c r="J243" s="1" t="s">
        <v>292</v>
      </c>
      <c r="K243" s="1">
        <v>18</v>
      </c>
      <c r="L243" s="1" t="s">
        <v>131</v>
      </c>
      <c r="M243" s="1" t="s">
        <v>73</v>
      </c>
      <c r="N243" s="1" t="s">
        <v>95</v>
      </c>
      <c r="O243" s="1">
        <v>4</v>
      </c>
      <c r="P243" s="1">
        <v>4</v>
      </c>
      <c r="Q243" s="1">
        <f>data[[#This Row],[Nilai Kepentingan Dimensi Persyaratan]]-data[[#This Row],[Nilai Kepuasan Dimensi Persyaratan]]</f>
        <v>0</v>
      </c>
      <c r="R243" s="1">
        <v>4</v>
      </c>
      <c r="S243" s="1">
        <v>4</v>
      </c>
      <c r="T243" s="1">
        <f>data[[#This Row],[Nilai Kepentingan Dimensi Prosedur]]-data[[#This Row],[Nilai Kepuasan Dimensi Prosedur]]</f>
        <v>0</v>
      </c>
      <c r="U243" s="1">
        <v>4</v>
      </c>
      <c r="V243" s="1">
        <v>4</v>
      </c>
      <c r="W243" s="1">
        <f>data[[#This Row],[Nilai Kepentingan Dimensi Waktu Pelayanan/Penyelesaian]]-data[[#This Row],[Nilai Kepuasan Dimensi Waktu Pelayanan/Penyelesaian]]</f>
        <v>0</v>
      </c>
      <c r="X243" s="1">
        <v>4</v>
      </c>
      <c r="Y243" s="1">
        <v>4</v>
      </c>
      <c r="Z243" s="1">
        <f>data[[#This Row],[Nilai Kepentingan Dimensi Tarif/ Biaya]]-data[[#This Row],[Nilai Kepuasan Dimensi Tarif / Biaya]]</f>
        <v>0</v>
      </c>
      <c r="AA243" s="1">
        <v>4</v>
      </c>
      <c r="AB243" s="1">
        <v>4</v>
      </c>
      <c r="AC243" s="1">
        <f>data[[#This Row],[Nilai Kepentingan Dimensi Produk Spesifikasi Jenis Layanan]]-data[[#This Row],[Nilai Kepuasan Dimensi Produk Spesifikasi Jenis Layanan]]</f>
        <v>0</v>
      </c>
      <c r="AD243" s="1">
        <v>4</v>
      </c>
      <c r="AE243" s="1">
        <v>4</v>
      </c>
      <c r="AF243" s="1">
        <f>data[[#This Row],[Nilai Kepentingan Dimensi Kompetensi Pelaksana]]-data[[#This Row],[Nilai Kepuasan Dimensi Kompetensi Pelaksana]]</f>
        <v>0</v>
      </c>
      <c r="AG243" s="1">
        <v>4</v>
      </c>
      <c r="AH243" s="1">
        <v>4</v>
      </c>
      <c r="AI243" s="1">
        <f>data[[#This Row],[Nilai Kepentingan Dimensi Perilaku Pelaksana]]-data[[#This Row],[Nilai Kepuasan Dimensi Perilaku Pelaksana]]</f>
        <v>0</v>
      </c>
      <c r="AJ243" s="1">
        <v>4</v>
      </c>
      <c r="AK243" s="1">
        <v>4</v>
      </c>
      <c r="AL243" s="1">
        <f>data[[#This Row],[Nilai Kepentingan Dimensi Penanganan Pengaduan, Saran &amp; Masukan]]-data[[#This Row],[Nilai Kepuasan Dimensi Penanganan Pengaduan, Saran &amp; Masukan]]</f>
        <v>0</v>
      </c>
      <c r="AM243" s="1">
        <v>4</v>
      </c>
      <c r="AN243" s="1">
        <v>4</v>
      </c>
      <c r="AO243" s="1">
        <f>data[[#This Row],[Nilai Kepentingan Dimensi Kualitas Sarana dan Prasarana]]-data[[#This Row],[Nilai Kepuasan Dimensi Kualitas Sarana dan Prasarana]]</f>
        <v>0</v>
      </c>
      <c r="AP243" s="1">
        <v>0</v>
      </c>
      <c r="AQ243" s="1" t="s">
        <v>69</v>
      </c>
      <c r="AR243" s="1">
        <v>4</v>
      </c>
      <c r="AS243" s="1" t="s">
        <v>75</v>
      </c>
      <c r="AT243" s="1">
        <v>0</v>
      </c>
      <c r="AU243" s="1" t="s">
        <v>69</v>
      </c>
      <c r="AV243" s="1" t="s">
        <v>83</v>
      </c>
      <c r="AW243" s="1" t="s">
        <v>96</v>
      </c>
      <c r="AX243" s="1">
        <v>0</v>
      </c>
      <c r="AY243" s="1">
        <v>0</v>
      </c>
      <c r="AZ243" s="1" t="s">
        <v>98</v>
      </c>
      <c r="BA243" s="1" t="s">
        <v>99</v>
      </c>
      <c r="BB243" s="1" t="s">
        <v>1564</v>
      </c>
      <c r="BC243" s="1" t="s">
        <v>81</v>
      </c>
      <c r="BD243" s="1" t="s">
        <v>1465</v>
      </c>
      <c r="BE243" s="1" t="s">
        <v>99</v>
      </c>
      <c r="BF243" s="5" t="s">
        <v>83</v>
      </c>
    </row>
    <row r="244" spans="1:58" x14ac:dyDescent="0.35">
      <c r="A244" s="4">
        <v>243</v>
      </c>
      <c r="B244" s="1" t="s">
        <v>1565</v>
      </c>
      <c r="C244" s="1" t="s">
        <v>904</v>
      </c>
      <c r="D244" s="1" t="s">
        <v>1566</v>
      </c>
      <c r="E244" s="1" t="s">
        <v>69</v>
      </c>
      <c r="F244" s="1" t="s">
        <v>69</v>
      </c>
      <c r="G244" s="1" t="s">
        <v>69</v>
      </c>
      <c r="H244" s="1" t="s">
        <v>69</v>
      </c>
      <c r="I244" s="1" t="s">
        <v>106</v>
      </c>
      <c r="J244" s="1" t="s">
        <v>292</v>
      </c>
      <c r="K244" s="1">
        <v>18</v>
      </c>
      <c r="L244" s="1" t="s">
        <v>131</v>
      </c>
      <c r="M244" s="1" t="s">
        <v>73</v>
      </c>
      <c r="N244" s="1" t="s">
        <v>95</v>
      </c>
      <c r="O244" s="1">
        <v>4</v>
      </c>
      <c r="P244" s="1">
        <v>4</v>
      </c>
      <c r="Q244" s="1">
        <f>data[[#This Row],[Nilai Kepentingan Dimensi Persyaratan]]-data[[#This Row],[Nilai Kepuasan Dimensi Persyaratan]]</f>
        <v>0</v>
      </c>
      <c r="R244" s="1">
        <v>4</v>
      </c>
      <c r="S244" s="1">
        <v>4</v>
      </c>
      <c r="T244" s="1">
        <f>data[[#This Row],[Nilai Kepentingan Dimensi Prosedur]]-data[[#This Row],[Nilai Kepuasan Dimensi Prosedur]]</f>
        <v>0</v>
      </c>
      <c r="U244" s="1">
        <v>4</v>
      </c>
      <c r="V244" s="1">
        <v>4</v>
      </c>
      <c r="W244" s="1">
        <f>data[[#This Row],[Nilai Kepentingan Dimensi Waktu Pelayanan/Penyelesaian]]-data[[#This Row],[Nilai Kepuasan Dimensi Waktu Pelayanan/Penyelesaian]]</f>
        <v>0</v>
      </c>
      <c r="X244" s="1">
        <v>4</v>
      </c>
      <c r="Y244" s="1">
        <v>4</v>
      </c>
      <c r="Z244" s="1">
        <f>data[[#This Row],[Nilai Kepentingan Dimensi Tarif/ Biaya]]-data[[#This Row],[Nilai Kepuasan Dimensi Tarif / Biaya]]</f>
        <v>0</v>
      </c>
      <c r="AA244" s="1">
        <v>4</v>
      </c>
      <c r="AB244" s="1">
        <v>4</v>
      </c>
      <c r="AC244" s="1">
        <f>data[[#This Row],[Nilai Kepentingan Dimensi Produk Spesifikasi Jenis Layanan]]-data[[#This Row],[Nilai Kepuasan Dimensi Produk Spesifikasi Jenis Layanan]]</f>
        <v>0</v>
      </c>
      <c r="AD244" s="1">
        <v>4</v>
      </c>
      <c r="AE244" s="1">
        <v>4</v>
      </c>
      <c r="AF244" s="1">
        <f>data[[#This Row],[Nilai Kepentingan Dimensi Kompetensi Pelaksana]]-data[[#This Row],[Nilai Kepuasan Dimensi Kompetensi Pelaksana]]</f>
        <v>0</v>
      </c>
      <c r="AG244" s="1">
        <v>4</v>
      </c>
      <c r="AH244" s="1">
        <v>4</v>
      </c>
      <c r="AI244" s="1">
        <f>data[[#This Row],[Nilai Kepentingan Dimensi Perilaku Pelaksana]]-data[[#This Row],[Nilai Kepuasan Dimensi Perilaku Pelaksana]]</f>
        <v>0</v>
      </c>
      <c r="AJ244" s="1">
        <v>4</v>
      </c>
      <c r="AK244" s="1">
        <v>4</v>
      </c>
      <c r="AL244" s="1">
        <f>data[[#This Row],[Nilai Kepentingan Dimensi Penanganan Pengaduan, Saran &amp; Masukan]]-data[[#This Row],[Nilai Kepuasan Dimensi Penanganan Pengaduan, Saran &amp; Masukan]]</f>
        <v>0</v>
      </c>
      <c r="AM244" s="1">
        <v>3</v>
      </c>
      <c r="AN244" s="1">
        <v>4</v>
      </c>
      <c r="AO244" s="1">
        <f>data[[#This Row],[Nilai Kepentingan Dimensi Kualitas Sarana dan Prasarana]]-data[[#This Row],[Nilai Kepuasan Dimensi Kualitas Sarana dan Prasarana]]</f>
        <v>1</v>
      </c>
      <c r="AP244" s="1">
        <v>0</v>
      </c>
      <c r="AQ244" s="1" t="s">
        <v>69</v>
      </c>
      <c r="AR244" s="1">
        <v>0</v>
      </c>
      <c r="AS244" s="1" t="s">
        <v>69</v>
      </c>
      <c r="AT244" s="1">
        <v>0</v>
      </c>
      <c r="AU244" s="1" t="s">
        <v>69</v>
      </c>
      <c r="AV244" s="1" t="s">
        <v>532</v>
      </c>
      <c r="AW244" s="1" t="s">
        <v>77</v>
      </c>
      <c r="AX244" s="1">
        <v>2</v>
      </c>
      <c r="AY244" s="1">
        <v>3</v>
      </c>
      <c r="AZ244" s="1" t="s">
        <v>802</v>
      </c>
      <c r="BA244" s="1" t="s">
        <v>79</v>
      </c>
      <c r="BB244" s="1" t="s">
        <v>1564</v>
      </c>
      <c r="BC244" s="1" t="s">
        <v>81</v>
      </c>
      <c r="BD244" s="1" t="s">
        <v>555</v>
      </c>
      <c r="BE244" s="1" t="s">
        <v>79</v>
      </c>
      <c r="BF244" s="5" t="s">
        <v>83</v>
      </c>
    </row>
    <row r="245" spans="1:58" x14ac:dyDescent="0.35">
      <c r="A245" s="4">
        <v>244</v>
      </c>
      <c r="B245" s="1" t="s">
        <v>1568</v>
      </c>
      <c r="C245" s="1" t="s">
        <v>63</v>
      </c>
      <c r="D245" s="1" t="s">
        <v>136</v>
      </c>
      <c r="E245" s="1" t="s">
        <v>69</v>
      </c>
      <c r="F245" s="1" t="s">
        <v>69</v>
      </c>
      <c r="G245" s="1" t="s">
        <v>69</v>
      </c>
      <c r="H245" s="1" t="s">
        <v>69</v>
      </c>
      <c r="I245" s="1" t="s">
        <v>70</v>
      </c>
      <c r="J245" s="1" t="s">
        <v>292</v>
      </c>
      <c r="K245" s="1">
        <v>18</v>
      </c>
      <c r="L245" s="1" t="s">
        <v>131</v>
      </c>
      <c r="M245" s="1" t="s">
        <v>93</v>
      </c>
      <c r="N245" s="1" t="s">
        <v>95</v>
      </c>
      <c r="O245" s="1">
        <v>3</v>
      </c>
      <c r="P245" s="1">
        <v>3</v>
      </c>
      <c r="Q245" s="1">
        <f>data[[#This Row],[Nilai Kepentingan Dimensi Persyaratan]]-data[[#This Row],[Nilai Kepuasan Dimensi Persyaratan]]</f>
        <v>0</v>
      </c>
      <c r="R245" s="1">
        <v>3</v>
      </c>
      <c r="S245" s="1">
        <v>3</v>
      </c>
      <c r="T245" s="1">
        <f>data[[#This Row],[Nilai Kepentingan Dimensi Prosedur]]-data[[#This Row],[Nilai Kepuasan Dimensi Prosedur]]</f>
        <v>0</v>
      </c>
      <c r="U245" s="1">
        <v>3</v>
      </c>
      <c r="V245" s="1">
        <v>3</v>
      </c>
      <c r="W245" s="1">
        <f>data[[#This Row],[Nilai Kepentingan Dimensi Waktu Pelayanan/Penyelesaian]]-data[[#This Row],[Nilai Kepuasan Dimensi Waktu Pelayanan/Penyelesaian]]</f>
        <v>0</v>
      </c>
      <c r="X245" s="1">
        <v>3</v>
      </c>
      <c r="Y245" s="1">
        <v>3</v>
      </c>
      <c r="Z245" s="1">
        <f>data[[#This Row],[Nilai Kepentingan Dimensi Tarif/ Biaya]]-data[[#This Row],[Nilai Kepuasan Dimensi Tarif / Biaya]]</f>
        <v>0</v>
      </c>
      <c r="AA245" s="1">
        <v>3</v>
      </c>
      <c r="AB245" s="1">
        <v>3</v>
      </c>
      <c r="AC245" s="1">
        <f>data[[#This Row],[Nilai Kepentingan Dimensi Produk Spesifikasi Jenis Layanan]]-data[[#This Row],[Nilai Kepuasan Dimensi Produk Spesifikasi Jenis Layanan]]</f>
        <v>0</v>
      </c>
      <c r="AD245" s="1">
        <v>3</v>
      </c>
      <c r="AE245" s="1">
        <v>3</v>
      </c>
      <c r="AF245" s="1">
        <f>data[[#This Row],[Nilai Kepentingan Dimensi Kompetensi Pelaksana]]-data[[#This Row],[Nilai Kepuasan Dimensi Kompetensi Pelaksana]]</f>
        <v>0</v>
      </c>
      <c r="AG245" s="1">
        <v>3</v>
      </c>
      <c r="AH245" s="1">
        <v>3</v>
      </c>
      <c r="AI245" s="1">
        <f>data[[#This Row],[Nilai Kepentingan Dimensi Perilaku Pelaksana]]-data[[#This Row],[Nilai Kepuasan Dimensi Perilaku Pelaksana]]</f>
        <v>0</v>
      </c>
      <c r="AJ245" s="1">
        <v>3</v>
      </c>
      <c r="AK245" s="1">
        <v>3</v>
      </c>
      <c r="AL245" s="1">
        <f>data[[#This Row],[Nilai Kepentingan Dimensi Penanganan Pengaduan, Saran &amp; Masukan]]-data[[#This Row],[Nilai Kepuasan Dimensi Penanganan Pengaduan, Saran &amp; Masukan]]</f>
        <v>0</v>
      </c>
      <c r="AM245" s="1">
        <v>3</v>
      </c>
      <c r="AN245" s="1">
        <v>3</v>
      </c>
      <c r="AO245" s="1">
        <f>data[[#This Row],[Nilai Kepentingan Dimensi Kualitas Sarana dan Prasarana]]-data[[#This Row],[Nilai Kepuasan Dimensi Kualitas Sarana dan Prasarana]]</f>
        <v>0</v>
      </c>
      <c r="AP245" s="1">
        <v>0</v>
      </c>
      <c r="AQ245" s="1" t="s">
        <v>69</v>
      </c>
      <c r="AR245" s="1">
        <v>0</v>
      </c>
      <c r="AS245" s="1" t="s">
        <v>69</v>
      </c>
      <c r="AT245" s="1">
        <v>0</v>
      </c>
      <c r="AU245" s="1" t="s">
        <v>69</v>
      </c>
      <c r="AV245" s="1" t="s">
        <v>1572</v>
      </c>
      <c r="AW245" s="1" t="s">
        <v>77</v>
      </c>
      <c r="AX245" s="1">
        <v>2</v>
      </c>
      <c r="AY245" s="1">
        <v>3</v>
      </c>
      <c r="AZ245" s="1" t="s">
        <v>1573</v>
      </c>
      <c r="BA245" s="1" t="s">
        <v>235</v>
      </c>
      <c r="BB245" s="1" t="s">
        <v>98</v>
      </c>
      <c r="BC245" s="1" t="s">
        <v>99</v>
      </c>
      <c r="BD245" s="1" t="s">
        <v>1574</v>
      </c>
      <c r="BE245" s="1" t="s">
        <v>146</v>
      </c>
      <c r="BF245" s="5" t="s">
        <v>83</v>
      </c>
    </row>
    <row r="246" spans="1:58" x14ac:dyDescent="0.35">
      <c r="A246" s="4">
        <v>245</v>
      </c>
      <c r="B246" s="1" t="s">
        <v>1575</v>
      </c>
      <c r="C246" s="1" t="s">
        <v>63</v>
      </c>
      <c r="D246" s="1" t="s">
        <v>125</v>
      </c>
      <c r="E246" s="1" t="s">
        <v>69</v>
      </c>
      <c r="F246" s="1" t="s">
        <v>69</v>
      </c>
      <c r="G246" s="1" t="s">
        <v>69</v>
      </c>
      <c r="H246" s="1" t="s">
        <v>69</v>
      </c>
      <c r="I246" s="1" t="s">
        <v>70</v>
      </c>
      <c r="J246" s="1" t="s">
        <v>292</v>
      </c>
      <c r="K246" s="1">
        <v>26</v>
      </c>
      <c r="L246" s="1" t="s">
        <v>92</v>
      </c>
      <c r="M246" s="1" t="s">
        <v>93</v>
      </c>
      <c r="N246" s="1" t="s">
        <v>74</v>
      </c>
      <c r="O246" s="1">
        <v>3</v>
      </c>
      <c r="P246" s="1">
        <v>3</v>
      </c>
      <c r="Q246" s="1">
        <f>data[[#This Row],[Nilai Kepentingan Dimensi Persyaratan]]-data[[#This Row],[Nilai Kepuasan Dimensi Persyaratan]]</f>
        <v>0</v>
      </c>
      <c r="R246" s="1">
        <v>4</v>
      </c>
      <c r="S246" s="1">
        <v>3</v>
      </c>
      <c r="T246" s="1">
        <f>data[[#This Row],[Nilai Kepentingan Dimensi Prosedur]]-data[[#This Row],[Nilai Kepuasan Dimensi Prosedur]]</f>
        <v>-1</v>
      </c>
      <c r="U246" s="1">
        <v>4</v>
      </c>
      <c r="V246" s="1">
        <v>3</v>
      </c>
      <c r="W246" s="1">
        <f>data[[#This Row],[Nilai Kepentingan Dimensi Waktu Pelayanan/Penyelesaian]]-data[[#This Row],[Nilai Kepuasan Dimensi Waktu Pelayanan/Penyelesaian]]</f>
        <v>-1</v>
      </c>
      <c r="X246" s="1">
        <v>3</v>
      </c>
      <c r="Y246" s="1">
        <v>3</v>
      </c>
      <c r="Z246" s="1">
        <f>data[[#This Row],[Nilai Kepentingan Dimensi Tarif/ Biaya]]-data[[#This Row],[Nilai Kepuasan Dimensi Tarif / Biaya]]</f>
        <v>0</v>
      </c>
      <c r="AA246" s="1">
        <v>3</v>
      </c>
      <c r="AB246" s="1">
        <v>4</v>
      </c>
      <c r="AC246" s="1">
        <f>data[[#This Row],[Nilai Kepentingan Dimensi Produk Spesifikasi Jenis Layanan]]-data[[#This Row],[Nilai Kepuasan Dimensi Produk Spesifikasi Jenis Layanan]]</f>
        <v>1</v>
      </c>
      <c r="AD246" s="1">
        <v>4</v>
      </c>
      <c r="AE246" s="1">
        <v>3</v>
      </c>
      <c r="AF246" s="1">
        <f>data[[#This Row],[Nilai Kepentingan Dimensi Kompetensi Pelaksana]]-data[[#This Row],[Nilai Kepuasan Dimensi Kompetensi Pelaksana]]</f>
        <v>-1</v>
      </c>
      <c r="AG246" s="1">
        <v>3</v>
      </c>
      <c r="AH246" s="1">
        <v>3</v>
      </c>
      <c r="AI246" s="1">
        <f>data[[#This Row],[Nilai Kepentingan Dimensi Perilaku Pelaksana]]-data[[#This Row],[Nilai Kepuasan Dimensi Perilaku Pelaksana]]</f>
        <v>0</v>
      </c>
      <c r="AJ246" s="1">
        <v>3</v>
      </c>
      <c r="AK246" s="1">
        <v>4</v>
      </c>
      <c r="AL246" s="1">
        <f>data[[#This Row],[Nilai Kepentingan Dimensi Penanganan Pengaduan, Saran &amp; Masukan]]-data[[#This Row],[Nilai Kepuasan Dimensi Penanganan Pengaduan, Saran &amp; Masukan]]</f>
        <v>1</v>
      </c>
      <c r="AM246" s="1">
        <v>4</v>
      </c>
      <c r="AN246" s="1">
        <v>4</v>
      </c>
      <c r="AO246" s="1">
        <f>data[[#This Row],[Nilai Kepentingan Dimensi Kualitas Sarana dan Prasarana]]-data[[#This Row],[Nilai Kepuasan Dimensi Kualitas Sarana dan Prasarana]]</f>
        <v>0</v>
      </c>
      <c r="AP246" s="1">
        <v>0</v>
      </c>
      <c r="AQ246" s="1" t="s">
        <v>69</v>
      </c>
      <c r="AR246" s="1">
        <v>3</v>
      </c>
      <c r="AS246" s="1" t="s">
        <v>75</v>
      </c>
      <c r="AT246" s="1">
        <v>0</v>
      </c>
      <c r="AU246" s="1" t="s">
        <v>69</v>
      </c>
      <c r="AV246" s="1" t="s">
        <v>83</v>
      </c>
      <c r="AW246" s="1" t="s">
        <v>96</v>
      </c>
      <c r="AX246" s="1">
        <v>0</v>
      </c>
      <c r="AY246" s="1">
        <v>0</v>
      </c>
      <c r="AZ246" s="1" t="s">
        <v>98</v>
      </c>
      <c r="BA246" s="1" t="s">
        <v>99</v>
      </c>
      <c r="BB246" s="1" t="s">
        <v>1579</v>
      </c>
      <c r="BC246" s="1" t="s">
        <v>157</v>
      </c>
      <c r="BD246" s="1" t="s">
        <v>503</v>
      </c>
      <c r="BE246" s="1" t="s">
        <v>79</v>
      </c>
      <c r="BF246" s="5" t="s">
        <v>83</v>
      </c>
    </row>
    <row r="247" spans="1:58" x14ac:dyDescent="0.35">
      <c r="A247" s="4">
        <v>246</v>
      </c>
      <c r="B247" s="1" t="s">
        <v>1580</v>
      </c>
      <c r="C247" s="1" t="s">
        <v>904</v>
      </c>
      <c r="D247" s="1" t="s">
        <v>1582</v>
      </c>
      <c r="E247" s="1" t="s">
        <v>69</v>
      </c>
      <c r="F247" s="1" t="s">
        <v>69</v>
      </c>
      <c r="G247" s="1" t="s">
        <v>69</v>
      </c>
      <c r="H247" s="1" t="s">
        <v>69</v>
      </c>
      <c r="I247" s="1" t="s">
        <v>70</v>
      </c>
      <c r="J247" s="1" t="s">
        <v>292</v>
      </c>
      <c r="K247" s="1">
        <v>20</v>
      </c>
      <c r="L247" s="1" t="s">
        <v>131</v>
      </c>
      <c r="M247" s="1" t="s">
        <v>93</v>
      </c>
      <c r="N247" s="1" t="s">
        <v>95</v>
      </c>
      <c r="O247" s="1">
        <v>4</v>
      </c>
      <c r="P247" s="1">
        <v>4</v>
      </c>
      <c r="Q247" s="1">
        <f>data[[#This Row],[Nilai Kepentingan Dimensi Persyaratan]]-data[[#This Row],[Nilai Kepuasan Dimensi Persyaratan]]</f>
        <v>0</v>
      </c>
      <c r="R247" s="1">
        <v>4</v>
      </c>
      <c r="S247" s="1">
        <v>4</v>
      </c>
      <c r="T247" s="1">
        <f>data[[#This Row],[Nilai Kepentingan Dimensi Prosedur]]-data[[#This Row],[Nilai Kepuasan Dimensi Prosedur]]</f>
        <v>0</v>
      </c>
      <c r="U247" s="1">
        <v>4</v>
      </c>
      <c r="V247" s="1">
        <v>4</v>
      </c>
      <c r="W247" s="1">
        <f>data[[#This Row],[Nilai Kepentingan Dimensi Waktu Pelayanan/Penyelesaian]]-data[[#This Row],[Nilai Kepuasan Dimensi Waktu Pelayanan/Penyelesaian]]</f>
        <v>0</v>
      </c>
      <c r="X247" s="1">
        <v>4</v>
      </c>
      <c r="Y247" s="1">
        <v>4</v>
      </c>
      <c r="Z247" s="1">
        <f>data[[#This Row],[Nilai Kepentingan Dimensi Tarif/ Biaya]]-data[[#This Row],[Nilai Kepuasan Dimensi Tarif / Biaya]]</f>
        <v>0</v>
      </c>
      <c r="AA247" s="1">
        <v>4</v>
      </c>
      <c r="AB247" s="1">
        <v>4</v>
      </c>
      <c r="AC247" s="1">
        <f>data[[#This Row],[Nilai Kepentingan Dimensi Produk Spesifikasi Jenis Layanan]]-data[[#This Row],[Nilai Kepuasan Dimensi Produk Spesifikasi Jenis Layanan]]</f>
        <v>0</v>
      </c>
      <c r="AD247" s="1">
        <v>4</v>
      </c>
      <c r="AE247" s="1">
        <v>4</v>
      </c>
      <c r="AF247" s="1">
        <f>data[[#This Row],[Nilai Kepentingan Dimensi Kompetensi Pelaksana]]-data[[#This Row],[Nilai Kepuasan Dimensi Kompetensi Pelaksana]]</f>
        <v>0</v>
      </c>
      <c r="AG247" s="1">
        <v>4</v>
      </c>
      <c r="AH247" s="1">
        <v>4</v>
      </c>
      <c r="AI247" s="1">
        <f>data[[#This Row],[Nilai Kepentingan Dimensi Perilaku Pelaksana]]-data[[#This Row],[Nilai Kepuasan Dimensi Perilaku Pelaksana]]</f>
        <v>0</v>
      </c>
      <c r="AJ247" s="1">
        <v>4</v>
      </c>
      <c r="AK247" s="1">
        <v>4</v>
      </c>
      <c r="AL247" s="1">
        <f>data[[#This Row],[Nilai Kepentingan Dimensi Penanganan Pengaduan, Saran &amp; Masukan]]-data[[#This Row],[Nilai Kepuasan Dimensi Penanganan Pengaduan, Saran &amp; Masukan]]</f>
        <v>0</v>
      </c>
      <c r="AM247" s="1">
        <v>3</v>
      </c>
      <c r="AN247" s="1">
        <v>4</v>
      </c>
      <c r="AO247" s="1">
        <f>data[[#This Row],[Nilai Kepentingan Dimensi Kualitas Sarana dan Prasarana]]-data[[#This Row],[Nilai Kepuasan Dimensi Kualitas Sarana dan Prasarana]]</f>
        <v>1</v>
      </c>
      <c r="AP247" s="1">
        <v>3</v>
      </c>
      <c r="AQ247" s="1" t="s">
        <v>75</v>
      </c>
      <c r="AR247" s="1">
        <v>0</v>
      </c>
      <c r="AS247" s="1" t="s">
        <v>69</v>
      </c>
      <c r="AT247" s="1">
        <v>0</v>
      </c>
      <c r="AU247" s="1" t="s">
        <v>69</v>
      </c>
      <c r="AV247" s="1" t="s">
        <v>83</v>
      </c>
      <c r="AW247" s="1" t="s">
        <v>96</v>
      </c>
      <c r="AX247" s="1">
        <v>0</v>
      </c>
      <c r="AY247" s="1">
        <v>0</v>
      </c>
      <c r="AZ247" s="1" t="s">
        <v>98</v>
      </c>
      <c r="BA247" s="1" t="s">
        <v>99</v>
      </c>
      <c r="BB247" s="1" t="s">
        <v>98</v>
      </c>
      <c r="BC247" s="1" t="s">
        <v>99</v>
      </c>
      <c r="BD247" s="1" t="s">
        <v>1585</v>
      </c>
      <c r="BE247" s="1" t="s">
        <v>146</v>
      </c>
      <c r="BF247" s="5" t="s">
        <v>83</v>
      </c>
    </row>
    <row r="248" spans="1:58" x14ac:dyDescent="0.35">
      <c r="A248" s="4">
        <v>247</v>
      </c>
      <c r="B248" s="1" t="s">
        <v>1586</v>
      </c>
      <c r="C248" s="1" t="s">
        <v>1588</v>
      </c>
      <c r="D248" s="1" t="s">
        <v>1589</v>
      </c>
      <c r="E248" s="1" t="s">
        <v>69</v>
      </c>
      <c r="F248" s="1" t="s">
        <v>69</v>
      </c>
      <c r="G248" s="1" t="s">
        <v>69</v>
      </c>
      <c r="H248" s="1" t="s">
        <v>69</v>
      </c>
      <c r="I248" s="1" t="s">
        <v>106</v>
      </c>
      <c r="J248" s="1" t="s">
        <v>271</v>
      </c>
      <c r="K248" s="1">
        <v>31</v>
      </c>
      <c r="L248" s="1" t="s">
        <v>109</v>
      </c>
      <c r="M248" s="1" t="s">
        <v>73</v>
      </c>
      <c r="N248" s="1" t="s">
        <v>133</v>
      </c>
      <c r="O248" s="1">
        <v>3</v>
      </c>
      <c r="P248" s="1">
        <v>3</v>
      </c>
      <c r="Q248" s="1">
        <f>data[[#This Row],[Nilai Kepentingan Dimensi Persyaratan]]-data[[#This Row],[Nilai Kepuasan Dimensi Persyaratan]]</f>
        <v>0</v>
      </c>
      <c r="R248" s="1">
        <v>3</v>
      </c>
      <c r="S248" s="1">
        <v>3</v>
      </c>
      <c r="T248" s="1">
        <f>data[[#This Row],[Nilai Kepentingan Dimensi Prosedur]]-data[[#This Row],[Nilai Kepuasan Dimensi Prosedur]]</f>
        <v>0</v>
      </c>
      <c r="U248" s="1">
        <v>3</v>
      </c>
      <c r="V248" s="1">
        <v>3</v>
      </c>
      <c r="W248" s="1">
        <f>data[[#This Row],[Nilai Kepentingan Dimensi Waktu Pelayanan/Penyelesaian]]-data[[#This Row],[Nilai Kepuasan Dimensi Waktu Pelayanan/Penyelesaian]]</f>
        <v>0</v>
      </c>
      <c r="X248" s="1">
        <v>3</v>
      </c>
      <c r="Y248" s="1">
        <v>3</v>
      </c>
      <c r="Z248" s="1">
        <f>data[[#This Row],[Nilai Kepentingan Dimensi Tarif/ Biaya]]-data[[#This Row],[Nilai Kepuasan Dimensi Tarif / Biaya]]</f>
        <v>0</v>
      </c>
      <c r="AA248" s="1">
        <v>3</v>
      </c>
      <c r="AB248" s="1">
        <v>3</v>
      </c>
      <c r="AC248" s="1">
        <f>data[[#This Row],[Nilai Kepentingan Dimensi Produk Spesifikasi Jenis Layanan]]-data[[#This Row],[Nilai Kepuasan Dimensi Produk Spesifikasi Jenis Layanan]]</f>
        <v>0</v>
      </c>
      <c r="AD248" s="1">
        <v>3</v>
      </c>
      <c r="AE248" s="1">
        <v>3</v>
      </c>
      <c r="AF248" s="1">
        <f>data[[#This Row],[Nilai Kepentingan Dimensi Kompetensi Pelaksana]]-data[[#This Row],[Nilai Kepuasan Dimensi Kompetensi Pelaksana]]</f>
        <v>0</v>
      </c>
      <c r="AG248" s="1">
        <v>4</v>
      </c>
      <c r="AH248" s="1">
        <v>3</v>
      </c>
      <c r="AI248" s="1">
        <f>data[[#This Row],[Nilai Kepentingan Dimensi Perilaku Pelaksana]]-data[[#This Row],[Nilai Kepuasan Dimensi Perilaku Pelaksana]]</f>
        <v>-1</v>
      </c>
      <c r="AJ248" s="1">
        <v>4</v>
      </c>
      <c r="AK248" s="1">
        <v>3</v>
      </c>
      <c r="AL248" s="1">
        <f>data[[#This Row],[Nilai Kepentingan Dimensi Penanganan Pengaduan, Saran &amp; Masukan]]-data[[#This Row],[Nilai Kepuasan Dimensi Penanganan Pengaduan, Saran &amp; Masukan]]</f>
        <v>-1</v>
      </c>
      <c r="AM248" s="1">
        <v>3</v>
      </c>
      <c r="AN248" s="1">
        <v>3</v>
      </c>
      <c r="AO248" s="1">
        <f>data[[#This Row],[Nilai Kepentingan Dimensi Kualitas Sarana dan Prasarana]]-data[[#This Row],[Nilai Kepuasan Dimensi Kualitas Sarana dan Prasarana]]</f>
        <v>0</v>
      </c>
      <c r="AP248" s="1">
        <v>3</v>
      </c>
      <c r="AQ248" s="1" t="s">
        <v>75</v>
      </c>
      <c r="AR248" s="1">
        <v>0</v>
      </c>
      <c r="AS248" s="1" t="s">
        <v>69</v>
      </c>
      <c r="AT248" s="1">
        <v>0</v>
      </c>
      <c r="AU248" s="1" t="s">
        <v>69</v>
      </c>
      <c r="AV248" s="1" t="s">
        <v>83</v>
      </c>
      <c r="AW248" s="1" t="s">
        <v>96</v>
      </c>
      <c r="AX248" s="1">
        <v>0</v>
      </c>
      <c r="AY248" s="1">
        <v>0</v>
      </c>
      <c r="AZ248" s="1" t="s">
        <v>98</v>
      </c>
      <c r="BA248" s="1" t="s">
        <v>99</v>
      </c>
      <c r="BB248" s="1" t="s">
        <v>1593</v>
      </c>
      <c r="BC248" s="1" t="s">
        <v>157</v>
      </c>
      <c r="BD248" s="1" t="s">
        <v>98</v>
      </c>
      <c r="BE248" s="1" t="s">
        <v>99</v>
      </c>
      <c r="BF248" s="5" t="s">
        <v>98</v>
      </c>
    </row>
    <row r="249" spans="1:58" x14ac:dyDescent="0.35">
      <c r="A249" s="4">
        <v>248</v>
      </c>
      <c r="B249" s="1" t="s">
        <v>881</v>
      </c>
      <c r="C249" s="1" t="s">
        <v>63</v>
      </c>
      <c r="D249" s="1" t="s">
        <v>63</v>
      </c>
      <c r="E249" s="1" t="s">
        <v>69</v>
      </c>
      <c r="F249" s="1" t="s">
        <v>69</v>
      </c>
      <c r="G249" s="1" t="s">
        <v>69</v>
      </c>
      <c r="H249" s="1" t="s">
        <v>69</v>
      </c>
      <c r="I249" s="1" t="s">
        <v>70</v>
      </c>
      <c r="J249" s="1" t="s">
        <v>1180</v>
      </c>
      <c r="K249" s="1">
        <v>43</v>
      </c>
      <c r="L249" s="1" t="s">
        <v>197</v>
      </c>
      <c r="M249" s="1" t="s">
        <v>93</v>
      </c>
      <c r="N249" s="1" t="s">
        <v>110</v>
      </c>
      <c r="O249" s="1">
        <v>4</v>
      </c>
      <c r="P249" s="1">
        <v>4</v>
      </c>
      <c r="Q249" s="1">
        <f>data[[#This Row],[Nilai Kepentingan Dimensi Persyaratan]]-data[[#This Row],[Nilai Kepuasan Dimensi Persyaratan]]</f>
        <v>0</v>
      </c>
      <c r="R249" s="1">
        <v>4</v>
      </c>
      <c r="S249" s="1">
        <v>4</v>
      </c>
      <c r="T249" s="1">
        <f>data[[#This Row],[Nilai Kepentingan Dimensi Prosedur]]-data[[#This Row],[Nilai Kepuasan Dimensi Prosedur]]</f>
        <v>0</v>
      </c>
      <c r="U249" s="1">
        <v>4</v>
      </c>
      <c r="V249" s="1">
        <v>4</v>
      </c>
      <c r="W249" s="1">
        <f>data[[#This Row],[Nilai Kepentingan Dimensi Waktu Pelayanan/Penyelesaian]]-data[[#This Row],[Nilai Kepuasan Dimensi Waktu Pelayanan/Penyelesaian]]</f>
        <v>0</v>
      </c>
      <c r="X249" s="1">
        <v>0</v>
      </c>
      <c r="Y249" s="1">
        <v>0</v>
      </c>
      <c r="Z249" s="1">
        <f>data[[#This Row],[Nilai Kepentingan Dimensi Tarif/ Biaya]]-data[[#This Row],[Nilai Kepuasan Dimensi Tarif / Biaya]]</f>
        <v>0</v>
      </c>
      <c r="AA249" s="1">
        <v>4</v>
      </c>
      <c r="AB249" s="1">
        <v>4</v>
      </c>
      <c r="AC249" s="1">
        <f>data[[#This Row],[Nilai Kepentingan Dimensi Produk Spesifikasi Jenis Layanan]]-data[[#This Row],[Nilai Kepuasan Dimensi Produk Spesifikasi Jenis Layanan]]</f>
        <v>0</v>
      </c>
      <c r="AD249" s="1">
        <v>4</v>
      </c>
      <c r="AE249" s="1">
        <v>4</v>
      </c>
      <c r="AF249" s="1">
        <f>data[[#This Row],[Nilai Kepentingan Dimensi Kompetensi Pelaksana]]-data[[#This Row],[Nilai Kepuasan Dimensi Kompetensi Pelaksana]]</f>
        <v>0</v>
      </c>
      <c r="AG249" s="1">
        <v>4</v>
      </c>
      <c r="AH249" s="1">
        <v>4</v>
      </c>
      <c r="AI249" s="1">
        <f>data[[#This Row],[Nilai Kepentingan Dimensi Perilaku Pelaksana]]-data[[#This Row],[Nilai Kepuasan Dimensi Perilaku Pelaksana]]</f>
        <v>0</v>
      </c>
      <c r="AJ249" s="1">
        <v>4</v>
      </c>
      <c r="AK249" s="1">
        <v>4</v>
      </c>
      <c r="AL249" s="1">
        <f>data[[#This Row],[Nilai Kepentingan Dimensi Penanganan Pengaduan, Saran &amp; Masukan]]-data[[#This Row],[Nilai Kepuasan Dimensi Penanganan Pengaduan, Saran &amp; Masukan]]</f>
        <v>0</v>
      </c>
      <c r="AM249" s="1">
        <v>4</v>
      </c>
      <c r="AN249" s="1">
        <v>4</v>
      </c>
      <c r="AO249" s="1">
        <f>data[[#This Row],[Nilai Kepentingan Dimensi Kualitas Sarana dan Prasarana]]-data[[#This Row],[Nilai Kepuasan Dimensi Kualitas Sarana dan Prasarana]]</f>
        <v>0</v>
      </c>
      <c r="AP249" s="1">
        <v>4</v>
      </c>
      <c r="AQ249" s="1" t="s">
        <v>75</v>
      </c>
      <c r="AR249" s="1">
        <v>0</v>
      </c>
      <c r="AS249" s="1" t="s">
        <v>69</v>
      </c>
      <c r="AT249" s="1">
        <v>0</v>
      </c>
      <c r="AU249" s="1" t="s">
        <v>69</v>
      </c>
      <c r="AV249" s="1" t="s">
        <v>83</v>
      </c>
      <c r="AW249" s="1" t="s">
        <v>96</v>
      </c>
      <c r="AX249" s="1">
        <v>0</v>
      </c>
      <c r="AY249" s="1">
        <v>0</v>
      </c>
      <c r="AZ249" s="1" t="s">
        <v>1598</v>
      </c>
      <c r="BA249" s="1" t="s">
        <v>79</v>
      </c>
      <c r="BB249" s="1" t="s">
        <v>1599</v>
      </c>
      <c r="BC249" s="1" t="s">
        <v>1600</v>
      </c>
      <c r="BD249" s="1" t="s">
        <v>528</v>
      </c>
      <c r="BE249" s="1" t="s">
        <v>79</v>
      </c>
      <c r="BF249" s="5" t="s">
        <v>83</v>
      </c>
    </row>
    <row r="250" spans="1:58" x14ac:dyDescent="0.35">
      <c r="A250" s="4">
        <v>249</v>
      </c>
      <c r="B250" s="1" t="s">
        <v>1601</v>
      </c>
      <c r="C250" s="1" t="s">
        <v>1603</v>
      </c>
      <c r="D250" s="1" t="s">
        <v>1604</v>
      </c>
      <c r="E250" s="1" t="s">
        <v>69</v>
      </c>
      <c r="F250" s="1" t="s">
        <v>69</v>
      </c>
      <c r="G250" s="1" t="s">
        <v>69</v>
      </c>
      <c r="H250" s="1" t="s">
        <v>69</v>
      </c>
      <c r="I250" s="1" t="s">
        <v>106</v>
      </c>
      <c r="J250" s="1" t="s">
        <v>271</v>
      </c>
      <c r="K250" s="1">
        <v>20</v>
      </c>
      <c r="L250" s="1" t="s">
        <v>131</v>
      </c>
      <c r="M250" s="1" t="s">
        <v>73</v>
      </c>
      <c r="N250" s="1" t="s">
        <v>95</v>
      </c>
      <c r="O250" s="1">
        <v>3</v>
      </c>
      <c r="P250" s="1">
        <v>3</v>
      </c>
      <c r="Q250" s="1">
        <f>data[[#This Row],[Nilai Kepentingan Dimensi Persyaratan]]-data[[#This Row],[Nilai Kepuasan Dimensi Persyaratan]]</f>
        <v>0</v>
      </c>
      <c r="R250" s="1">
        <v>3</v>
      </c>
      <c r="S250" s="1">
        <v>3</v>
      </c>
      <c r="T250" s="1">
        <f>data[[#This Row],[Nilai Kepentingan Dimensi Prosedur]]-data[[#This Row],[Nilai Kepuasan Dimensi Prosedur]]</f>
        <v>0</v>
      </c>
      <c r="U250" s="1">
        <v>3</v>
      </c>
      <c r="V250" s="1">
        <v>3</v>
      </c>
      <c r="W250" s="1">
        <f>data[[#This Row],[Nilai Kepentingan Dimensi Waktu Pelayanan/Penyelesaian]]-data[[#This Row],[Nilai Kepuasan Dimensi Waktu Pelayanan/Penyelesaian]]</f>
        <v>0</v>
      </c>
      <c r="X250" s="1">
        <v>3</v>
      </c>
      <c r="Y250" s="1">
        <v>3</v>
      </c>
      <c r="Z250" s="1">
        <f>data[[#This Row],[Nilai Kepentingan Dimensi Tarif/ Biaya]]-data[[#This Row],[Nilai Kepuasan Dimensi Tarif / Biaya]]</f>
        <v>0</v>
      </c>
      <c r="AA250" s="1">
        <v>3</v>
      </c>
      <c r="AB250" s="1">
        <v>3</v>
      </c>
      <c r="AC250" s="1">
        <f>data[[#This Row],[Nilai Kepentingan Dimensi Produk Spesifikasi Jenis Layanan]]-data[[#This Row],[Nilai Kepuasan Dimensi Produk Spesifikasi Jenis Layanan]]</f>
        <v>0</v>
      </c>
      <c r="AD250" s="1">
        <v>4</v>
      </c>
      <c r="AE250" s="1">
        <v>4</v>
      </c>
      <c r="AF250" s="1">
        <f>data[[#This Row],[Nilai Kepentingan Dimensi Kompetensi Pelaksana]]-data[[#This Row],[Nilai Kepuasan Dimensi Kompetensi Pelaksana]]</f>
        <v>0</v>
      </c>
      <c r="AG250" s="1">
        <v>3</v>
      </c>
      <c r="AH250" s="1">
        <v>3</v>
      </c>
      <c r="AI250" s="1">
        <f>data[[#This Row],[Nilai Kepentingan Dimensi Perilaku Pelaksana]]-data[[#This Row],[Nilai Kepuasan Dimensi Perilaku Pelaksana]]</f>
        <v>0</v>
      </c>
      <c r="AJ250" s="1">
        <v>3</v>
      </c>
      <c r="AK250" s="1">
        <v>3</v>
      </c>
      <c r="AL250" s="1">
        <f>data[[#This Row],[Nilai Kepentingan Dimensi Penanganan Pengaduan, Saran &amp; Masukan]]-data[[#This Row],[Nilai Kepuasan Dimensi Penanganan Pengaduan, Saran &amp; Masukan]]</f>
        <v>0</v>
      </c>
      <c r="AM250" s="1">
        <v>3</v>
      </c>
      <c r="AN250" s="1">
        <v>4</v>
      </c>
      <c r="AO250" s="1">
        <f>data[[#This Row],[Nilai Kepentingan Dimensi Kualitas Sarana dan Prasarana]]-data[[#This Row],[Nilai Kepuasan Dimensi Kualitas Sarana dan Prasarana]]</f>
        <v>1</v>
      </c>
      <c r="AP250" s="1">
        <v>3</v>
      </c>
      <c r="AQ250" s="1" t="s">
        <v>75</v>
      </c>
      <c r="AR250" s="1">
        <v>0</v>
      </c>
      <c r="AS250" s="1" t="s">
        <v>69</v>
      </c>
      <c r="AT250" s="1">
        <v>0</v>
      </c>
      <c r="AU250" s="1" t="s">
        <v>69</v>
      </c>
      <c r="AV250" s="1" t="s">
        <v>83</v>
      </c>
      <c r="AW250" s="1" t="s">
        <v>96</v>
      </c>
      <c r="AX250" s="1">
        <v>0</v>
      </c>
      <c r="AY250" s="1">
        <v>0</v>
      </c>
      <c r="AZ250" s="1" t="s">
        <v>98</v>
      </c>
      <c r="BA250" s="1" t="s">
        <v>99</v>
      </c>
      <c r="BB250" s="1" t="s">
        <v>1607</v>
      </c>
      <c r="BC250" s="1" t="s">
        <v>157</v>
      </c>
      <c r="BD250" s="1" t="s">
        <v>98</v>
      </c>
      <c r="BE250" s="1" t="s">
        <v>99</v>
      </c>
      <c r="BF250" s="5" t="s">
        <v>98</v>
      </c>
    </row>
    <row r="251" spans="1:58" x14ac:dyDescent="0.35">
      <c r="A251" s="4">
        <v>250</v>
      </c>
      <c r="B251" s="1" t="s">
        <v>1608</v>
      </c>
      <c r="C251" s="1" t="s">
        <v>63</v>
      </c>
      <c r="D251" s="1" t="s">
        <v>397</v>
      </c>
      <c r="E251" s="1" t="s">
        <v>69</v>
      </c>
      <c r="F251" s="1" t="s">
        <v>69</v>
      </c>
      <c r="G251" s="1" t="s">
        <v>69</v>
      </c>
      <c r="H251" s="1" t="s">
        <v>69</v>
      </c>
      <c r="I251" s="1" t="s">
        <v>106</v>
      </c>
      <c r="J251" s="1" t="s">
        <v>271</v>
      </c>
      <c r="K251" s="1">
        <v>25</v>
      </c>
      <c r="L251" s="1" t="s">
        <v>72</v>
      </c>
      <c r="M251" s="1" t="s">
        <v>93</v>
      </c>
      <c r="N251" s="1" t="s">
        <v>74</v>
      </c>
      <c r="O251" s="1">
        <v>3</v>
      </c>
      <c r="P251" s="1">
        <v>3</v>
      </c>
      <c r="Q251" s="1">
        <f>data[[#This Row],[Nilai Kepentingan Dimensi Persyaratan]]-data[[#This Row],[Nilai Kepuasan Dimensi Persyaratan]]</f>
        <v>0</v>
      </c>
      <c r="R251" s="1">
        <v>3</v>
      </c>
      <c r="S251" s="1">
        <v>3</v>
      </c>
      <c r="T251" s="1">
        <f>data[[#This Row],[Nilai Kepentingan Dimensi Prosedur]]-data[[#This Row],[Nilai Kepuasan Dimensi Prosedur]]</f>
        <v>0</v>
      </c>
      <c r="U251" s="1">
        <v>2</v>
      </c>
      <c r="V251" s="1">
        <v>3</v>
      </c>
      <c r="W251" s="1">
        <f>data[[#This Row],[Nilai Kepentingan Dimensi Waktu Pelayanan/Penyelesaian]]-data[[#This Row],[Nilai Kepuasan Dimensi Waktu Pelayanan/Penyelesaian]]</f>
        <v>1</v>
      </c>
      <c r="X251" s="1">
        <v>3</v>
      </c>
      <c r="Y251" s="1">
        <v>3</v>
      </c>
      <c r="Z251" s="1">
        <f>data[[#This Row],[Nilai Kepentingan Dimensi Tarif/ Biaya]]-data[[#This Row],[Nilai Kepuasan Dimensi Tarif / Biaya]]</f>
        <v>0</v>
      </c>
      <c r="AA251" s="1">
        <v>3</v>
      </c>
      <c r="AB251" s="1">
        <v>3</v>
      </c>
      <c r="AC251" s="1">
        <f>data[[#This Row],[Nilai Kepentingan Dimensi Produk Spesifikasi Jenis Layanan]]-data[[#This Row],[Nilai Kepuasan Dimensi Produk Spesifikasi Jenis Layanan]]</f>
        <v>0</v>
      </c>
      <c r="AD251" s="1">
        <v>3</v>
      </c>
      <c r="AE251" s="1">
        <v>3</v>
      </c>
      <c r="AF251" s="1">
        <f>data[[#This Row],[Nilai Kepentingan Dimensi Kompetensi Pelaksana]]-data[[#This Row],[Nilai Kepuasan Dimensi Kompetensi Pelaksana]]</f>
        <v>0</v>
      </c>
      <c r="AG251" s="1">
        <v>3</v>
      </c>
      <c r="AH251" s="1">
        <v>3</v>
      </c>
      <c r="AI251" s="1">
        <f>data[[#This Row],[Nilai Kepentingan Dimensi Perilaku Pelaksana]]-data[[#This Row],[Nilai Kepuasan Dimensi Perilaku Pelaksana]]</f>
        <v>0</v>
      </c>
      <c r="AJ251" s="1">
        <v>3</v>
      </c>
      <c r="AK251" s="1">
        <v>3</v>
      </c>
      <c r="AL251" s="1">
        <f>data[[#This Row],[Nilai Kepentingan Dimensi Penanganan Pengaduan, Saran &amp; Masukan]]-data[[#This Row],[Nilai Kepuasan Dimensi Penanganan Pengaduan, Saran &amp; Masukan]]</f>
        <v>0</v>
      </c>
      <c r="AM251" s="1">
        <v>3</v>
      </c>
      <c r="AN251" s="1">
        <v>3</v>
      </c>
      <c r="AO251" s="1">
        <f>data[[#This Row],[Nilai Kepentingan Dimensi Kualitas Sarana dan Prasarana]]-data[[#This Row],[Nilai Kepuasan Dimensi Kualitas Sarana dan Prasarana]]</f>
        <v>0</v>
      </c>
      <c r="AP251" s="1">
        <v>3</v>
      </c>
      <c r="AQ251" s="1" t="s">
        <v>75</v>
      </c>
      <c r="AR251" s="1">
        <v>0</v>
      </c>
      <c r="AS251" s="1" t="s">
        <v>69</v>
      </c>
      <c r="AT251" s="1">
        <v>0</v>
      </c>
      <c r="AU251" s="1" t="s">
        <v>69</v>
      </c>
      <c r="AV251" s="1" t="s">
        <v>83</v>
      </c>
      <c r="AW251" s="1" t="s">
        <v>96</v>
      </c>
      <c r="AX251" s="1">
        <v>0</v>
      </c>
      <c r="AY251" s="1">
        <v>0</v>
      </c>
      <c r="AZ251" s="1" t="s">
        <v>98</v>
      </c>
      <c r="BA251" s="1" t="s">
        <v>99</v>
      </c>
      <c r="BB251" s="1" t="s">
        <v>1612</v>
      </c>
      <c r="BC251" s="1" t="s">
        <v>157</v>
      </c>
      <c r="BD251" s="1" t="s">
        <v>99</v>
      </c>
      <c r="BE251" s="1" t="s">
        <v>99</v>
      </c>
      <c r="BF251" s="5" t="s">
        <v>98</v>
      </c>
    </row>
    <row r="252" spans="1:58" x14ac:dyDescent="0.35">
      <c r="A252" s="4">
        <v>251</v>
      </c>
      <c r="B252" s="1" t="s">
        <v>1613</v>
      </c>
      <c r="C252" s="1" t="s">
        <v>63</v>
      </c>
      <c r="D252" s="1" t="s">
        <v>240</v>
      </c>
      <c r="E252" s="1" t="s">
        <v>69</v>
      </c>
      <c r="F252" s="1" t="s">
        <v>69</v>
      </c>
      <c r="G252" s="1" t="s">
        <v>69</v>
      </c>
      <c r="H252" s="1" t="s">
        <v>69</v>
      </c>
      <c r="I252" s="1" t="s">
        <v>106</v>
      </c>
      <c r="J252" s="1" t="s">
        <v>271</v>
      </c>
      <c r="K252" s="1">
        <v>33</v>
      </c>
      <c r="L252" s="1" t="s">
        <v>109</v>
      </c>
      <c r="M252" s="1" t="s">
        <v>73</v>
      </c>
      <c r="N252" s="1" t="s">
        <v>74</v>
      </c>
      <c r="O252" s="1">
        <v>3</v>
      </c>
      <c r="P252" s="1">
        <v>4</v>
      </c>
      <c r="Q252" s="1">
        <f>data[[#This Row],[Nilai Kepentingan Dimensi Persyaratan]]-data[[#This Row],[Nilai Kepuasan Dimensi Persyaratan]]</f>
        <v>1</v>
      </c>
      <c r="R252" s="1">
        <v>3</v>
      </c>
      <c r="S252" s="1">
        <v>3</v>
      </c>
      <c r="T252" s="1">
        <f>data[[#This Row],[Nilai Kepentingan Dimensi Prosedur]]-data[[#This Row],[Nilai Kepuasan Dimensi Prosedur]]</f>
        <v>0</v>
      </c>
      <c r="U252" s="1">
        <v>4</v>
      </c>
      <c r="V252" s="1">
        <v>3</v>
      </c>
      <c r="W252" s="1">
        <f>data[[#This Row],[Nilai Kepentingan Dimensi Waktu Pelayanan/Penyelesaian]]-data[[#This Row],[Nilai Kepuasan Dimensi Waktu Pelayanan/Penyelesaian]]</f>
        <v>-1</v>
      </c>
      <c r="X252" s="1">
        <v>3</v>
      </c>
      <c r="Y252" s="1">
        <v>3</v>
      </c>
      <c r="Z252" s="1">
        <f>data[[#This Row],[Nilai Kepentingan Dimensi Tarif/ Biaya]]-data[[#This Row],[Nilai Kepuasan Dimensi Tarif / Biaya]]</f>
        <v>0</v>
      </c>
      <c r="AA252" s="1">
        <v>4</v>
      </c>
      <c r="AB252" s="1">
        <v>4</v>
      </c>
      <c r="AC252" s="1">
        <f>data[[#This Row],[Nilai Kepentingan Dimensi Produk Spesifikasi Jenis Layanan]]-data[[#This Row],[Nilai Kepuasan Dimensi Produk Spesifikasi Jenis Layanan]]</f>
        <v>0</v>
      </c>
      <c r="AD252" s="1">
        <v>3</v>
      </c>
      <c r="AE252" s="1">
        <v>3</v>
      </c>
      <c r="AF252" s="1">
        <f>data[[#This Row],[Nilai Kepentingan Dimensi Kompetensi Pelaksana]]-data[[#This Row],[Nilai Kepuasan Dimensi Kompetensi Pelaksana]]</f>
        <v>0</v>
      </c>
      <c r="AG252" s="1">
        <v>3</v>
      </c>
      <c r="AH252" s="1">
        <v>3</v>
      </c>
      <c r="AI252" s="1">
        <f>data[[#This Row],[Nilai Kepentingan Dimensi Perilaku Pelaksana]]-data[[#This Row],[Nilai Kepuasan Dimensi Perilaku Pelaksana]]</f>
        <v>0</v>
      </c>
      <c r="AJ252" s="1">
        <v>4</v>
      </c>
      <c r="AK252" s="1">
        <v>4</v>
      </c>
      <c r="AL252" s="1">
        <f>data[[#This Row],[Nilai Kepentingan Dimensi Penanganan Pengaduan, Saran &amp; Masukan]]-data[[#This Row],[Nilai Kepuasan Dimensi Penanganan Pengaduan, Saran &amp; Masukan]]</f>
        <v>0</v>
      </c>
      <c r="AM252" s="1">
        <v>4</v>
      </c>
      <c r="AN252" s="1">
        <v>3</v>
      </c>
      <c r="AO252" s="1">
        <f>data[[#This Row],[Nilai Kepentingan Dimensi Kualitas Sarana dan Prasarana]]-data[[#This Row],[Nilai Kepuasan Dimensi Kualitas Sarana dan Prasarana]]</f>
        <v>-1</v>
      </c>
      <c r="AP252" s="1">
        <v>0</v>
      </c>
      <c r="AQ252" s="1" t="s">
        <v>69</v>
      </c>
      <c r="AR252" s="1">
        <v>0</v>
      </c>
      <c r="AS252" s="1" t="s">
        <v>69</v>
      </c>
      <c r="AT252" s="1">
        <v>0</v>
      </c>
      <c r="AU252" s="1" t="s">
        <v>69</v>
      </c>
      <c r="AV252" s="1" t="s">
        <v>144</v>
      </c>
      <c r="AW252" s="1" t="s">
        <v>144</v>
      </c>
      <c r="AX252" s="1">
        <v>1</v>
      </c>
      <c r="AY252" s="1">
        <v>4</v>
      </c>
      <c r="AZ252" s="1" t="s">
        <v>98</v>
      </c>
      <c r="BA252" s="1" t="s">
        <v>99</v>
      </c>
      <c r="BB252" s="1" t="s">
        <v>1618</v>
      </c>
      <c r="BC252" s="1" t="s">
        <v>157</v>
      </c>
      <c r="BD252" s="1" t="s">
        <v>98</v>
      </c>
      <c r="BE252" s="1" t="s">
        <v>99</v>
      </c>
      <c r="BF252" s="5" t="s">
        <v>98</v>
      </c>
    </row>
    <row r="253" spans="1:58" x14ac:dyDescent="0.35">
      <c r="A253" s="4">
        <v>252</v>
      </c>
      <c r="B253" s="1" t="s">
        <v>1619</v>
      </c>
      <c r="C253" s="1" t="s">
        <v>1621</v>
      </c>
      <c r="D253" s="1" t="s">
        <v>1622</v>
      </c>
      <c r="E253" s="1" t="s">
        <v>69</v>
      </c>
      <c r="F253" s="1" t="s">
        <v>69</v>
      </c>
      <c r="G253" s="1" t="s">
        <v>69</v>
      </c>
      <c r="H253" s="1" t="s">
        <v>69</v>
      </c>
      <c r="I253" s="1" t="s">
        <v>106</v>
      </c>
      <c r="J253" s="1" t="s">
        <v>271</v>
      </c>
      <c r="K253" s="1">
        <v>25</v>
      </c>
      <c r="L253" s="1" t="s">
        <v>72</v>
      </c>
      <c r="M253" s="1" t="s">
        <v>73</v>
      </c>
      <c r="N253" s="1" t="s">
        <v>74</v>
      </c>
      <c r="O253" s="1">
        <v>3</v>
      </c>
      <c r="P253" s="1">
        <v>3</v>
      </c>
      <c r="Q253" s="1">
        <f>data[[#This Row],[Nilai Kepentingan Dimensi Persyaratan]]-data[[#This Row],[Nilai Kepuasan Dimensi Persyaratan]]</f>
        <v>0</v>
      </c>
      <c r="R253" s="1">
        <v>3</v>
      </c>
      <c r="S253" s="1">
        <v>3</v>
      </c>
      <c r="T253" s="1">
        <f>data[[#This Row],[Nilai Kepentingan Dimensi Prosedur]]-data[[#This Row],[Nilai Kepuasan Dimensi Prosedur]]</f>
        <v>0</v>
      </c>
      <c r="U253" s="1">
        <v>3</v>
      </c>
      <c r="V253" s="1">
        <v>3</v>
      </c>
      <c r="W253" s="1">
        <f>data[[#This Row],[Nilai Kepentingan Dimensi Waktu Pelayanan/Penyelesaian]]-data[[#This Row],[Nilai Kepuasan Dimensi Waktu Pelayanan/Penyelesaian]]</f>
        <v>0</v>
      </c>
      <c r="X253" s="1">
        <v>3</v>
      </c>
      <c r="Y253" s="1">
        <v>3</v>
      </c>
      <c r="Z253" s="1">
        <f>data[[#This Row],[Nilai Kepentingan Dimensi Tarif/ Biaya]]-data[[#This Row],[Nilai Kepuasan Dimensi Tarif / Biaya]]</f>
        <v>0</v>
      </c>
      <c r="AA253" s="1">
        <v>3</v>
      </c>
      <c r="AB253" s="1">
        <v>3</v>
      </c>
      <c r="AC253" s="1">
        <f>data[[#This Row],[Nilai Kepentingan Dimensi Produk Spesifikasi Jenis Layanan]]-data[[#This Row],[Nilai Kepuasan Dimensi Produk Spesifikasi Jenis Layanan]]</f>
        <v>0</v>
      </c>
      <c r="AD253" s="1">
        <v>3</v>
      </c>
      <c r="AE253" s="1">
        <v>3</v>
      </c>
      <c r="AF253" s="1">
        <f>data[[#This Row],[Nilai Kepentingan Dimensi Kompetensi Pelaksana]]-data[[#This Row],[Nilai Kepuasan Dimensi Kompetensi Pelaksana]]</f>
        <v>0</v>
      </c>
      <c r="AG253" s="1">
        <v>3</v>
      </c>
      <c r="AH253" s="1">
        <v>3</v>
      </c>
      <c r="AI253" s="1">
        <f>data[[#This Row],[Nilai Kepentingan Dimensi Perilaku Pelaksana]]-data[[#This Row],[Nilai Kepuasan Dimensi Perilaku Pelaksana]]</f>
        <v>0</v>
      </c>
      <c r="AJ253" s="1">
        <v>3</v>
      </c>
      <c r="AK253" s="1">
        <v>3</v>
      </c>
      <c r="AL253" s="1">
        <f>data[[#This Row],[Nilai Kepentingan Dimensi Penanganan Pengaduan, Saran &amp; Masukan]]-data[[#This Row],[Nilai Kepuasan Dimensi Penanganan Pengaduan, Saran &amp; Masukan]]</f>
        <v>0</v>
      </c>
      <c r="AM253" s="1">
        <v>3</v>
      </c>
      <c r="AN253" s="1">
        <v>3</v>
      </c>
      <c r="AO253" s="1">
        <f>data[[#This Row],[Nilai Kepentingan Dimensi Kualitas Sarana dan Prasarana]]-data[[#This Row],[Nilai Kepuasan Dimensi Kualitas Sarana dan Prasarana]]</f>
        <v>0</v>
      </c>
      <c r="AP253" s="1">
        <v>3</v>
      </c>
      <c r="AQ253" s="1" t="s">
        <v>75</v>
      </c>
      <c r="AR253" s="1">
        <v>0</v>
      </c>
      <c r="AS253" s="1" t="s">
        <v>69</v>
      </c>
      <c r="AT253" s="1">
        <v>0</v>
      </c>
      <c r="AU253" s="1" t="s">
        <v>69</v>
      </c>
      <c r="AV253" s="1" t="s">
        <v>83</v>
      </c>
      <c r="AW253" s="1" t="s">
        <v>96</v>
      </c>
      <c r="AX253" s="1">
        <v>0</v>
      </c>
      <c r="AY253" s="1">
        <v>0</v>
      </c>
      <c r="AZ253" s="1" t="s">
        <v>98</v>
      </c>
      <c r="BA253" s="1" t="s">
        <v>99</v>
      </c>
      <c r="BB253" s="1" t="s">
        <v>98</v>
      </c>
      <c r="BC253" s="1" t="s">
        <v>99</v>
      </c>
      <c r="BD253" s="1" t="s">
        <v>98</v>
      </c>
      <c r="BE253" s="1" t="s">
        <v>99</v>
      </c>
      <c r="BF253" s="5" t="s">
        <v>98</v>
      </c>
    </row>
    <row r="254" spans="1:58" x14ac:dyDescent="0.35">
      <c r="A254" s="4">
        <v>253</v>
      </c>
      <c r="B254" s="1" t="s">
        <v>1625</v>
      </c>
      <c r="C254" s="1" t="s">
        <v>63</v>
      </c>
      <c r="D254" s="1" t="s">
        <v>63</v>
      </c>
      <c r="E254" s="1" t="s">
        <v>69</v>
      </c>
      <c r="F254" s="1" t="s">
        <v>69</v>
      </c>
      <c r="G254" s="1" t="s">
        <v>69</v>
      </c>
      <c r="H254" s="1" t="s">
        <v>69</v>
      </c>
      <c r="I254" s="1" t="s">
        <v>106</v>
      </c>
      <c r="J254" s="1" t="s">
        <v>271</v>
      </c>
      <c r="K254" s="1">
        <v>18</v>
      </c>
      <c r="L254" s="1" t="s">
        <v>131</v>
      </c>
      <c r="M254" s="1" t="s">
        <v>73</v>
      </c>
      <c r="N254" s="1" t="s">
        <v>95</v>
      </c>
      <c r="O254" s="1">
        <v>4</v>
      </c>
      <c r="P254" s="1">
        <v>4</v>
      </c>
      <c r="Q254" s="1">
        <f>data[[#This Row],[Nilai Kepentingan Dimensi Persyaratan]]-data[[#This Row],[Nilai Kepuasan Dimensi Persyaratan]]</f>
        <v>0</v>
      </c>
      <c r="R254" s="1">
        <v>4</v>
      </c>
      <c r="S254" s="1">
        <v>4</v>
      </c>
      <c r="T254" s="1">
        <f>data[[#This Row],[Nilai Kepentingan Dimensi Prosedur]]-data[[#This Row],[Nilai Kepuasan Dimensi Prosedur]]</f>
        <v>0</v>
      </c>
      <c r="U254" s="1">
        <v>3</v>
      </c>
      <c r="V254" s="1">
        <v>3</v>
      </c>
      <c r="W254" s="1">
        <f>data[[#This Row],[Nilai Kepentingan Dimensi Waktu Pelayanan/Penyelesaian]]-data[[#This Row],[Nilai Kepuasan Dimensi Waktu Pelayanan/Penyelesaian]]</f>
        <v>0</v>
      </c>
      <c r="X254" s="1">
        <v>3</v>
      </c>
      <c r="Y254" s="1">
        <v>4</v>
      </c>
      <c r="Z254" s="1">
        <f>data[[#This Row],[Nilai Kepentingan Dimensi Tarif/ Biaya]]-data[[#This Row],[Nilai Kepuasan Dimensi Tarif / Biaya]]</f>
        <v>1</v>
      </c>
      <c r="AA254" s="1">
        <v>4</v>
      </c>
      <c r="AB254" s="1">
        <v>4</v>
      </c>
      <c r="AC254" s="1">
        <f>data[[#This Row],[Nilai Kepentingan Dimensi Produk Spesifikasi Jenis Layanan]]-data[[#This Row],[Nilai Kepuasan Dimensi Produk Spesifikasi Jenis Layanan]]</f>
        <v>0</v>
      </c>
      <c r="AD254" s="1">
        <v>4</v>
      </c>
      <c r="AE254" s="1">
        <v>4</v>
      </c>
      <c r="AF254" s="1">
        <f>data[[#This Row],[Nilai Kepentingan Dimensi Kompetensi Pelaksana]]-data[[#This Row],[Nilai Kepuasan Dimensi Kompetensi Pelaksana]]</f>
        <v>0</v>
      </c>
      <c r="AG254" s="1">
        <v>4</v>
      </c>
      <c r="AH254" s="1">
        <v>4</v>
      </c>
      <c r="AI254" s="1">
        <f>data[[#This Row],[Nilai Kepentingan Dimensi Perilaku Pelaksana]]-data[[#This Row],[Nilai Kepuasan Dimensi Perilaku Pelaksana]]</f>
        <v>0</v>
      </c>
      <c r="AJ254" s="1">
        <v>4</v>
      </c>
      <c r="AK254" s="1">
        <v>4</v>
      </c>
      <c r="AL254" s="1">
        <f>data[[#This Row],[Nilai Kepentingan Dimensi Penanganan Pengaduan, Saran &amp; Masukan]]-data[[#This Row],[Nilai Kepuasan Dimensi Penanganan Pengaduan, Saran &amp; Masukan]]</f>
        <v>0</v>
      </c>
      <c r="AM254" s="1">
        <v>4</v>
      </c>
      <c r="AN254" s="1">
        <v>4</v>
      </c>
      <c r="AO254" s="1">
        <f>data[[#This Row],[Nilai Kepentingan Dimensi Kualitas Sarana dan Prasarana]]-data[[#This Row],[Nilai Kepuasan Dimensi Kualitas Sarana dan Prasarana]]</f>
        <v>0</v>
      </c>
      <c r="AP254" s="1">
        <v>0</v>
      </c>
      <c r="AQ254" s="1" t="s">
        <v>69</v>
      </c>
      <c r="AR254" s="1">
        <v>0</v>
      </c>
      <c r="AS254" s="1" t="s">
        <v>69</v>
      </c>
      <c r="AT254" s="1">
        <v>0</v>
      </c>
      <c r="AU254" s="1" t="s">
        <v>69</v>
      </c>
      <c r="AV254" s="1" t="s">
        <v>379</v>
      </c>
      <c r="AW254" s="1" t="s">
        <v>77</v>
      </c>
      <c r="AX254" s="1">
        <v>1</v>
      </c>
      <c r="AY254" s="1">
        <v>4</v>
      </c>
      <c r="AZ254" s="1" t="s">
        <v>98</v>
      </c>
      <c r="BA254" s="1" t="s">
        <v>99</v>
      </c>
      <c r="BB254" s="1" t="s">
        <v>1629</v>
      </c>
      <c r="BC254" s="1" t="s">
        <v>157</v>
      </c>
      <c r="BD254" s="1" t="s">
        <v>98</v>
      </c>
      <c r="BE254" s="1" t="s">
        <v>99</v>
      </c>
      <c r="BF254" s="5" t="s">
        <v>98</v>
      </c>
    </row>
    <row r="255" spans="1:58" x14ac:dyDescent="0.35">
      <c r="A255" s="4">
        <v>254</v>
      </c>
      <c r="B255" s="1" t="s">
        <v>1630</v>
      </c>
      <c r="C255" s="1" t="s">
        <v>904</v>
      </c>
      <c r="D255" s="1" t="s">
        <v>1632</v>
      </c>
      <c r="E255" s="1" t="s">
        <v>69</v>
      </c>
      <c r="F255" s="1" t="s">
        <v>69</v>
      </c>
      <c r="G255" s="1" t="s">
        <v>69</v>
      </c>
      <c r="H255" s="1" t="s">
        <v>69</v>
      </c>
      <c r="I255" s="1" t="s">
        <v>106</v>
      </c>
      <c r="J255" s="1" t="s">
        <v>1168</v>
      </c>
      <c r="K255" s="1">
        <v>37</v>
      </c>
      <c r="L255" s="1" t="s">
        <v>153</v>
      </c>
      <c r="M255" s="1" t="s">
        <v>73</v>
      </c>
      <c r="N255" s="1" t="s">
        <v>74</v>
      </c>
      <c r="O255" s="1">
        <v>4</v>
      </c>
      <c r="P255" s="1">
        <v>4</v>
      </c>
      <c r="Q255" s="1">
        <f>data[[#This Row],[Nilai Kepentingan Dimensi Persyaratan]]-data[[#This Row],[Nilai Kepuasan Dimensi Persyaratan]]</f>
        <v>0</v>
      </c>
      <c r="R255" s="1">
        <v>4</v>
      </c>
      <c r="S255" s="1">
        <v>4</v>
      </c>
      <c r="T255" s="1">
        <f>data[[#This Row],[Nilai Kepentingan Dimensi Prosedur]]-data[[#This Row],[Nilai Kepuasan Dimensi Prosedur]]</f>
        <v>0</v>
      </c>
      <c r="U255" s="1">
        <v>3</v>
      </c>
      <c r="V255" s="1">
        <v>3</v>
      </c>
      <c r="W255" s="1">
        <f>data[[#This Row],[Nilai Kepentingan Dimensi Waktu Pelayanan/Penyelesaian]]-data[[#This Row],[Nilai Kepuasan Dimensi Waktu Pelayanan/Penyelesaian]]</f>
        <v>0</v>
      </c>
      <c r="X255" s="1">
        <v>0</v>
      </c>
      <c r="Y255" s="1">
        <v>0</v>
      </c>
      <c r="Z255" s="1">
        <f>data[[#This Row],[Nilai Kepentingan Dimensi Tarif/ Biaya]]-data[[#This Row],[Nilai Kepuasan Dimensi Tarif / Biaya]]</f>
        <v>0</v>
      </c>
      <c r="AA255" s="1">
        <v>4</v>
      </c>
      <c r="AB255" s="1">
        <v>4</v>
      </c>
      <c r="AC255" s="1">
        <f>data[[#This Row],[Nilai Kepentingan Dimensi Produk Spesifikasi Jenis Layanan]]-data[[#This Row],[Nilai Kepuasan Dimensi Produk Spesifikasi Jenis Layanan]]</f>
        <v>0</v>
      </c>
      <c r="AD255" s="1">
        <v>4</v>
      </c>
      <c r="AE255" s="1">
        <v>4</v>
      </c>
      <c r="AF255" s="1">
        <f>data[[#This Row],[Nilai Kepentingan Dimensi Kompetensi Pelaksana]]-data[[#This Row],[Nilai Kepuasan Dimensi Kompetensi Pelaksana]]</f>
        <v>0</v>
      </c>
      <c r="AG255" s="1">
        <v>4</v>
      </c>
      <c r="AH255" s="1">
        <v>4</v>
      </c>
      <c r="AI255" s="1">
        <f>data[[#This Row],[Nilai Kepentingan Dimensi Perilaku Pelaksana]]-data[[#This Row],[Nilai Kepuasan Dimensi Perilaku Pelaksana]]</f>
        <v>0</v>
      </c>
      <c r="AJ255" s="1">
        <v>4</v>
      </c>
      <c r="AK255" s="1">
        <v>4</v>
      </c>
      <c r="AL255" s="1">
        <f>data[[#This Row],[Nilai Kepentingan Dimensi Penanganan Pengaduan, Saran &amp; Masukan]]-data[[#This Row],[Nilai Kepuasan Dimensi Penanganan Pengaduan, Saran &amp; Masukan]]</f>
        <v>0</v>
      </c>
      <c r="AM255" s="1">
        <v>4</v>
      </c>
      <c r="AN255" s="1">
        <v>4</v>
      </c>
      <c r="AO255" s="1">
        <f>data[[#This Row],[Nilai Kepentingan Dimensi Kualitas Sarana dan Prasarana]]-data[[#This Row],[Nilai Kepuasan Dimensi Kualitas Sarana dan Prasarana]]</f>
        <v>0</v>
      </c>
      <c r="AP255" s="1">
        <v>4</v>
      </c>
      <c r="AQ255" s="1" t="s">
        <v>75</v>
      </c>
      <c r="AR255" s="1">
        <v>0</v>
      </c>
      <c r="AS255" s="1" t="s">
        <v>69</v>
      </c>
      <c r="AT255" s="1">
        <v>0</v>
      </c>
      <c r="AU255" s="1" t="s">
        <v>69</v>
      </c>
      <c r="AV255" s="1" t="s">
        <v>83</v>
      </c>
      <c r="AW255" s="1" t="s">
        <v>96</v>
      </c>
      <c r="AX255" s="1">
        <v>0</v>
      </c>
      <c r="AY255" s="1">
        <v>0</v>
      </c>
      <c r="AZ255" s="1" t="s">
        <v>1636</v>
      </c>
      <c r="BA255" s="1" t="s">
        <v>79</v>
      </c>
      <c r="BB255" s="1" t="s">
        <v>1637</v>
      </c>
      <c r="BC255" s="1" t="s">
        <v>81</v>
      </c>
      <c r="BD255" s="1" t="s">
        <v>1638</v>
      </c>
      <c r="BE255" s="1" t="s">
        <v>79</v>
      </c>
      <c r="BF255" s="5" t="s">
        <v>83</v>
      </c>
    </row>
    <row r="256" spans="1:58" x14ac:dyDescent="0.35">
      <c r="A256" s="4">
        <v>255</v>
      </c>
      <c r="B256" s="1" t="s">
        <v>1639</v>
      </c>
      <c r="C256" s="1" t="s">
        <v>63</v>
      </c>
      <c r="D256" s="1" t="s">
        <v>179</v>
      </c>
      <c r="E256" s="1" t="s">
        <v>69</v>
      </c>
      <c r="F256" s="1" t="s">
        <v>69</v>
      </c>
      <c r="G256" s="1" t="s">
        <v>69</v>
      </c>
      <c r="H256" s="1" t="s">
        <v>69</v>
      </c>
      <c r="I256" s="1" t="s">
        <v>106</v>
      </c>
      <c r="J256" s="1" t="s">
        <v>292</v>
      </c>
      <c r="K256" s="1">
        <v>20</v>
      </c>
      <c r="L256" s="1" t="s">
        <v>131</v>
      </c>
      <c r="M256" s="1" t="s">
        <v>73</v>
      </c>
      <c r="N256" s="1" t="s">
        <v>246</v>
      </c>
      <c r="O256" s="1">
        <v>3</v>
      </c>
      <c r="P256" s="1">
        <v>4</v>
      </c>
      <c r="Q256" s="1">
        <f>data[[#This Row],[Nilai Kepentingan Dimensi Persyaratan]]-data[[#This Row],[Nilai Kepuasan Dimensi Persyaratan]]</f>
        <v>1</v>
      </c>
      <c r="R256" s="1">
        <v>3</v>
      </c>
      <c r="S256" s="1">
        <v>3</v>
      </c>
      <c r="T256" s="1">
        <f>data[[#This Row],[Nilai Kepentingan Dimensi Prosedur]]-data[[#This Row],[Nilai Kepuasan Dimensi Prosedur]]</f>
        <v>0</v>
      </c>
      <c r="U256" s="1">
        <v>3</v>
      </c>
      <c r="V256" s="1">
        <v>3</v>
      </c>
      <c r="W256" s="1">
        <f>data[[#This Row],[Nilai Kepentingan Dimensi Waktu Pelayanan/Penyelesaian]]-data[[#This Row],[Nilai Kepuasan Dimensi Waktu Pelayanan/Penyelesaian]]</f>
        <v>0</v>
      </c>
      <c r="X256" s="1">
        <v>3</v>
      </c>
      <c r="Y256" s="1">
        <v>3</v>
      </c>
      <c r="Z256" s="1">
        <f>data[[#This Row],[Nilai Kepentingan Dimensi Tarif/ Biaya]]-data[[#This Row],[Nilai Kepuasan Dimensi Tarif / Biaya]]</f>
        <v>0</v>
      </c>
      <c r="AA256" s="1">
        <v>3</v>
      </c>
      <c r="AB256" s="1">
        <v>3</v>
      </c>
      <c r="AC256" s="1">
        <f>data[[#This Row],[Nilai Kepentingan Dimensi Produk Spesifikasi Jenis Layanan]]-data[[#This Row],[Nilai Kepuasan Dimensi Produk Spesifikasi Jenis Layanan]]</f>
        <v>0</v>
      </c>
      <c r="AD256" s="1">
        <v>4</v>
      </c>
      <c r="AE256" s="1">
        <v>4</v>
      </c>
      <c r="AF256" s="1">
        <f>data[[#This Row],[Nilai Kepentingan Dimensi Kompetensi Pelaksana]]-data[[#This Row],[Nilai Kepuasan Dimensi Kompetensi Pelaksana]]</f>
        <v>0</v>
      </c>
      <c r="AG256" s="1">
        <v>4</v>
      </c>
      <c r="AH256" s="1">
        <v>4</v>
      </c>
      <c r="AI256" s="1">
        <f>data[[#This Row],[Nilai Kepentingan Dimensi Perilaku Pelaksana]]-data[[#This Row],[Nilai Kepuasan Dimensi Perilaku Pelaksana]]</f>
        <v>0</v>
      </c>
      <c r="AJ256" s="1">
        <v>3</v>
      </c>
      <c r="AK256" s="1">
        <v>3</v>
      </c>
      <c r="AL256" s="1">
        <f>data[[#This Row],[Nilai Kepentingan Dimensi Penanganan Pengaduan, Saran &amp; Masukan]]-data[[#This Row],[Nilai Kepuasan Dimensi Penanganan Pengaduan, Saran &amp; Masukan]]</f>
        <v>0</v>
      </c>
      <c r="AM256" s="1">
        <v>3</v>
      </c>
      <c r="AN256" s="1">
        <v>3</v>
      </c>
      <c r="AO256" s="1">
        <f>data[[#This Row],[Nilai Kepentingan Dimensi Kualitas Sarana dan Prasarana]]-data[[#This Row],[Nilai Kepuasan Dimensi Kualitas Sarana dan Prasarana]]</f>
        <v>0</v>
      </c>
      <c r="AP256" s="1">
        <v>4</v>
      </c>
      <c r="AQ256" s="1" t="s">
        <v>75</v>
      </c>
      <c r="AR256" s="1">
        <v>0</v>
      </c>
      <c r="AS256" s="1" t="s">
        <v>69</v>
      </c>
      <c r="AT256" s="1">
        <v>0</v>
      </c>
      <c r="AU256" s="1" t="s">
        <v>69</v>
      </c>
      <c r="AV256" s="1" t="s">
        <v>83</v>
      </c>
      <c r="AW256" s="1" t="s">
        <v>96</v>
      </c>
      <c r="AX256" s="1">
        <v>0</v>
      </c>
      <c r="AY256" s="1">
        <v>0</v>
      </c>
      <c r="AZ256" s="1" t="s">
        <v>1643</v>
      </c>
      <c r="BA256" s="1" t="s">
        <v>433</v>
      </c>
      <c r="BB256" s="1" t="s">
        <v>624</v>
      </c>
      <c r="BC256" s="1" t="s">
        <v>79</v>
      </c>
      <c r="BD256" s="1" t="s">
        <v>624</v>
      </c>
      <c r="BE256" s="1" t="s">
        <v>79</v>
      </c>
      <c r="BF256" s="5" t="s">
        <v>83</v>
      </c>
    </row>
    <row r="257" spans="1:58" x14ac:dyDescent="0.35">
      <c r="A257" s="4">
        <v>256</v>
      </c>
      <c r="B257" s="1" t="s">
        <v>1644</v>
      </c>
      <c r="C257" s="1" t="s">
        <v>63</v>
      </c>
      <c r="D257" s="1" t="s">
        <v>480</v>
      </c>
      <c r="E257" s="1" t="s">
        <v>69</v>
      </c>
      <c r="F257" s="1" t="s">
        <v>69</v>
      </c>
      <c r="G257" s="1" t="s">
        <v>69</v>
      </c>
      <c r="H257" s="1" t="s">
        <v>69</v>
      </c>
      <c r="I257" s="1" t="s">
        <v>70</v>
      </c>
      <c r="J257" s="1" t="s">
        <v>292</v>
      </c>
      <c r="K257" s="1">
        <v>18</v>
      </c>
      <c r="L257" s="1" t="s">
        <v>131</v>
      </c>
      <c r="M257" s="1" t="s">
        <v>73</v>
      </c>
      <c r="N257" s="1" t="s">
        <v>95</v>
      </c>
      <c r="O257" s="1">
        <v>3</v>
      </c>
      <c r="P257" s="1">
        <v>4</v>
      </c>
      <c r="Q257" s="1">
        <f>data[[#This Row],[Nilai Kepentingan Dimensi Persyaratan]]-data[[#This Row],[Nilai Kepuasan Dimensi Persyaratan]]</f>
        <v>1</v>
      </c>
      <c r="R257" s="1">
        <v>3</v>
      </c>
      <c r="S257" s="1">
        <v>3</v>
      </c>
      <c r="T257" s="1">
        <f>data[[#This Row],[Nilai Kepentingan Dimensi Prosedur]]-data[[#This Row],[Nilai Kepuasan Dimensi Prosedur]]</f>
        <v>0</v>
      </c>
      <c r="U257" s="1">
        <v>3</v>
      </c>
      <c r="V257" s="1">
        <v>3</v>
      </c>
      <c r="W257" s="1">
        <f>data[[#This Row],[Nilai Kepentingan Dimensi Waktu Pelayanan/Penyelesaian]]-data[[#This Row],[Nilai Kepuasan Dimensi Waktu Pelayanan/Penyelesaian]]</f>
        <v>0</v>
      </c>
      <c r="X257" s="1">
        <v>3</v>
      </c>
      <c r="Y257" s="1">
        <v>3</v>
      </c>
      <c r="Z257" s="1">
        <f>data[[#This Row],[Nilai Kepentingan Dimensi Tarif/ Biaya]]-data[[#This Row],[Nilai Kepuasan Dimensi Tarif / Biaya]]</f>
        <v>0</v>
      </c>
      <c r="AA257" s="1">
        <v>4</v>
      </c>
      <c r="AB257" s="1">
        <v>4</v>
      </c>
      <c r="AC257" s="1">
        <f>data[[#This Row],[Nilai Kepentingan Dimensi Produk Spesifikasi Jenis Layanan]]-data[[#This Row],[Nilai Kepuasan Dimensi Produk Spesifikasi Jenis Layanan]]</f>
        <v>0</v>
      </c>
      <c r="AD257" s="1">
        <v>3</v>
      </c>
      <c r="AE257" s="1">
        <v>3</v>
      </c>
      <c r="AF257" s="1">
        <f>data[[#This Row],[Nilai Kepentingan Dimensi Kompetensi Pelaksana]]-data[[#This Row],[Nilai Kepuasan Dimensi Kompetensi Pelaksana]]</f>
        <v>0</v>
      </c>
      <c r="AG257" s="1">
        <v>3</v>
      </c>
      <c r="AH257" s="1">
        <v>3</v>
      </c>
      <c r="AI257" s="1">
        <f>data[[#This Row],[Nilai Kepentingan Dimensi Perilaku Pelaksana]]-data[[#This Row],[Nilai Kepuasan Dimensi Perilaku Pelaksana]]</f>
        <v>0</v>
      </c>
      <c r="AJ257" s="1">
        <v>3</v>
      </c>
      <c r="AK257" s="1">
        <v>3</v>
      </c>
      <c r="AL257" s="1">
        <f>data[[#This Row],[Nilai Kepentingan Dimensi Penanganan Pengaduan, Saran &amp; Masukan]]-data[[#This Row],[Nilai Kepuasan Dimensi Penanganan Pengaduan, Saran &amp; Masukan]]</f>
        <v>0</v>
      </c>
      <c r="AM257" s="1">
        <v>3</v>
      </c>
      <c r="AN257" s="1">
        <v>3</v>
      </c>
      <c r="AO257" s="1">
        <f>data[[#This Row],[Nilai Kepentingan Dimensi Kualitas Sarana dan Prasarana]]-data[[#This Row],[Nilai Kepuasan Dimensi Kualitas Sarana dan Prasarana]]</f>
        <v>0</v>
      </c>
      <c r="AP257" s="1">
        <v>0</v>
      </c>
      <c r="AQ257" s="1" t="s">
        <v>69</v>
      </c>
      <c r="AR257" s="1">
        <v>0</v>
      </c>
      <c r="AS257" s="1" t="s">
        <v>69</v>
      </c>
      <c r="AT257" s="1">
        <v>0</v>
      </c>
      <c r="AU257" s="1" t="s">
        <v>69</v>
      </c>
      <c r="AV257" s="1" t="s">
        <v>76</v>
      </c>
      <c r="AW257" s="1" t="s">
        <v>77</v>
      </c>
      <c r="AX257" s="1">
        <v>2</v>
      </c>
      <c r="AY257" s="1">
        <v>3</v>
      </c>
      <c r="AZ257" s="1" t="s">
        <v>98</v>
      </c>
      <c r="BA257" s="1" t="s">
        <v>99</v>
      </c>
      <c r="BB257" s="1" t="s">
        <v>98</v>
      </c>
      <c r="BC257" s="1" t="s">
        <v>99</v>
      </c>
      <c r="BD257" s="1" t="s">
        <v>98</v>
      </c>
      <c r="BE257" s="1" t="s">
        <v>99</v>
      </c>
      <c r="BF257" s="5" t="s">
        <v>98</v>
      </c>
    </row>
    <row r="258" spans="1:58" x14ac:dyDescent="0.35">
      <c r="A258" s="4">
        <v>257</v>
      </c>
      <c r="B258" s="1" t="s">
        <v>1648</v>
      </c>
      <c r="C258" s="1" t="s">
        <v>63</v>
      </c>
      <c r="D258" s="1" t="s">
        <v>416</v>
      </c>
      <c r="E258" s="1" t="s">
        <v>69</v>
      </c>
      <c r="F258" s="1" t="s">
        <v>69</v>
      </c>
      <c r="G258" s="1" t="s">
        <v>69</v>
      </c>
      <c r="H258" s="1" t="s">
        <v>69</v>
      </c>
      <c r="I258" s="1" t="s">
        <v>106</v>
      </c>
      <c r="J258" s="1" t="s">
        <v>292</v>
      </c>
      <c r="K258" s="1">
        <v>18</v>
      </c>
      <c r="L258" s="1" t="s">
        <v>131</v>
      </c>
      <c r="M258" s="1" t="s">
        <v>73</v>
      </c>
      <c r="N258" s="1" t="s">
        <v>95</v>
      </c>
      <c r="O258" s="1">
        <v>4</v>
      </c>
      <c r="P258" s="1">
        <v>4</v>
      </c>
      <c r="Q258" s="1">
        <f>data[[#This Row],[Nilai Kepentingan Dimensi Persyaratan]]-data[[#This Row],[Nilai Kepuasan Dimensi Persyaratan]]</f>
        <v>0</v>
      </c>
      <c r="R258" s="1">
        <v>4</v>
      </c>
      <c r="S258" s="1">
        <v>4</v>
      </c>
      <c r="T258" s="1">
        <f>data[[#This Row],[Nilai Kepentingan Dimensi Prosedur]]-data[[#This Row],[Nilai Kepuasan Dimensi Prosedur]]</f>
        <v>0</v>
      </c>
      <c r="U258" s="1">
        <v>4</v>
      </c>
      <c r="V258" s="1">
        <v>4</v>
      </c>
      <c r="W258" s="1">
        <f>data[[#This Row],[Nilai Kepentingan Dimensi Waktu Pelayanan/Penyelesaian]]-data[[#This Row],[Nilai Kepuasan Dimensi Waktu Pelayanan/Penyelesaian]]</f>
        <v>0</v>
      </c>
      <c r="X258" s="1">
        <v>4</v>
      </c>
      <c r="Y258" s="1">
        <v>4</v>
      </c>
      <c r="Z258" s="1">
        <f>data[[#This Row],[Nilai Kepentingan Dimensi Tarif/ Biaya]]-data[[#This Row],[Nilai Kepuasan Dimensi Tarif / Biaya]]</f>
        <v>0</v>
      </c>
      <c r="AA258" s="1">
        <v>3</v>
      </c>
      <c r="AB258" s="1">
        <v>4</v>
      </c>
      <c r="AC258" s="1">
        <f>data[[#This Row],[Nilai Kepentingan Dimensi Produk Spesifikasi Jenis Layanan]]-data[[#This Row],[Nilai Kepuasan Dimensi Produk Spesifikasi Jenis Layanan]]</f>
        <v>1</v>
      </c>
      <c r="AD258" s="1">
        <v>4</v>
      </c>
      <c r="AE258" s="1">
        <v>4</v>
      </c>
      <c r="AF258" s="1">
        <f>data[[#This Row],[Nilai Kepentingan Dimensi Kompetensi Pelaksana]]-data[[#This Row],[Nilai Kepuasan Dimensi Kompetensi Pelaksana]]</f>
        <v>0</v>
      </c>
      <c r="AG258" s="1">
        <v>4</v>
      </c>
      <c r="AH258" s="1">
        <v>4</v>
      </c>
      <c r="AI258" s="1">
        <f>data[[#This Row],[Nilai Kepentingan Dimensi Perilaku Pelaksana]]-data[[#This Row],[Nilai Kepuasan Dimensi Perilaku Pelaksana]]</f>
        <v>0</v>
      </c>
      <c r="AJ258" s="1">
        <v>4</v>
      </c>
      <c r="AK258" s="1">
        <v>4</v>
      </c>
      <c r="AL258" s="1">
        <f>data[[#This Row],[Nilai Kepentingan Dimensi Penanganan Pengaduan, Saran &amp; Masukan]]-data[[#This Row],[Nilai Kepuasan Dimensi Penanganan Pengaduan, Saran &amp; Masukan]]</f>
        <v>0</v>
      </c>
      <c r="AM258" s="1">
        <v>4</v>
      </c>
      <c r="AN258" s="1">
        <v>4</v>
      </c>
      <c r="AO258" s="1">
        <f>data[[#This Row],[Nilai Kepentingan Dimensi Kualitas Sarana dan Prasarana]]-data[[#This Row],[Nilai Kepuasan Dimensi Kualitas Sarana dan Prasarana]]</f>
        <v>0</v>
      </c>
      <c r="AP258" s="1">
        <v>0</v>
      </c>
      <c r="AQ258" s="1" t="s">
        <v>69</v>
      </c>
      <c r="AR258" s="1">
        <v>0</v>
      </c>
      <c r="AS258" s="1" t="s">
        <v>69</v>
      </c>
      <c r="AT258" s="1">
        <v>0</v>
      </c>
      <c r="AU258" s="1" t="s">
        <v>69</v>
      </c>
      <c r="AV258" s="1" t="s">
        <v>144</v>
      </c>
      <c r="AW258" s="1" t="s">
        <v>144</v>
      </c>
      <c r="AX258" s="1">
        <v>2</v>
      </c>
      <c r="AY258" s="1">
        <v>3</v>
      </c>
      <c r="AZ258" s="1" t="s">
        <v>98</v>
      </c>
      <c r="BA258" s="1" t="s">
        <v>99</v>
      </c>
      <c r="BB258" s="1" t="s">
        <v>98</v>
      </c>
      <c r="BC258" s="1" t="s">
        <v>99</v>
      </c>
      <c r="BD258" s="1" t="s">
        <v>98</v>
      </c>
      <c r="BE258" s="1" t="s">
        <v>99</v>
      </c>
      <c r="BF258" s="5" t="s">
        <v>98</v>
      </c>
    </row>
    <row r="259" spans="1:58" x14ac:dyDescent="0.35">
      <c r="A259" s="4">
        <v>258</v>
      </c>
      <c r="B259" s="1" t="s">
        <v>1652</v>
      </c>
      <c r="C259" s="1" t="s">
        <v>63</v>
      </c>
      <c r="D259" s="1" t="s">
        <v>338</v>
      </c>
      <c r="E259" s="1" t="s">
        <v>69</v>
      </c>
      <c r="F259" s="1" t="s">
        <v>69</v>
      </c>
      <c r="G259" s="1" t="s">
        <v>69</v>
      </c>
      <c r="H259" s="1" t="s">
        <v>69</v>
      </c>
      <c r="I259" s="1" t="s">
        <v>106</v>
      </c>
      <c r="J259" s="1" t="s">
        <v>292</v>
      </c>
      <c r="K259" s="1">
        <v>18</v>
      </c>
      <c r="L259" s="1" t="s">
        <v>131</v>
      </c>
      <c r="M259" s="1" t="s">
        <v>73</v>
      </c>
      <c r="N259" s="1" t="s">
        <v>95</v>
      </c>
      <c r="O259" s="1">
        <v>3</v>
      </c>
      <c r="P259" s="1">
        <v>3</v>
      </c>
      <c r="Q259" s="1">
        <f>data[[#This Row],[Nilai Kepentingan Dimensi Persyaratan]]-data[[#This Row],[Nilai Kepuasan Dimensi Persyaratan]]</f>
        <v>0</v>
      </c>
      <c r="R259" s="1">
        <v>3</v>
      </c>
      <c r="S259" s="1">
        <v>3</v>
      </c>
      <c r="T259" s="1">
        <f>data[[#This Row],[Nilai Kepentingan Dimensi Prosedur]]-data[[#This Row],[Nilai Kepuasan Dimensi Prosedur]]</f>
        <v>0</v>
      </c>
      <c r="U259" s="1">
        <v>3</v>
      </c>
      <c r="V259" s="1">
        <v>3</v>
      </c>
      <c r="W259" s="1">
        <f>data[[#This Row],[Nilai Kepentingan Dimensi Waktu Pelayanan/Penyelesaian]]-data[[#This Row],[Nilai Kepuasan Dimensi Waktu Pelayanan/Penyelesaian]]</f>
        <v>0</v>
      </c>
      <c r="X259" s="1">
        <v>3</v>
      </c>
      <c r="Y259" s="1">
        <v>3</v>
      </c>
      <c r="Z259" s="1">
        <f>data[[#This Row],[Nilai Kepentingan Dimensi Tarif/ Biaya]]-data[[#This Row],[Nilai Kepuasan Dimensi Tarif / Biaya]]</f>
        <v>0</v>
      </c>
      <c r="AA259" s="1">
        <v>4</v>
      </c>
      <c r="AB259" s="1">
        <v>4</v>
      </c>
      <c r="AC259" s="1">
        <f>data[[#This Row],[Nilai Kepentingan Dimensi Produk Spesifikasi Jenis Layanan]]-data[[#This Row],[Nilai Kepuasan Dimensi Produk Spesifikasi Jenis Layanan]]</f>
        <v>0</v>
      </c>
      <c r="AD259" s="1">
        <v>3</v>
      </c>
      <c r="AE259" s="1">
        <v>3</v>
      </c>
      <c r="AF259" s="1">
        <f>data[[#This Row],[Nilai Kepentingan Dimensi Kompetensi Pelaksana]]-data[[#This Row],[Nilai Kepuasan Dimensi Kompetensi Pelaksana]]</f>
        <v>0</v>
      </c>
      <c r="AG259" s="1">
        <v>3</v>
      </c>
      <c r="AH259" s="1">
        <v>3</v>
      </c>
      <c r="AI259" s="1">
        <f>data[[#This Row],[Nilai Kepentingan Dimensi Perilaku Pelaksana]]-data[[#This Row],[Nilai Kepuasan Dimensi Perilaku Pelaksana]]</f>
        <v>0</v>
      </c>
      <c r="AJ259" s="1">
        <v>4</v>
      </c>
      <c r="AK259" s="1">
        <v>4</v>
      </c>
      <c r="AL259" s="1">
        <f>data[[#This Row],[Nilai Kepentingan Dimensi Penanganan Pengaduan, Saran &amp; Masukan]]-data[[#This Row],[Nilai Kepuasan Dimensi Penanganan Pengaduan, Saran &amp; Masukan]]</f>
        <v>0</v>
      </c>
      <c r="AM259" s="1">
        <v>3</v>
      </c>
      <c r="AN259" s="1">
        <v>4</v>
      </c>
      <c r="AO259" s="1">
        <f>data[[#This Row],[Nilai Kepentingan Dimensi Kualitas Sarana dan Prasarana]]-data[[#This Row],[Nilai Kepuasan Dimensi Kualitas Sarana dan Prasarana]]</f>
        <v>1</v>
      </c>
      <c r="AP259" s="1">
        <v>3</v>
      </c>
      <c r="AQ259" s="1" t="s">
        <v>75</v>
      </c>
      <c r="AR259" s="1">
        <v>0</v>
      </c>
      <c r="AS259" s="1" t="s">
        <v>69</v>
      </c>
      <c r="AT259" s="1">
        <v>0</v>
      </c>
      <c r="AU259" s="1" t="s">
        <v>69</v>
      </c>
      <c r="AV259" s="1" t="s">
        <v>83</v>
      </c>
      <c r="AW259" s="1" t="s">
        <v>96</v>
      </c>
      <c r="AX259" s="1">
        <v>0</v>
      </c>
      <c r="AY259" s="1">
        <v>0</v>
      </c>
      <c r="AZ259" s="1" t="s">
        <v>98</v>
      </c>
      <c r="BA259" s="1" t="s">
        <v>99</v>
      </c>
      <c r="BB259" s="1" t="s">
        <v>98</v>
      </c>
      <c r="BC259" s="1" t="s">
        <v>99</v>
      </c>
      <c r="BD259" s="1" t="s">
        <v>1656</v>
      </c>
      <c r="BE259" s="1" t="s">
        <v>146</v>
      </c>
      <c r="BF259" s="5" t="s">
        <v>98</v>
      </c>
    </row>
    <row r="260" spans="1:58" x14ac:dyDescent="0.35">
      <c r="A260" s="4">
        <v>259</v>
      </c>
      <c r="B260" s="1" t="s">
        <v>1657</v>
      </c>
      <c r="C260" s="1" t="s">
        <v>63</v>
      </c>
      <c r="D260" s="1" t="s">
        <v>63</v>
      </c>
      <c r="E260" s="1" t="s">
        <v>69</v>
      </c>
      <c r="F260" s="1" t="s">
        <v>69</v>
      </c>
      <c r="G260" s="1" t="s">
        <v>69</v>
      </c>
      <c r="H260" s="1" t="s">
        <v>69</v>
      </c>
      <c r="I260" s="1" t="s">
        <v>70</v>
      </c>
      <c r="J260" s="1" t="s">
        <v>292</v>
      </c>
      <c r="K260" s="1">
        <v>25</v>
      </c>
      <c r="L260" s="1" t="s">
        <v>72</v>
      </c>
      <c r="M260" s="1" t="s">
        <v>93</v>
      </c>
      <c r="N260" s="1" t="s">
        <v>143</v>
      </c>
      <c r="O260" s="1">
        <v>3</v>
      </c>
      <c r="P260" s="1">
        <v>3</v>
      </c>
      <c r="Q260" s="1">
        <f>data[[#This Row],[Nilai Kepentingan Dimensi Persyaratan]]-data[[#This Row],[Nilai Kepuasan Dimensi Persyaratan]]</f>
        <v>0</v>
      </c>
      <c r="R260" s="1">
        <v>4</v>
      </c>
      <c r="S260" s="1">
        <v>3</v>
      </c>
      <c r="T260" s="1">
        <f>data[[#This Row],[Nilai Kepentingan Dimensi Prosedur]]-data[[#This Row],[Nilai Kepuasan Dimensi Prosedur]]</f>
        <v>-1</v>
      </c>
      <c r="U260" s="1">
        <v>4</v>
      </c>
      <c r="V260" s="1">
        <v>4</v>
      </c>
      <c r="W260" s="1">
        <f>data[[#This Row],[Nilai Kepentingan Dimensi Waktu Pelayanan/Penyelesaian]]-data[[#This Row],[Nilai Kepuasan Dimensi Waktu Pelayanan/Penyelesaian]]</f>
        <v>0</v>
      </c>
      <c r="X260" s="1">
        <v>3</v>
      </c>
      <c r="Y260" s="1">
        <v>4</v>
      </c>
      <c r="Z260" s="1">
        <f>data[[#This Row],[Nilai Kepentingan Dimensi Tarif/ Biaya]]-data[[#This Row],[Nilai Kepuasan Dimensi Tarif / Biaya]]</f>
        <v>1</v>
      </c>
      <c r="AA260" s="1">
        <v>4</v>
      </c>
      <c r="AB260" s="1">
        <v>4</v>
      </c>
      <c r="AC260" s="1">
        <f>data[[#This Row],[Nilai Kepentingan Dimensi Produk Spesifikasi Jenis Layanan]]-data[[#This Row],[Nilai Kepuasan Dimensi Produk Spesifikasi Jenis Layanan]]</f>
        <v>0</v>
      </c>
      <c r="AD260" s="1">
        <v>4</v>
      </c>
      <c r="AE260" s="1">
        <v>3</v>
      </c>
      <c r="AF260" s="1">
        <f>data[[#This Row],[Nilai Kepentingan Dimensi Kompetensi Pelaksana]]-data[[#This Row],[Nilai Kepuasan Dimensi Kompetensi Pelaksana]]</f>
        <v>-1</v>
      </c>
      <c r="AG260" s="1">
        <v>4</v>
      </c>
      <c r="AH260" s="1">
        <v>4</v>
      </c>
      <c r="AI260" s="1">
        <f>data[[#This Row],[Nilai Kepentingan Dimensi Perilaku Pelaksana]]-data[[#This Row],[Nilai Kepuasan Dimensi Perilaku Pelaksana]]</f>
        <v>0</v>
      </c>
      <c r="AJ260" s="1">
        <v>4</v>
      </c>
      <c r="AK260" s="1">
        <v>4</v>
      </c>
      <c r="AL260" s="1">
        <f>data[[#This Row],[Nilai Kepentingan Dimensi Penanganan Pengaduan, Saran &amp; Masukan]]-data[[#This Row],[Nilai Kepuasan Dimensi Penanganan Pengaduan, Saran &amp; Masukan]]</f>
        <v>0</v>
      </c>
      <c r="AM260" s="1">
        <v>4</v>
      </c>
      <c r="AN260" s="1">
        <v>3</v>
      </c>
      <c r="AO260" s="1">
        <f>data[[#This Row],[Nilai Kepentingan Dimensi Kualitas Sarana dan Prasarana]]-data[[#This Row],[Nilai Kepuasan Dimensi Kualitas Sarana dan Prasarana]]</f>
        <v>-1</v>
      </c>
      <c r="AP260" s="1">
        <v>4</v>
      </c>
      <c r="AQ260" s="1" t="s">
        <v>69</v>
      </c>
      <c r="AR260" s="1">
        <v>0</v>
      </c>
      <c r="AS260" s="1" t="s">
        <v>69</v>
      </c>
      <c r="AT260" s="1">
        <v>0</v>
      </c>
      <c r="AU260" s="1" t="s">
        <v>69</v>
      </c>
      <c r="AV260" s="1" t="s">
        <v>83</v>
      </c>
      <c r="AW260" s="1" t="s">
        <v>96</v>
      </c>
      <c r="AX260" s="1">
        <v>0</v>
      </c>
      <c r="AY260" s="1">
        <v>0</v>
      </c>
      <c r="AZ260" s="1" t="s">
        <v>98</v>
      </c>
      <c r="BA260" s="1" t="s">
        <v>99</v>
      </c>
      <c r="BB260" s="1" t="s">
        <v>98</v>
      </c>
      <c r="BC260" s="1" t="s">
        <v>99</v>
      </c>
      <c r="BD260" s="1" t="s">
        <v>263</v>
      </c>
      <c r="BE260" s="1" t="s">
        <v>99</v>
      </c>
      <c r="BF260" s="5" t="s">
        <v>1660</v>
      </c>
    </row>
    <row r="261" spans="1:58" x14ac:dyDescent="0.35">
      <c r="A261" s="4">
        <v>260</v>
      </c>
      <c r="B261" s="1" t="s">
        <v>1661</v>
      </c>
      <c r="C261" s="1" t="s">
        <v>63</v>
      </c>
      <c r="D261" s="1" t="s">
        <v>125</v>
      </c>
      <c r="E261" s="1" t="s">
        <v>69</v>
      </c>
      <c r="F261" s="1" t="s">
        <v>69</v>
      </c>
      <c r="G261" s="1" t="s">
        <v>69</v>
      </c>
      <c r="H261" s="1" t="s">
        <v>69</v>
      </c>
      <c r="I261" s="1" t="s">
        <v>106</v>
      </c>
      <c r="J261" s="1" t="s">
        <v>292</v>
      </c>
      <c r="K261" s="1">
        <v>18</v>
      </c>
      <c r="L261" s="1" t="s">
        <v>131</v>
      </c>
      <c r="M261" s="1" t="s">
        <v>73</v>
      </c>
      <c r="N261" s="1" t="s">
        <v>133</v>
      </c>
      <c r="O261" s="1">
        <v>3</v>
      </c>
      <c r="P261" s="1">
        <v>3</v>
      </c>
      <c r="Q261" s="1">
        <f>data[[#This Row],[Nilai Kepentingan Dimensi Persyaratan]]-data[[#This Row],[Nilai Kepuasan Dimensi Persyaratan]]</f>
        <v>0</v>
      </c>
      <c r="R261" s="1">
        <v>3</v>
      </c>
      <c r="S261" s="1">
        <v>3</v>
      </c>
      <c r="T261" s="1">
        <f>data[[#This Row],[Nilai Kepentingan Dimensi Prosedur]]-data[[#This Row],[Nilai Kepuasan Dimensi Prosedur]]</f>
        <v>0</v>
      </c>
      <c r="U261" s="1">
        <v>2</v>
      </c>
      <c r="V261" s="1">
        <v>3</v>
      </c>
      <c r="W261" s="1">
        <f>data[[#This Row],[Nilai Kepentingan Dimensi Waktu Pelayanan/Penyelesaian]]-data[[#This Row],[Nilai Kepuasan Dimensi Waktu Pelayanan/Penyelesaian]]</f>
        <v>1</v>
      </c>
      <c r="X261" s="1">
        <v>3</v>
      </c>
      <c r="Y261" s="1">
        <v>3</v>
      </c>
      <c r="Z261" s="1">
        <f>data[[#This Row],[Nilai Kepentingan Dimensi Tarif/ Biaya]]-data[[#This Row],[Nilai Kepuasan Dimensi Tarif / Biaya]]</f>
        <v>0</v>
      </c>
      <c r="AA261" s="1">
        <v>3</v>
      </c>
      <c r="AB261" s="1">
        <v>4</v>
      </c>
      <c r="AC261" s="1">
        <f>data[[#This Row],[Nilai Kepentingan Dimensi Produk Spesifikasi Jenis Layanan]]-data[[#This Row],[Nilai Kepuasan Dimensi Produk Spesifikasi Jenis Layanan]]</f>
        <v>1</v>
      </c>
      <c r="AD261" s="1">
        <v>4</v>
      </c>
      <c r="AE261" s="1">
        <v>4</v>
      </c>
      <c r="AF261" s="1">
        <f>data[[#This Row],[Nilai Kepentingan Dimensi Kompetensi Pelaksana]]-data[[#This Row],[Nilai Kepuasan Dimensi Kompetensi Pelaksana]]</f>
        <v>0</v>
      </c>
      <c r="AG261" s="1">
        <v>4</v>
      </c>
      <c r="AH261" s="1">
        <v>4</v>
      </c>
      <c r="AI261" s="1">
        <f>data[[#This Row],[Nilai Kepentingan Dimensi Perilaku Pelaksana]]-data[[#This Row],[Nilai Kepuasan Dimensi Perilaku Pelaksana]]</f>
        <v>0</v>
      </c>
      <c r="AJ261" s="1">
        <v>3</v>
      </c>
      <c r="AK261" s="1">
        <v>4</v>
      </c>
      <c r="AL261" s="1">
        <f>data[[#This Row],[Nilai Kepentingan Dimensi Penanganan Pengaduan, Saran &amp; Masukan]]-data[[#This Row],[Nilai Kepuasan Dimensi Penanganan Pengaduan, Saran &amp; Masukan]]</f>
        <v>1</v>
      </c>
      <c r="AM261" s="1">
        <v>3</v>
      </c>
      <c r="AN261" s="1">
        <v>3</v>
      </c>
      <c r="AO261" s="1">
        <f>data[[#This Row],[Nilai Kepentingan Dimensi Kualitas Sarana dan Prasarana]]-data[[#This Row],[Nilai Kepuasan Dimensi Kualitas Sarana dan Prasarana]]</f>
        <v>0</v>
      </c>
      <c r="AP261" s="1">
        <v>0</v>
      </c>
      <c r="AQ261" s="1" t="s">
        <v>69</v>
      </c>
      <c r="AR261" s="1">
        <v>0</v>
      </c>
      <c r="AS261" s="1" t="s">
        <v>69</v>
      </c>
      <c r="AT261" s="1">
        <v>0</v>
      </c>
      <c r="AU261" s="1" t="s">
        <v>69</v>
      </c>
      <c r="AV261" s="1" t="s">
        <v>293</v>
      </c>
      <c r="AW261" s="1" t="s">
        <v>144</v>
      </c>
      <c r="AX261" s="1">
        <v>1</v>
      </c>
      <c r="AY261" s="1">
        <v>4</v>
      </c>
      <c r="AZ261" s="1" t="s">
        <v>98</v>
      </c>
      <c r="BA261" s="1" t="s">
        <v>99</v>
      </c>
      <c r="BB261" s="1" t="s">
        <v>98</v>
      </c>
      <c r="BC261" s="1" t="s">
        <v>99</v>
      </c>
      <c r="BD261" s="1" t="s">
        <v>263</v>
      </c>
      <c r="BE261" s="1" t="s">
        <v>99</v>
      </c>
      <c r="BF261" s="5" t="s">
        <v>98</v>
      </c>
    </row>
    <row r="262" spans="1:58" x14ac:dyDescent="0.35">
      <c r="A262" s="4">
        <v>261</v>
      </c>
      <c r="B262" s="1" t="s">
        <v>1664</v>
      </c>
      <c r="C262" s="1" t="s">
        <v>63</v>
      </c>
      <c r="D262" s="1" t="s">
        <v>63</v>
      </c>
      <c r="E262" s="1" t="s">
        <v>69</v>
      </c>
      <c r="F262" s="1" t="s">
        <v>69</v>
      </c>
      <c r="G262" s="1" t="s">
        <v>69</v>
      </c>
      <c r="H262" s="1" t="s">
        <v>69</v>
      </c>
      <c r="I262" s="1" t="s">
        <v>70</v>
      </c>
      <c r="J262" s="1" t="s">
        <v>1168</v>
      </c>
      <c r="K262" s="1">
        <v>39</v>
      </c>
      <c r="L262" s="1" t="s">
        <v>153</v>
      </c>
      <c r="M262" s="1" t="s">
        <v>93</v>
      </c>
      <c r="N262" s="1" t="s">
        <v>74</v>
      </c>
      <c r="O262" s="1">
        <v>3</v>
      </c>
      <c r="P262" s="1">
        <v>3</v>
      </c>
      <c r="Q262" s="1">
        <f>data[[#This Row],[Nilai Kepentingan Dimensi Persyaratan]]-data[[#This Row],[Nilai Kepuasan Dimensi Persyaratan]]</f>
        <v>0</v>
      </c>
      <c r="R262" s="1">
        <v>3</v>
      </c>
      <c r="S262" s="1">
        <v>3</v>
      </c>
      <c r="T262" s="1">
        <f>data[[#This Row],[Nilai Kepentingan Dimensi Prosedur]]-data[[#This Row],[Nilai Kepuasan Dimensi Prosedur]]</f>
        <v>0</v>
      </c>
      <c r="U262" s="1">
        <v>3</v>
      </c>
      <c r="V262" s="1">
        <v>3</v>
      </c>
      <c r="W262" s="1">
        <f>data[[#This Row],[Nilai Kepentingan Dimensi Waktu Pelayanan/Penyelesaian]]-data[[#This Row],[Nilai Kepuasan Dimensi Waktu Pelayanan/Penyelesaian]]</f>
        <v>0</v>
      </c>
      <c r="X262" s="1">
        <v>0</v>
      </c>
      <c r="Y262" s="1">
        <v>0</v>
      </c>
      <c r="Z262" s="1">
        <f>data[[#This Row],[Nilai Kepentingan Dimensi Tarif/ Biaya]]-data[[#This Row],[Nilai Kepuasan Dimensi Tarif / Biaya]]</f>
        <v>0</v>
      </c>
      <c r="AA262" s="1">
        <v>3</v>
      </c>
      <c r="AB262" s="1">
        <v>3</v>
      </c>
      <c r="AC262" s="1">
        <f>data[[#This Row],[Nilai Kepentingan Dimensi Produk Spesifikasi Jenis Layanan]]-data[[#This Row],[Nilai Kepuasan Dimensi Produk Spesifikasi Jenis Layanan]]</f>
        <v>0</v>
      </c>
      <c r="AD262" s="1">
        <v>3</v>
      </c>
      <c r="AE262" s="1">
        <v>3</v>
      </c>
      <c r="AF262" s="1">
        <f>data[[#This Row],[Nilai Kepentingan Dimensi Kompetensi Pelaksana]]-data[[#This Row],[Nilai Kepuasan Dimensi Kompetensi Pelaksana]]</f>
        <v>0</v>
      </c>
      <c r="AG262" s="1">
        <v>3</v>
      </c>
      <c r="AH262" s="1">
        <v>3</v>
      </c>
      <c r="AI262" s="1">
        <f>data[[#This Row],[Nilai Kepentingan Dimensi Perilaku Pelaksana]]-data[[#This Row],[Nilai Kepuasan Dimensi Perilaku Pelaksana]]</f>
        <v>0</v>
      </c>
      <c r="AJ262" s="1">
        <v>3</v>
      </c>
      <c r="AK262" s="1">
        <v>3</v>
      </c>
      <c r="AL262" s="1">
        <f>data[[#This Row],[Nilai Kepentingan Dimensi Penanganan Pengaduan, Saran &amp; Masukan]]-data[[#This Row],[Nilai Kepuasan Dimensi Penanganan Pengaduan, Saran &amp; Masukan]]</f>
        <v>0</v>
      </c>
      <c r="AM262" s="1">
        <v>4</v>
      </c>
      <c r="AN262" s="1">
        <v>4</v>
      </c>
      <c r="AO262" s="1">
        <f>data[[#This Row],[Nilai Kepentingan Dimensi Kualitas Sarana dan Prasarana]]-data[[#This Row],[Nilai Kepuasan Dimensi Kualitas Sarana dan Prasarana]]</f>
        <v>0</v>
      </c>
      <c r="AP262" s="1">
        <v>0</v>
      </c>
      <c r="AQ262" s="1" t="s">
        <v>69</v>
      </c>
      <c r="AR262" s="1">
        <v>0</v>
      </c>
      <c r="AS262" s="1" t="s">
        <v>69</v>
      </c>
      <c r="AT262" s="1">
        <v>4</v>
      </c>
      <c r="AU262" s="1" t="s">
        <v>75</v>
      </c>
      <c r="AV262" s="1" t="s">
        <v>83</v>
      </c>
      <c r="AW262" s="1" t="s">
        <v>96</v>
      </c>
      <c r="AX262" s="1">
        <v>0</v>
      </c>
      <c r="AY262" s="1">
        <v>0</v>
      </c>
      <c r="AZ262" s="1" t="s">
        <v>1669</v>
      </c>
      <c r="BA262" s="1" t="s">
        <v>79</v>
      </c>
      <c r="BB262" s="1" t="s">
        <v>462</v>
      </c>
      <c r="BC262" s="1" t="s">
        <v>79</v>
      </c>
      <c r="BD262" s="1" t="s">
        <v>442</v>
      </c>
      <c r="BE262" s="1" t="s">
        <v>79</v>
      </c>
      <c r="BF262" s="5" t="s">
        <v>83</v>
      </c>
    </row>
    <row r="263" spans="1:58" x14ac:dyDescent="0.35">
      <c r="A263" s="4">
        <v>262</v>
      </c>
      <c r="B263" s="1" t="s">
        <v>1670</v>
      </c>
      <c r="C263" s="1" t="s">
        <v>904</v>
      </c>
      <c r="D263" s="1" t="s">
        <v>1672</v>
      </c>
      <c r="E263" s="1" t="s">
        <v>69</v>
      </c>
      <c r="F263" s="1" t="s">
        <v>69</v>
      </c>
      <c r="G263" s="1" t="s">
        <v>69</v>
      </c>
      <c r="H263" s="1" t="s">
        <v>69</v>
      </c>
      <c r="I263" s="1" t="s">
        <v>106</v>
      </c>
      <c r="J263" s="1" t="s">
        <v>1168</v>
      </c>
      <c r="K263" s="1">
        <v>27</v>
      </c>
      <c r="L263" s="1" t="s">
        <v>92</v>
      </c>
      <c r="M263" s="1" t="s">
        <v>1343</v>
      </c>
      <c r="N263" s="1" t="s">
        <v>74</v>
      </c>
      <c r="O263" s="1">
        <v>4</v>
      </c>
      <c r="P263" s="1">
        <v>3</v>
      </c>
      <c r="Q263" s="1">
        <f>data[[#This Row],[Nilai Kepentingan Dimensi Persyaratan]]-data[[#This Row],[Nilai Kepuasan Dimensi Persyaratan]]</f>
        <v>-1</v>
      </c>
      <c r="R263" s="1">
        <v>3</v>
      </c>
      <c r="S263" s="1">
        <v>3</v>
      </c>
      <c r="T263" s="1">
        <f>data[[#This Row],[Nilai Kepentingan Dimensi Prosedur]]-data[[#This Row],[Nilai Kepuasan Dimensi Prosedur]]</f>
        <v>0</v>
      </c>
      <c r="U263" s="1">
        <v>2</v>
      </c>
      <c r="V263" s="1">
        <v>3</v>
      </c>
      <c r="W263" s="1">
        <f>data[[#This Row],[Nilai Kepentingan Dimensi Waktu Pelayanan/Penyelesaian]]-data[[#This Row],[Nilai Kepuasan Dimensi Waktu Pelayanan/Penyelesaian]]</f>
        <v>1</v>
      </c>
      <c r="X263" s="1">
        <v>0</v>
      </c>
      <c r="Y263" s="1">
        <v>0</v>
      </c>
      <c r="Z263" s="1">
        <f>data[[#This Row],[Nilai Kepentingan Dimensi Tarif/ Biaya]]-data[[#This Row],[Nilai Kepuasan Dimensi Tarif / Biaya]]</f>
        <v>0</v>
      </c>
      <c r="AA263" s="1">
        <v>4</v>
      </c>
      <c r="AB263" s="1">
        <v>4</v>
      </c>
      <c r="AC263" s="1">
        <f>data[[#This Row],[Nilai Kepentingan Dimensi Produk Spesifikasi Jenis Layanan]]-data[[#This Row],[Nilai Kepuasan Dimensi Produk Spesifikasi Jenis Layanan]]</f>
        <v>0</v>
      </c>
      <c r="AD263" s="1">
        <v>4</v>
      </c>
      <c r="AE263" s="1">
        <v>4</v>
      </c>
      <c r="AF263" s="1">
        <f>data[[#This Row],[Nilai Kepentingan Dimensi Kompetensi Pelaksana]]-data[[#This Row],[Nilai Kepuasan Dimensi Kompetensi Pelaksana]]</f>
        <v>0</v>
      </c>
      <c r="AG263" s="1">
        <v>4</v>
      </c>
      <c r="AH263" s="1">
        <v>4</v>
      </c>
      <c r="AI263" s="1">
        <f>data[[#This Row],[Nilai Kepentingan Dimensi Perilaku Pelaksana]]-data[[#This Row],[Nilai Kepuasan Dimensi Perilaku Pelaksana]]</f>
        <v>0</v>
      </c>
      <c r="AJ263" s="1">
        <v>3</v>
      </c>
      <c r="AK263" s="1">
        <v>4</v>
      </c>
      <c r="AL263" s="1">
        <f>data[[#This Row],[Nilai Kepentingan Dimensi Penanganan Pengaduan, Saran &amp; Masukan]]-data[[#This Row],[Nilai Kepuasan Dimensi Penanganan Pengaduan, Saran &amp; Masukan]]</f>
        <v>1</v>
      </c>
      <c r="AM263" s="1">
        <v>4</v>
      </c>
      <c r="AN263" s="1">
        <v>4</v>
      </c>
      <c r="AO263" s="1">
        <f>data[[#This Row],[Nilai Kepentingan Dimensi Kualitas Sarana dan Prasarana]]-data[[#This Row],[Nilai Kepuasan Dimensi Kualitas Sarana dan Prasarana]]</f>
        <v>0</v>
      </c>
      <c r="AP263" s="1">
        <v>0</v>
      </c>
      <c r="AQ263" s="1" t="s">
        <v>69</v>
      </c>
      <c r="AR263" s="1">
        <v>0</v>
      </c>
      <c r="AS263" s="1" t="s">
        <v>69</v>
      </c>
      <c r="AT263" s="1">
        <v>0</v>
      </c>
      <c r="AU263" s="1" t="s">
        <v>69</v>
      </c>
      <c r="AV263" s="1" t="s">
        <v>1674</v>
      </c>
      <c r="AW263" s="1" t="s">
        <v>144</v>
      </c>
      <c r="AX263" s="1">
        <v>2</v>
      </c>
      <c r="AY263" s="1">
        <v>3</v>
      </c>
      <c r="AZ263" s="1" t="s">
        <v>503</v>
      </c>
      <c r="BA263" s="1" t="s">
        <v>79</v>
      </c>
      <c r="BB263" s="1" t="s">
        <v>503</v>
      </c>
      <c r="BC263" s="1" t="s">
        <v>79</v>
      </c>
      <c r="BD263" s="1" t="s">
        <v>503</v>
      </c>
      <c r="BE263" s="1" t="s">
        <v>79</v>
      </c>
      <c r="BF263" s="5" t="s">
        <v>83</v>
      </c>
    </row>
    <row r="264" spans="1:58" x14ac:dyDescent="0.35">
      <c r="A264" s="4">
        <v>263</v>
      </c>
      <c r="B264" s="1" t="s">
        <v>1675</v>
      </c>
      <c r="C264" s="1" t="s">
        <v>375</v>
      </c>
      <c r="D264" s="1" t="s">
        <v>1677</v>
      </c>
      <c r="E264" s="1" t="s">
        <v>69</v>
      </c>
      <c r="F264" s="1" t="s">
        <v>69</v>
      </c>
      <c r="G264" s="1" t="s">
        <v>69</v>
      </c>
      <c r="H264" s="1" t="s">
        <v>69</v>
      </c>
      <c r="I264" s="1" t="s">
        <v>106</v>
      </c>
      <c r="J264" s="1" t="s">
        <v>1168</v>
      </c>
      <c r="K264" s="1">
        <v>25</v>
      </c>
      <c r="L264" s="1" t="s">
        <v>72</v>
      </c>
      <c r="M264" s="1" t="s">
        <v>73</v>
      </c>
      <c r="N264" s="1" t="s">
        <v>110</v>
      </c>
      <c r="O264" s="1">
        <v>4</v>
      </c>
      <c r="P264" s="1">
        <v>4</v>
      </c>
      <c r="Q264" s="1">
        <f>data[[#This Row],[Nilai Kepentingan Dimensi Persyaratan]]-data[[#This Row],[Nilai Kepuasan Dimensi Persyaratan]]</f>
        <v>0</v>
      </c>
      <c r="R264" s="1">
        <v>4</v>
      </c>
      <c r="S264" s="1">
        <v>4</v>
      </c>
      <c r="T264" s="1">
        <f>data[[#This Row],[Nilai Kepentingan Dimensi Prosedur]]-data[[#This Row],[Nilai Kepuasan Dimensi Prosedur]]</f>
        <v>0</v>
      </c>
      <c r="U264" s="1">
        <v>4</v>
      </c>
      <c r="V264" s="1">
        <v>4</v>
      </c>
      <c r="W264" s="1">
        <f>data[[#This Row],[Nilai Kepentingan Dimensi Waktu Pelayanan/Penyelesaian]]-data[[#This Row],[Nilai Kepuasan Dimensi Waktu Pelayanan/Penyelesaian]]</f>
        <v>0</v>
      </c>
      <c r="X264" s="1">
        <v>0</v>
      </c>
      <c r="Y264" s="1">
        <v>0</v>
      </c>
      <c r="Z264" s="1">
        <f>data[[#This Row],[Nilai Kepentingan Dimensi Tarif/ Biaya]]-data[[#This Row],[Nilai Kepuasan Dimensi Tarif / Biaya]]</f>
        <v>0</v>
      </c>
      <c r="AA264" s="1">
        <v>4</v>
      </c>
      <c r="AB264" s="1">
        <v>4</v>
      </c>
      <c r="AC264" s="1">
        <f>data[[#This Row],[Nilai Kepentingan Dimensi Produk Spesifikasi Jenis Layanan]]-data[[#This Row],[Nilai Kepuasan Dimensi Produk Spesifikasi Jenis Layanan]]</f>
        <v>0</v>
      </c>
      <c r="AD264" s="1">
        <v>4</v>
      </c>
      <c r="AE264" s="1">
        <v>4</v>
      </c>
      <c r="AF264" s="1">
        <f>data[[#This Row],[Nilai Kepentingan Dimensi Kompetensi Pelaksana]]-data[[#This Row],[Nilai Kepuasan Dimensi Kompetensi Pelaksana]]</f>
        <v>0</v>
      </c>
      <c r="AG264" s="1">
        <v>4</v>
      </c>
      <c r="AH264" s="1">
        <v>4</v>
      </c>
      <c r="AI264" s="1">
        <f>data[[#This Row],[Nilai Kepentingan Dimensi Perilaku Pelaksana]]-data[[#This Row],[Nilai Kepuasan Dimensi Perilaku Pelaksana]]</f>
        <v>0</v>
      </c>
      <c r="AJ264" s="1">
        <v>4</v>
      </c>
      <c r="AK264" s="1">
        <v>4</v>
      </c>
      <c r="AL264" s="1">
        <f>data[[#This Row],[Nilai Kepentingan Dimensi Penanganan Pengaduan, Saran &amp; Masukan]]-data[[#This Row],[Nilai Kepuasan Dimensi Penanganan Pengaduan, Saran &amp; Masukan]]</f>
        <v>0</v>
      </c>
      <c r="AM264" s="1">
        <v>4</v>
      </c>
      <c r="AN264" s="1">
        <v>4</v>
      </c>
      <c r="AO264" s="1">
        <f>data[[#This Row],[Nilai Kepentingan Dimensi Kualitas Sarana dan Prasarana]]-data[[#This Row],[Nilai Kepuasan Dimensi Kualitas Sarana dan Prasarana]]</f>
        <v>0</v>
      </c>
      <c r="AP264" s="1">
        <v>0</v>
      </c>
      <c r="AQ264" s="1" t="s">
        <v>69</v>
      </c>
      <c r="AR264" s="1">
        <v>0</v>
      </c>
      <c r="AS264" s="1" t="s">
        <v>69</v>
      </c>
      <c r="AT264" s="1">
        <v>4</v>
      </c>
      <c r="AU264" s="1" t="s">
        <v>75</v>
      </c>
      <c r="AV264" s="1" t="s">
        <v>83</v>
      </c>
      <c r="AW264" s="1" t="s">
        <v>96</v>
      </c>
      <c r="AX264" s="1">
        <v>0</v>
      </c>
      <c r="AY264" s="1">
        <v>0</v>
      </c>
      <c r="AZ264" s="1" t="s">
        <v>1680</v>
      </c>
      <c r="BA264" s="1" t="s">
        <v>112</v>
      </c>
      <c r="BB264" s="1" t="s">
        <v>442</v>
      </c>
      <c r="BC264" s="1" t="s">
        <v>79</v>
      </c>
      <c r="BD264" s="1" t="s">
        <v>442</v>
      </c>
      <c r="BE264" s="1" t="s">
        <v>79</v>
      </c>
      <c r="BF264" s="5" t="s">
        <v>83</v>
      </c>
    </row>
    <row r="265" spans="1:58" x14ac:dyDescent="0.35">
      <c r="A265" s="4">
        <v>264</v>
      </c>
      <c r="B265" s="1" t="s">
        <v>1681</v>
      </c>
      <c r="C265" s="1" t="s">
        <v>63</v>
      </c>
      <c r="D265" s="1" t="s">
        <v>63</v>
      </c>
      <c r="E265" s="1" t="s">
        <v>69</v>
      </c>
      <c r="F265" s="1" t="s">
        <v>69</v>
      </c>
      <c r="G265" s="1" t="s">
        <v>69</v>
      </c>
      <c r="H265" s="1" t="s">
        <v>69</v>
      </c>
      <c r="I265" s="1" t="s">
        <v>106</v>
      </c>
      <c r="J265" s="1" t="s">
        <v>1168</v>
      </c>
      <c r="K265" s="1">
        <v>29</v>
      </c>
      <c r="L265" s="1" t="s">
        <v>92</v>
      </c>
      <c r="M265" s="1" t="s">
        <v>73</v>
      </c>
      <c r="N265" s="1" t="s">
        <v>110</v>
      </c>
      <c r="O265" s="1">
        <v>4</v>
      </c>
      <c r="P265" s="1">
        <v>4</v>
      </c>
      <c r="Q265" s="1">
        <f>data[[#This Row],[Nilai Kepentingan Dimensi Persyaratan]]-data[[#This Row],[Nilai Kepuasan Dimensi Persyaratan]]</f>
        <v>0</v>
      </c>
      <c r="R265" s="1">
        <v>4</v>
      </c>
      <c r="S265" s="1">
        <v>4</v>
      </c>
      <c r="T265" s="1">
        <f>data[[#This Row],[Nilai Kepentingan Dimensi Prosedur]]-data[[#This Row],[Nilai Kepuasan Dimensi Prosedur]]</f>
        <v>0</v>
      </c>
      <c r="U265" s="1">
        <v>4</v>
      </c>
      <c r="V265" s="1">
        <v>4</v>
      </c>
      <c r="W265" s="1">
        <f>data[[#This Row],[Nilai Kepentingan Dimensi Waktu Pelayanan/Penyelesaian]]-data[[#This Row],[Nilai Kepuasan Dimensi Waktu Pelayanan/Penyelesaian]]</f>
        <v>0</v>
      </c>
      <c r="X265" s="1">
        <v>0</v>
      </c>
      <c r="Y265" s="1">
        <v>0</v>
      </c>
      <c r="Z265" s="1">
        <f>data[[#This Row],[Nilai Kepentingan Dimensi Tarif/ Biaya]]-data[[#This Row],[Nilai Kepuasan Dimensi Tarif / Biaya]]</f>
        <v>0</v>
      </c>
      <c r="AA265" s="1">
        <v>4</v>
      </c>
      <c r="AB265" s="1">
        <v>4</v>
      </c>
      <c r="AC265" s="1">
        <f>data[[#This Row],[Nilai Kepentingan Dimensi Produk Spesifikasi Jenis Layanan]]-data[[#This Row],[Nilai Kepuasan Dimensi Produk Spesifikasi Jenis Layanan]]</f>
        <v>0</v>
      </c>
      <c r="AD265" s="1">
        <v>4</v>
      </c>
      <c r="AE265" s="1">
        <v>4</v>
      </c>
      <c r="AF265" s="1">
        <f>data[[#This Row],[Nilai Kepentingan Dimensi Kompetensi Pelaksana]]-data[[#This Row],[Nilai Kepuasan Dimensi Kompetensi Pelaksana]]</f>
        <v>0</v>
      </c>
      <c r="AG265" s="1">
        <v>4</v>
      </c>
      <c r="AH265" s="1">
        <v>4</v>
      </c>
      <c r="AI265" s="1">
        <f>data[[#This Row],[Nilai Kepentingan Dimensi Perilaku Pelaksana]]-data[[#This Row],[Nilai Kepuasan Dimensi Perilaku Pelaksana]]</f>
        <v>0</v>
      </c>
      <c r="AJ265" s="1">
        <v>4</v>
      </c>
      <c r="AK265" s="1">
        <v>4</v>
      </c>
      <c r="AL265" s="1">
        <f>data[[#This Row],[Nilai Kepentingan Dimensi Penanganan Pengaduan, Saran &amp; Masukan]]-data[[#This Row],[Nilai Kepuasan Dimensi Penanganan Pengaduan, Saran &amp; Masukan]]</f>
        <v>0</v>
      </c>
      <c r="AM265" s="1">
        <v>4</v>
      </c>
      <c r="AN265" s="1">
        <v>4</v>
      </c>
      <c r="AO265" s="1">
        <f>data[[#This Row],[Nilai Kepentingan Dimensi Kualitas Sarana dan Prasarana]]-data[[#This Row],[Nilai Kepuasan Dimensi Kualitas Sarana dan Prasarana]]</f>
        <v>0</v>
      </c>
      <c r="AP265" s="1">
        <v>0</v>
      </c>
      <c r="AQ265" s="1" t="s">
        <v>69</v>
      </c>
      <c r="AR265" s="1">
        <v>0</v>
      </c>
      <c r="AS265" s="1" t="s">
        <v>69</v>
      </c>
      <c r="AT265" s="1">
        <v>0</v>
      </c>
      <c r="AU265" s="1" t="s">
        <v>69</v>
      </c>
      <c r="AV265" s="1" t="s">
        <v>1278</v>
      </c>
      <c r="AW265" s="1" t="s">
        <v>186</v>
      </c>
      <c r="AX265" s="1">
        <v>1</v>
      </c>
      <c r="AY265" s="1">
        <v>4</v>
      </c>
      <c r="AZ265" s="1" t="s">
        <v>503</v>
      </c>
      <c r="BA265" s="1" t="s">
        <v>79</v>
      </c>
      <c r="BB265" s="1" t="s">
        <v>503</v>
      </c>
      <c r="BC265" s="1" t="s">
        <v>79</v>
      </c>
      <c r="BD265" s="1" t="s">
        <v>1685</v>
      </c>
      <c r="BE265" s="1" t="s">
        <v>1184</v>
      </c>
      <c r="BF265" s="5" t="s">
        <v>83</v>
      </c>
    </row>
    <row r="266" spans="1:58" x14ac:dyDescent="0.35">
      <c r="A266" s="4">
        <v>265</v>
      </c>
      <c r="B266" s="1" t="s">
        <v>1686</v>
      </c>
      <c r="C266" s="1" t="s">
        <v>63</v>
      </c>
      <c r="D266" s="1" t="s">
        <v>1688</v>
      </c>
      <c r="E266" s="1" t="s">
        <v>69</v>
      </c>
      <c r="F266" s="1" t="s">
        <v>69</v>
      </c>
      <c r="G266" s="1" t="s">
        <v>69</v>
      </c>
      <c r="H266" s="1" t="s">
        <v>69</v>
      </c>
      <c r="I266" s="1" t="s">
        <v>106</v>
      </c>
      <c r="J266" s="1" t="s">
        <v>1168</v>
      </c>
      <c r="K266" s="1">
        <v>53</v>
      </c>
      <c r="L266" s="1" t="s">
        <v>383</v>
      </c>
      <c r="M266" s="1" t="s">
        <v>273</v>
      </c>
      <c r="N266" s="1" t="s">
        <v>110</v>
      </c>
      <c r="O266" s="1">
        <v>4</v>
      </c>
      <c r="P266" s="1">
        <v>4</v>
      </c>
      <c r="Q266" s="1">
        <f>data[[#This Row],[Nilai Kepentingan Dimensi Persyaratan]]-data[[#This Row],[Nilai Kepuasan Dimensi Persyaratan]]</f>
        <v>0</v>
      </c>
      <c r="R266" s="1">
        <v>4</v>
      </c>
      <c r="S266" s="1">
        <v>3</v>
      </c>
      <c r="T266" s="1">
        <f>data[[#This Row],[Nilai Kepentingan Dimensi Prosedur]]-data[[#This Row],[Nilai Kepuasan Dimensi Prosedur]]</f>
        <v>-1</v>
      </c>
      <c r="U266" s="1">
        <v>4</v>
      </c>
      <c r="V266" s="1">
        <v>4</v>
      </c>
      <c r="W266" s="1">
        <f>data[[#This Row],[Nilai Kepentingan Dimensi Waktu Pelayanan/Penyelesaian]]-data[[#This Row],[Nilai Kepuasan Dimensi Waktu Pelayanan/Penyelesaian]]</f>
        <v>0</v>
      </c>
      <c r="X266" s="1">
        <v>0</v>
      </c>
      <c r="Y266" s="1">
        <v>0</v>
      </c>
      <c r="Z266" s="1">
        <f>data[[#This Row],[Nilai Kepentingan Dimensi Tarif/ Biaya]]-data[[#This Row],[Nilai Kepuasan Dimensi Tarif / Biaya]]</f>
        <v>0</v>
      </c>
      <c r="AA266" s="1">
        <v>4</v>
      </c>
      <c r="AB266" s="1">
        <v>3</v>
      </c>
      <c r="AC266" s="1">
        <f>data[[#This Row],[Nilai Kepentingan Dimensi Produk Spesifikasi Jenis Layanan]]-data[[#This Row],[Nilai Kepuasan Dimensi Produk Spesifikasi Jenis Layanan]]</f>
        <v>-1</v>
      </c>
      <c r="AD266" s="1">
        <v>4</v>
      </c>
      <c r="AE266" s="1">
        <v>4</v>
      </c>
      <c r="AF266" s="1">
        <f>data[[#This Row],[Nilai Kepentingan Dimensi Kompetensi Pelaksana]]-data[[#This Row],[Nilai Kepuasan Dimensi Kompetensi Pelaksana]]</f>
        <v>0</v>
      </c>
      <c r="AG266" s="1">
        <v>4</v>
      </c>
      <c r="AH266" s="1">
        <v>4</v>
      </c>
      <c r="AI266" s="1">
        <f>data[[#This Row],[Nilai Kepentingan Dimensi Perilaku Pelaksana]]-data[[#This Row],[Nilai Kepuasan Dimensi Perilaku Pelaksana]]</f>
        <v>0</v>
      </c>
      <c r="AJ266" s="1">
        <v>4</v>
      </c>
      <c r="AK266" s="1">
        <v>4</v>
      </c>
      <c r="AL266" s="1">
        <f>data[[#This Row],[Nilai Kepentingan Dimensi Penanganan Pengaduan, Saran &amp; Masukan]]-data[[#This Row],[Nilai Kepuasan Dimensi Penanganan Pengaduan, Saran &amp; Masukan]]</f>
        <v>0</v>
      </c>
      <c r="AM266" s="1">
        <v>4</v>
      </c>
      <c r="AN266" s="1">
        <v>4</v>
      </c>
      <c r="AO266" s="1">
        <f>data[[#This Row],[Nilai Kepentingan Dimensi Kualitas Sarana dan Prasarana]]-data[[#This Row],[Nilai Kepuasan Dimensi Kualitas Sarana dan Prasarana]]</f>
        <v>0</v>
      </c>
      <c r="AP266" s="1">
        <v>0</v>
      </c>
      <c r="AQ266" s="1" t="s">
        <v>69</v>
      </c>
      <c r="AR266" s="1">
        <v>0</v>
      </c>
      <c r="AS266" s="1" t="s">
        <v>69</v>
      </c>
      <c r="AT266" s="1">
        <v>0</v>
      </c>
      <c r="AU266" s="1" t="s">
        <v>69</v>
      </c>
      <c r="AV266" s="1" t="s">
        <v>77</v>
      </c>
      <c r="AW266" s="1" t="s">
        <v>77</v>
      </c>
      <c r="AX266" s="1">
        <v>1</v>
      </c>
      <c r="AY266" s="1">
        <v>4</v>
      </c>
      <c r="AZ266" s="1" t="s">
        <v>503</v>
      </c>
      <c r="BA266" s="1" t="s">
        <v>79</v>
      </c>
      <c r="BB266" s="1" t="s">
        <v>248</v>
      </c>
      <c r="BC266" s="1" t="s">
        <v>79</v>
      </c>
      <c r="BD266" s="1" t="s">
        <v>503</v>
      </c>
      <c r="BE266" s="1" t="s">
        <v>79</v>
      </c>
      <c r="BF266" s="5" t="s">
        <v>83</v>
      </c>
    </row>
    <row r="267" spans="1:58" x14ac:dyDescent="0.35">
      <c r="A267" s="4">
        <v>266</v>
      </c>
      <c r="B267" s="1" t="s">
        <v>1690</v>
      </c>
      <c r="C267" s="1" t="s">
        <v>63</v>
      </c>
      <c r="D267" s="1" t="s">
        <v>125</v>
      </c>
      <c r="E267" s="1" t="s">
        <v>69</v>
      </c>
      <c r="F267" s="1" t="s">
        <v>69</v>
      </c>
      <c r="G267" s="1" t="s">
        <v>69</v>
      </c>
      <c r="H267" s="1" t="s">
        <v>69</v>
      </c>
      <c r="I267" s="1" t="s">
        <v>70</v>
      </c>
      <c r="J267" s="1" t="s">
        <v>1168</v>
      </c>
      <c r="K267" s="1">
        <v>40</v>
      </c>
      <c r="L267" s="1" t="s">
        <v>153</v>
      </c>
      <c r="M267" s="1" t="s">
        <v>73</v>
      </c>
      <c r="N267" s="1" t="s">
        <v>110</v>
      </c>
      <c r="O267" s="1">
        <v>4</v>
      </c>
      <c r="P267" s="1">
        <v>4</v>
      </c>
      <c r="Q267" s="1">
        <f>data[[#This Row],[Nilai Kepentingan Dimensi Persyaratan]]-data[[#This Row],[Nilai Kepuasan Dimensi Persyaratan]]</f>
        <v>0</v>
      </c>
      <c r="R267" s="1">
        <v>4</v>
      </c>
      <c r="S267" s="1">
        <v>4</v>
      </c>
      <c r="T267" s="1">
        <f>data[[#This Row],[Nilai Kepentingan Dimensi Prosedur]]-data[[#This Row],[Nilai Kepuasan Dimensi Prosedur]]</f>
        <v>0</v>
      </c>
      <c r="U267" s="1">
        <v>4</v>
      </c>
      <c r="V267" s="1">
        <v>4</v>
      </c>
      <c r="W267" s="1">
        <f>data[[#This Row],[Nilai Kepentingan Dimensi Waktu Pelayanan/Penyelesaian]]-data[[#This Row],[Nilai Kepuasan Dimensi Waktu Pelayanan/Penyelesaian]]</f>
        <v>0</v>
      </c>
      <c r="X267" s="1">
        <v>0</v>
      </c>
      <c r="Y267" s="1">
        <v>0</v>
      </c>
      <c r="Z267" s="1">
        <f>data[[#This Row],[Nilai Kepentingan Dimensi Tarif/ Biaya]]-data[[#This Row],[Nilai Kepuasan Dimensi Tarif / Biaya]]</f>
        <v>0</v>
      </c>
      <c r="AA267" s="1">
        <v>4</v>
      </c>
      <c r="AB267" s="1">
        <v>4</v>
      </c>
      <c r="AC267" s="1">
        <f>data[[#This Row],[Nilai Kepentingan Dimensi Produk Spesifikasi Jenis Layanan]]-data[[#This Row],[Nilai Kepuasan Dimensi Produk Spesifikasi Jenis Layanan]]</f>
        <v>0</v>
      </c>
      <c r="AD267" s="1">
        <v>4</v>
      </c>
      <c r="AE267" s="1">
        <v>4</v>
      </c>
      <c r="AF267" s="1">
        <f>data[[#This Row],[Nilai Kepentingan Dimensi Kompetensi Pelaksana]]-data[[#This Row],[Nilai Kepuasan Dimensi Kompetensi Pelaksana]]</f>
        <v>0</v>
      </c>
      <c r="AG267" s="1">
        <v>4</v>
      </c>
      <c r="AH267" s="1">
        <v>4</v>
      </c>
      <c r="AI267" s="1">
        <f>data[[#This Row],[Nilai Kepentingan Dimensi Perilaku Pelaksana]]-data[[#This Row],[Nilai Kepuasan Dimensi Perilaku Pelaksana]]</f>
        <v>0</v>
      </c>
      <c r="AJ267" s="1">
        <v>4</v>
      </c>
      <c r="AK267" s="1">
        <v>4</v>
      </c>
      <c r="AL267" s="1">
        <f>data[[#This Row],[Nilai Kepentingan Dimensi Penanganan Pengaduan, Saran &amp; Masukan]]-data[[#This Row],[Nilai Kepuasan Dimensi Penanganan Pengaduan, Saran &amp; Masukan]]</f>
        <v>0</v>
      </c>
      <c r="AM267" s="1">
        <v>4</v>
      </c>
      <c r="AN267" s="1">
        <v>3</v>
      </c>
      <c r="AO267" s="1">
        <f>data[[#This Row],[Nilai Kepentingan Dimensi Kualitas Sarana dan Prasarana]]-data[[#This Row],[Nilai Kepuasan Dimensi Kualitas Sarana dan Prasarana]]</f>
        <v>-1</v>
      </c>
      <c r="AP267" s="1">
        <v>0</v>
      </c>
      <c r="AQ267" s="1" t="s">
        <v>69</v>
      </c>
      <c r="AR267" s="1">
        <v>0</v>
      </c>
      <c r="AS267" s="1" t="s">
        <v>69</v>
      </c>
      <c r="AT267" s="1">
        <v>0</v>
      </c>
      <c r="AU267" s="1" t="s">
        <v>69</v>
      </c>
      <c r="AV267" s="1" t="s">
        <v>1223</v>
      </c>
      <c r="AW267" s="1" t="s">
        <v>186</v>
      </c>
      <c r="AX267" s="1">
        <v>1</v>
      </c>
      <c r="AY267" s="1">
        <v>4</v>
      </c>
      <c r="AZ267" s="1" t="s">
        <v>1695</v>
      </c>
      <c r="BA267" s="1" t="s">
        <v>112</v>
      </c>
      <c r="BB267" s="1" t="s">
        <v>503</v>
      </c>
      <c r="BC267" s="1" t="s">
        <v>79</v>
      </c>
      <c r="BD267" s="1" t="s">
        <v>961</v>
      </c>
      <c r="BE267" s="1" t="s">
        <v>79</v>
      </c>
      <c r="BF267" s="5" t="s">
        <v>83</v>
      </c>
    </row>
    <row r="268" spans="1:58" x14ac:dyDescent="0.35">
      <c r="A268" s="4">
        <v>267</v>
      </c>
      <c r="B268" s="1" t="s">
        <v>1696</v>
      </c>
      <c r="C268" s="1" t="s">
        <v>63</v>
      </c>
      <c r="D268" s="1" t="s">
        <v>136</v>
      </c>
      <c r="E268" s="1" t="s">
        <v>69</v>
      </c>
      <c r="F268" s="1" t="s">
        <v>69</v>
      </c>
      <c r="G268" s="1" t="s">
        <v>69</v>
      </c>
      <c r="H268" s="1" t="s">
        <v>69</v>
      </c>
      <c r="I268" s="1" t="s">
        <v>70</v>
      </c>
      <c r="J268" s="1" t="s">
        <v>107</v>
      </c>
      <c r="K268" s="1">
        <v>30</v>
      </c>
      <c r="L268" s="1" t="s">
        <v>92</v>
      </c>
      <c r="M268" s="1" t="s">
        <v>254</v>
      </c>
      <c r="N268" s="1" t="s">
        <v>74</v>
      </c>
      <c r="O268" s="1">
        <v>4</v>
      </c>
      <c r="P268" s="1">
        <v>4</v>
      </c>
      <c r="Q268" s="1">
        <f>data[[#This Row],[Nilai Kepentingan Dimensi Persyaratan]]-data[[#This Row],[Nilai Kepuasan Dimensi Persyaratan]]</f>
        <v>0</v>
      </c>
      <c r="R268" s="1">
        <v>4</v>
      </c>
      <c r="S268" s="1">
        <v>4</v>
      </c>
      <c r="T268" s="1">
        <f>data[[#This Row],[Nilai Kepentingan Dimensi Prosedur]]-data[[#This Row],[Nilai Kepuasan Dimensi Prosedur]]</f>
        <v>0</v>
      </c>
      <c r="U268" s="1">
        <v>4</v>
      </c>
      <c r="V268" s="1">
        <v>4</v>
      </c>
      <c r="W268" s="1">
        <f>data[[#This Row],[Nilai Kepentingan Dimensi Waktu Pelayanan/Penyelesaian]]-data[[#This Row],[Nilai Kepuasan Dimensi Waktu Pelayanan/Penyelesaian]]</f>
        <v>0</v>
      </c>
      <c r="X268" s="1">
        <v>4</v>
      </c>
      <c r="Y268" s="1">
        <v>4</v>
      </c>
      <c r="Z268" s="1">
        <f>data[[#This Row],[Nilai Kepentingan Dimensi Tarif/ Biaya]]-data[[#This Row],[Nilai Kepuasan Dimensi Tarif / Biaya]]</f>
        <v>0</v>
      </c>
      <c r="AA268" s="1">
        <v>4</v>
      </c>
      <c r="AB268" s="1">
        <v>4</v>
      </c>
      <c r="AC268" s="1">
        <f>data[[#This Row],[Nilai Kepentingan Dimensi Produk Spesifikasi Jenis Layanan]]-data[[#This Row],[Nilai Kepuasan Dimensi Produk Spesifikasi Jenis Layanan]]</f>
        <v>0</v>
      </c>
      <c r="AD268" s="1">
        <v>4</v>
      </c>
      <c r="AE268" s="1">
        <v>4</v>
      </c>
      <c r="AF268" s="1">
        <f>data[[#This Row],[Nilai Kepentingan Dimensi Kompetensi Pelaksana]]-data[[#This Row],[Nilai Kepuasan Dimensi Kompetensi Pelaksana]]</f>
        <v>0</v>
      </c>
      <c r="AG268" s="1">
        <v>4</v>
      </c>
      <c r="AH268" s="1">
        <v>4</v>
      </c>
      <c r="AI268" s="1">
        <f>data[[#This Row],[Nilai Kepentingan Dimensi Perilaku Pelaksana]]-data[[#This Row],[Nilai Kepuasan Dimensi Perilaku Pelaksana]]</f>
        <v>0</v>
      </c>
      <c r="AJ268" s="1">
        <v>4</v>
      </c>
      <c r="AK268" s="1">
        <v>4</v>
      </c>
      <c r="AL268" s="1">
        <f>data[[#This Row],[Nilai Kepentingan Dimensi Penanganan Pengaduan, Saran &amp; Masukan]]-data[[#This Row],[Nilai Kepuasan Dimensi Penanganan Pengaduan, Saran &amp; Masukan]]</f>
        <v>0</v>
      </c>
      <c r="AM268" s="1">
        <v>4</v>
      </c>
      <c r="AN268" s="1">
        <v>4</v>
      </c>
      <c r="AO268" s="1">
        <f>data[[#This Row],[Nilai Kepentingan Dimensi Kualitas Sarana dan Prasarana]]-data[[#This Row],[Nilai Kepuasan Dimensi Kualitas Sarana dan Prasarana]]</f>
        <v>0</v>
      </c>
      <c r="AP268" s="1">
        <v>0</v>
      </c>
      <c r="AQ268" s="1" t="s">
        <v>69</v>
      </c>
      <c r="AR268" s="1">
        <v>0</v>
      </c>
      <c r="AS268" s="1" t="s">
        <v>69</v>
      </c>
      <c r="AT268" s="1">
        <v>0</v>
      </c>
      <c r="AU268" s="1" t="s">
        <v>69</v>
      </c>
      <c r="AV268" s="1" t="s">
        <v>379</v>
      </c>
      <c r="AW268" s="1" t="s">
        <v>77</v>
      </c>
      <c r="AX268" s="1">
        <v>1</v>
      </c>
      <c r="AY268" s="1">
        <v>4</v>
      </c>
      <c r="AZ268" s="1" t="s">
        <v>98</v>
      </c>
      <c r="BA268" s="1" t="s">
        <v>99</v>
      </c>
      <c r="BB268" s="1" t="s">
        <v>98</v>
      </c>
      <c r="BC268" s="1" t="s">
        <v>99</v>
      </c>
      <c r="BD268" s="1" t="s">
        <v>263</v>
      </c>
      <c r="BE268" s="1" t="s">
        <v>99</v>
      </c>
      <c r="BF268" s="5" t="s">
        <v>98</v>
      </c>
    </row>
    <row r="269" spans="1:58" x14ac:dyDescent="0.35">
      <c r="A269" s="4">
        <v>268</v>
      </c>
      <c r="B269" s="1" t="s">
        <v>1700</v>
      </c>
      <c r="C269" s="1" t="s">
        <v>904</v>
      </c>
      <c r="D269" s="1" t="s">
        <v>1702</v>
      </c>
      <c r="E269" s="1" t="s">
        <v>69</v>
      </c>
      <c r="F269" s="1" t="s">
        <v>69</v>
      </c>
      <c r="G269" s="1" t="s">
        <v>69</v>
      </c>
      <c r="H269" s="1" t="s">
        <v>69</v>
      </c>
      <c r="I269" s="1" t="s">
        <v>70</v>
      </c>
      <c r="J269" s="1" t="s">
        <v>107</v>
      </c>
      <c r="K269" s="1">
        <v>36</v>
      </c>
      <c r="L269" s="1" t="s">
        <v>153</v>
      </c>
      <c r="M269" s="1" t="s">
        <v>93</v>
      </c>
      <c r="N269" s="1" t="s">
        <v>232</v>
      </c>
      <c r="O269" s="1">
        <v>4</v>
      </c>
      <c r="P269" s="1">
        <v>4</v>
      </c>
      <c r="Q269" s="1">
        <f>data[[#This Row],[Nilai Kepentingan Dimensi Persyaratan]]-data[[#This Row],[Nilai Kepuasan Dimensi Persyaratan]]</f>
        <v>0</v>
      </c>
      <c r="R269" s="1">
        <v>3</v>
      </c>
      <c r="S269" s="1">
        <v>3</v>
      </c>
      <c r="T269" s="1">
        <f>data[[#This Row],[Nilai Kepentingan Dimensi Prosedur]]-data[[#This Row],[Nilai Kepuasan Dimensi Prosedur]]</f>
        <v>0</v>
      </c>
      <c r="U269" s="1">
        <v>3</v>
      </c>
      <c r="V269" s="1">
        <v>3</v>
      </c>
      <c r="W269" s="1">
        <f>data[[#This Row],[Nilai Kepentingan Dimensi Waktu Pelayanan/Penyelesaian]]-data[[#This Row],[Nilai Kepuasan Dimensi Waktu Pelayanan/Penyelesaian]]</f>
        <v>0</v>
      </c>
      <c r="X269" s="1">
        <v>4</v>
      </c>
      <c r="Y269" s="1">
        <v>4</v>
      </c>
      <c r="Z269" s="1">
        <f>data[[#This Row],[Nilai Kepentingan Dimensi Tarif/ Biaya]]-data[[#This Row],[Nilai Kepuasan Dimensi Tarif / Biaya]]</f>
        <v>0</v>
      </c>
      <c r="AA269" s="1">
        <v>4</v>
      </c>
      <c r="AB269" s="1">
        <v>4</v>
      </c>
      <c r="AC269" s="1">
        <f>data[[#This Row],[Nilai Kepentingan Dimensi Produk Spesifikasi Jenis Layanan]]-data[[#This Row],[Nilai Kepuasan Dimensi Produk Spesifikasi Jenis Layanan]]</f>
        <v>0</v>
      </c>
      <c r="AD269" s="1">
        <v>4</v>
      </c>
      <c r="AE269" s="1">
        <v>4</v>
      </c>
      <c r="AF269" s="1">
        <f>data[[#This Row],[Nilai Kepentingan Dimensi Kompetensi Pelaksana]]-data[[#This Row],[Nilai Kepuasan Dimensi Kompetensi Pelaksana]]</f>
        <v>0</v>
      </c>
      <c r="AG269" s="1">
        <v>3</v>
      </c>
      <c r="AH269" s="1">
        <v>3</v>
      </c>
      <c r="AI269" s="1">
        <f>data[[#This Row],[Nilai Kepentingan Dimensi Perilaku Pelaksana]]-data[[#This Row],[Nilai Kepuasan Dimensi Perilaku Pelaksana]]</f>
        <v>0</v>
      </c>
      <c r="AJ269" s="1">
        <v>4</v>
      </c>
      <c r="AK269" s="1">
        <v>4</v>
      </c>
      <c r="AL269" s="1">
        <f>data[[#This Row],[Nilai Kepentingan Dimensi Penanganan Pengaduan, Saran &amp; Masukan]]-data[[#This Row],[Nilai Kepuasan Dimensi Penanganan Pengaduan, Saran &amp; Masukan]]</f>
        <v>0</v>
      </c>
      <c r="AM269" s="1">
        <v>4</v>
      </c>
      <c r="AN269" s="1">
        <v>4</v>
      </c>
      <c r="AO269" s="1">
        <f>data[[#This Row],[Nilai Kepentingan Dimensi Kualitas Sarana dan Prasarana]]-data[[#This Row],[Nilai Kepuasan Dimensi Kualitas Sarana dan Prasarana]]</f>
        <v>0</v>
      </c>
      <c r="AP269" s="1">
        <v>3</v>
      </c>
      <c r="AQ269" s="1" t="s">
        <v>75</v>
      </c>
      <c r="AR269" s="1">
        <v>0</v>
      </c>
      <c r="AS269" s="1" t="s">
        <v>69</v>
      </c>
      <c r="AT269" s="1">
        <v>0</v>
      </c>
      <c r="AU269" s="1" t="s">
        <v>69</v>
      </c>
      <c r="AV269" s="1" t="s">
        <v>83</v>
      </c>
      <c r="AW269" s="1" t="s">
        <v>96</v>
      </c>
      <c r="AX269" s="1">
        <v>0</v>
      </c>
      <c r="AY269" s="1">
        <v>0</v>
      </c>
      <c r="AZ269" s="1" t="s">
        <v>98</v>
      </c>
      <c r="BA269" s="1" t="s">
        <v>99</v>
      </c>
      <c r="BB269" s="1" t="s">
        <v>98</v>
      </c>
      <c r="BC269" s="1" t="s">
        <v>99</v>
      </c>
      <c r="BD269" s="1" t="s">
        <v>98</v>
      </c>
      <c r="BE269" s="1" t="s">
        <v>99</v>
      </c>
      <c r="BF269" s="5" t="s">
        <v>98</v>
      </c>
    </row>
    <row r="270" spans="1:58" x14ac:dyDescent="0.35">
      <c r="A270" s="4">
        <v>269</v>
      </c>
      <c r="B270" s="1" t="s">
        <v>1705</v>
      </c>
      <c r="C270" s="1" t="s">
        <v>63</v>
      </c>
      <c r="D270" s="1" t="s">
        <v>1707</v>
      </c>
      <c r="E270" s="1" t="s">
        <v>69</v>
      </c>
      <c r="F270" s="1" t="s">
        <v>69</v>
      </c>
      <c r="G270" s="1" t="s">
        <v>69</v>
      </c>
      <c r="H270" s="1" t="s">
        <v>69</v>
      </c>
      <c r="I270" s="1" t="s">
        <v>70</v>
      </c>
      <c r="J270" s="1" t="s">
        <v>271</v>
      </c>
      <c r="K270" s="1">
        <v>20</v>
      </c>
      <c r="L270" s="1" t="s">
        <v>131</v>
      </c>
      <c r="M270" s="1" t="s">
        <v>73</v>
      </c>
      <c r="N270" s="1" t="s">
        <v>95</v>
      </c>
      <c r="O270" s="1">
        <v>3</v>
      </c>
      <c r="P270" s="1">
        <v>3</v>
      </c>
      <c r="Q270" s="1">
        <f>data[[#This Row],[Nilai Kepentingan Dimensi Persyaratan]]-data[[#This Row],[Nilai Kepuasan Dimensi Persyaratan]]</f>
        <v>0</v>
      </c>
      <c r="R270" s="1">
        <v>3</v>
      </c>
      <c r="S270" s="1">
        <v>3</v>
      </c>
      <c r="T270" s="1">
        <f>data[[#This Row],[Nilai Kepentingan Dimensi Prosedur]]-data[[#This Row],[Nilai Kepuasan Dimensi Prosedur]]</f>
        <v>0</v>
      </c>
      <c r="U270" s="1">
        <v>3</v>
      </c>
      <c r="V270" s="1">
        <v>3</v>
      </c>
      <c r="W270" s="1">
        <f>data[[#This Row],[Nilai Kepentingan Dimensi Waktu Pelayanan/Penyelesaian]]-data[[#This Row],[Nilai Kepuasan Dimensi Waktu Pelayanan/Penyelesaian]]</f>
        <v>0</v>
      </c>
      <c r="X270" s="1">
        <v>3</v>
      </c>
      <c r="Y270" s="1">
        <v>3</v>
      </c>
      <c r="Z270" s="1">
        <f>data[[#This Row],[Nilai Kepentingan Dimensi Tarif/ Biaya]]-data[[#This Row],[Nilai Kepuasan Dimensi Tarif / Biaya]]</f>
        <v>0</v>
      </c>
      <c r="AA270" s="1">
        <v>3</v>
      </c>
      <c r="AB270" s="1">
        <v>3</v>
      </c>
      <c r="AC270" s="1">
        <f>data[[#This Row],[Nilai Kepentingan Dimensi Produk Spesifikasi Jenis Layanan]]-data[[#This Row],[Nilai Kepuasan Dimensi Produk Spesifikasi Jenis Layanan]]</f>
        <v>0</v>
      </c>
      <c r="AD270" s="1">
        <v>3</v>
      </c>
      <c r="AE270" s="1">
        <v>3</v>
      </c>
      <c r="AF270" s="1">
        <f>data[[#This Row],[Nilai Kepentingan Dimensi Kompetensi Pelaksana]]-data[[#This Row],[Nilai Kepuasan Dimensi Kompetensi Pelaksana]]</f>
        <v>0</v>
      </c>
      <c r="AG270" s="1">
        <v>3</v>
      </c>
      <c r="AH270" s="1">
        <v>3</v>
      </c>
      <c r="AI270" s="1">
        <f>data[[#This Row],[Nilai Kepentingan Dimensi Perilaku Pelaksana]]-data[[#This Row],[Nilai Kepuasan Dimensi Perilaku Pelaksana]]</f>
        <v>0</v>
      </c>
      <c r="AJ270" s="1">
        <v>3</v>
      </c>
      <c r="AK270" s="1">
        <v>3</v>
      </c>
      <c r="AL270" s="1">
        <f>data[[#This Row],[Nilai Kepentingan Dimensi Penanganan Pengaduan, Saran &amp; Masukan]]-data[[#This Row],[Nilai Kepuasan Dimensi Penanganan Pengaduan, Saran &amp; Masukan]]</f>
        <v>0</v>
      </c>
      <c r="AM270" s="1">
        <v>3</v>
      </c>
      <c r="AN270" s="1">
        <v>3</v>
      </c>
      <c r="AO270" s="1">
        <f>data[[#This Row],[Nilai Kepentingan Dimensi Kualitas Sarana dan Prasarana]]-data[[#This Row],[Nilai Kepuasan Dimensi Kualitas Sarana dan Prasarana]]</f>
        <v>0</v>
      </c>
      <c r="AP270" s="1">
        <v>0</v>
      </c>
      <c r="AQ270" s="1" t="s">
        <v>69</v>
      </c>
      <c r="AR270" s="1">
        <v>0</v>
      </c>
      <c r="AS270" s="1" t="s">
        <v>69</v>
      </c>
      <c r="AT270" s="1">
        <v>0</v>
      </c>
      <c r="AU270" s="1" t="s">
        <v>69</v>
      </c>
      <c r="AV270" s="1" t="s">
        <v>532</v>
      </c>
      <c r="AW270" s="1" t="s">
        <v>77</v>
      </c>
      <c r="AX270" s="1">
        <v>2</v>
      </c>
      <c r="AY270" s="1">
        <v>3</v>
      </c>
      <c r="AZ270" s="1" t="s">
        <v>98</v>
      </c>
      <c r="BA270" s="1" t="s">
        <v>99</v>
      </c>
      <c r="BB270" s="1" t="s">
        <v>1295</v>
      </c>
      <c r="BC270" s="1" t="s">
        <v>157</v>
      </c>
      <c r="BD270" s="1" t="s">
        <v>98</v>
      </c>
      <c r="BE270" s="1" t="s">
        <v>99</v>
      </c>
      <c r="BF270" s="5" t="s">
        <v>263</v>
      </c>
    </row>
    <row r="271" spans="1:58" x14ac:dyDescent="0.35">
      <c r="A271" s="4">
        <v>270</v>
      </c>
      <c r="B271" s="1" t="s">
        <v>1710</v>
      </c>
      <c r="C271" s="1" t="s">
        <v>63</v>
      </c>
      <c r="D271" s="1" t="s">
        <v>338</v>
      </c>
      <c r="E271" s="1" t="s">
        <v>69</v>
      </c>
      <c r="F271" s="1" t="s">
        <v>69</v>
      </c>
      <c r="G271" s="1" t="s">
        <v>69</v>
      </c>
      <c r="H271" s="1" t="s">
        <v>69</v>
      </c>
      <c r="I271" s="1" t="s">
        <v>106</v>
      </c>
      <c r="J271" s="1" t="s">
        <v>271</v>
      </c>
      <c r="K271" s="1">
        <v>26</v>
      </c>
      <c r="L271" s="1" t="s">
        <v>92</v>
      </c>
      <c r="M271" s="1" t="s">
        <v>73</v>
      </c>
      <c r="N271" s="1" t="s">
        <v>74</v>
      </c>
      <c r="O271" s="1">
        <v>3</v>
      </c>
      <c r="P271" s="1">
        <v>3</v>
      </c>
      <c r="Q271" s="1">
        <f>data[[#This Row],[Nilai Kepentingan Dimensi Persyaratan]]-data[[#This Row],[Nilai Kepuasan Dimensi Persyaratan]]</f>
        <v>0</v>
      </c>
      <c r="R271" s="1">
        <v>3</v>
      </c>
      <c r="S271" s="1">
        <v>3</v>
      </c>
      <c r="T271" s="1">
        <f>data[[#This Row],[Nilai Kepentingan Dimensi Prosedur]]-data[[#This Row],[Nilai Kepuasan Dimensi Prosedur]]</f>
        <v>0</v>
      </c>
      <c r="U271" s="1">
        <v>3</v>
      </c>
      <c r="V271" s="1">
        <v>3</v>
      </c>
      <c r="W271" s="1">
        <f>data[[#This Row],[Nilai Kepentingan Dimensi Waktu Pelayanan/Penyelesaian]]-data[[#This Row],[Nilai Kepuasan Dimensi Waktu Pelayanan/Penyelesaian]]</f>
        <v>0</v>
      </c>
      <c r="X271" s="1">
        <v>3</v>
      </c>
      <c r="Y271" s="1">
        <v>3</v>
      </c>
      <c r="Z271" s="1">
        <f>data[[#This Row],[Nilai Kepentingan Dimensi Tarif/ Biaya]]-data[[#This Row],[Nilai Kepuasan Dimensi Tarif / Biaya]]</f>
        <v>0</v>
      </c>
      <c r="AA271" s="1">
        <v>3</v>
      </c>
      <c r="AB271" s="1">
        <v>3</v>
      </c>
      <c r="AC271" s="1">
        <f>data[[#This Row],[Nilai Kepentingan Dimensi Produk Spesifikasi Jenis Layanan]]-data[[#This Row],[Nilai Kepuasan Dimensi Produk Spesifikasi Jenis Layanan]]</f>
        <v>0</v>
      </c>
      <c r="AD271" s="1">
        <v>3</v>
      </c>
      <c r="AE271" s="1">
        <v>3</v>
      </c>
      <c r="AF271" s="1">
        <f>data[[#This Row],[Nilai Kepentingan Dimensi Kompetensi Pelaksana]]-data[[#This Row],[Nilai Kepuasan Dimensi Kompetensi Pelaksana]]</f>
        <v>0</v>
      </c>
      <c r="AG271" s="1">
        <v>3</v>
      </c>
      <c r="AH271" s="1">
        <v>3</v>
      </c>
      <c r="AI271" s="1">
        <f>data[[#This Row],[Nilai Kepentingan Dimensi Perilaku Pelaksana]]-data[[#This Row],[Nilai Kepuasan Dimensi Perilaku Pelaksana]]</f>
        <v>0</v>
      </c>
      <c r="AJ271" s="1">
        <v>3</v>
      </c>
      <c r="AK271" s="1">
        <v>3</v>
      </c>
      <c r="AL271" s="1">
        <f>data[[#This Row],[Nilai Kepentingan Dimensi Penanganan Pengaduan, Saran &amp; Masukan]]-data[[#This Row],[Nilai Kepuasan Dimensi Penanganan Pengaduan, Saran &amp; Masukan]]</f>
        <v>0</v>
      </c>
      <c r="AM271" s="1">
        <v>3</v>
      </c>
      <c r="AN271" s="1">
        <v>3</v>
      </c>
      <c r="AO271" s="1">
        <f>data[[#This Row],[Nilai Kepentingan Dimensi Kualitas Sarana dan Prasarana]]-data[[#This Row],[Nilai Kepuasan Dimensi Kualitas Sarana dan Prasarana]]</f>
        <v>0</v>
      </c>
      <c r="AP271" s="1">
        <v>0</v>
      </c>
      <c r="AQ271" s="1" t="s">
        <v>69</v>
      </c>
      <c r="AR271" s="1">
        <v>0</v>
      </c>
      <c r="AS271" s="1" t="s">
        <v>69</v>
      </c>
      <c r="AT271" s="1">
        <v>0</v>
      </c>
      <c r="AU271" s="1" t="s">
        <v>69</v>
      </c>
      <c r="AV271" s="1" t="s">
        <v>144</v>
      </c>
      <c r="AW271" s="1" t="s">
        <v>144</v>
      </c>
      <c r="AX271" s="1">
        <v>2</v>
      </c>
      <c r="AY271" s="1">
        <v>3</v>
      </c>
      <c r="AZ271" s="1" t="s">
        <v>98</v>
      </c>
      <c r="BA271" s="1" t="s">
        <v>99</v>
      </c>
      <c r="BB271" s="1" t="s">
        <v>98</v>
      </c>
      <c r="BC271" s="1" t="s">
        <v>99</v>
      </c>
      <c r="BD271" s="1" t="s">
        <v>98</v>
      </c>
      <c r="BE271" s="1" t="s">
        <v>99</v>
      </c>
      <c r="BF271" s="5" t="s">
        <v>98</v>
      </c>
    </row>
    <row r="272" spans="1:58" x14ac:dyDescent="0.35">
      <c r="A272" s="4">
        <v>271</v>
      </c>
      <c r="B272" s="1" t="s">
        <v>1714</v>
      </c>
      <c r="C272" s="1" t="s">
        <v>63</v>
      </c>
      <c r="D272" s="1" t="s">
        <v>757</v>
      </c>
      <c r="E272" s="1" t="s">
        <v>69</v>
      </c>
      <c r="F272" s="1" t="s">
        <v>69</v>
      </c>
      <c r="G272" s="1" t="s">
        <v>69</v>
      </c>
      <c r="H272" s="1" t="s">
        <v>69</v>
      </c>
      <c r="I272" s="1" t="s">
        <v>106</v>
      </c>
      <c r="J272" s="1" t="s">
        <v>1180</v>
      </c>
      <c r="K272" s="1">
        <v>32</v>
      </c>
      <c r="L272" s="1" t="s">
        <v>109</v>
      </c>
      <c r="M272" s="1" t="s">
        <v>73</v>
      </c>
      <c r="N272" s="1" t="s">
        <v>74</v>
      </c>
      <c r="O272" s="1">
        <v>4</v>
      </c>
      <c r="P272" s="1">
        <v>4</v>
      </c>
      <c r="Q272" s="1">
        <f>data[[#This Row],[Nilai Kepentingan Dimensi Persyaratan]]-data[[#This Row],[Nilai Kepuasan Dimensi Persyaratan]]</f>
        <v>0</v>
      </c>
      <c r="R272" s="1">
        <v>4</v>
      </c>
      <c r="S272" s="1">
        <v>4</v>
      </c>
      <c r="T272" s="1">
        <f>data[[#This Row],[Nilai Kepentingan Dimensi Prosedur]]-data[[#This Row],[Nilai Kepuasan Dimensi Prosedur]]</f>
        <v>0</v>
      </c>
      <c r="U272" s="1">
        <v>4</v>
      </c>
      <c r="V272" s="1">
        <v>4</v>
      </c>
      <c r="W272" s="1">
        <f>data[[#This Row],[Nilai Kepentingan Dimensi Waktu Pelayanan/Penyelesaian]]-data[[#This Row],[Nilai Kepuasan Dimensi Waktu Pelayanan/Penyelesaian]]</f>
        <v>0</v>
      </c>
      <c r="X272" s="1">
        <v>0</v>
      </c>
      <c r="Y272" s="1">
        <v>0</v>
      </c>
      <c r="Z272" s="1">
        <f>data[[#This Row],[Nilai Kepentingan Dimensi Tarif/ Biaya]]-data[[#This Row],[Nilai Kepuasan Dimensi Tarif / Biaya]]</f>
        <v>0</v>
      </c>
      <c r="AA272" s="1">
        <v>3</v>
      </c>
      <c r="AB272" s="1">
        <v>3</v>
      </c>
      <c r="AC272" s="1">
        <f>data[[#This Row],[Nilai Kepentingan Dimensi Produk Spesifikasi Jenis Layanan]]-data[[#This Row],[Nilai Kepuasan Dimensi Produk Spesifikasi Jenis Layanan]]</f>
        <v>0</v>
      </c>
      <c r="AD272" s="1">
        <v>4</v>
      </c>
      <c r="AE272" s="1">
        <v>4</v>
      </c>
      <c r="AF272" s="1">
        <f>data[[#This Row],[Nilai Kepentingan Dimensi Kompetensi Pelaksana]]-data[[#This Row],[Nilai Kepuasan Dimensi Kompetensi Pelaksana]]</f>
        <v>0</v>
      </c>
      <c r="AG272" s="1">
        <v>3</v>
      </c>
      <c r="AH272" s="1">
        <v>3</v>
      </c>
      <c r="AI272" s="1">
        <f>data[[#This Row],[Nilai Kepentingan Dimensi Perilaku Pelaksana]]-data[[#This Row],[Nilai Kepuasan Dimensi Perilaku Pelaksana]]</f>
        <v>0</v>
      </c>
      <c r="AJ272" s="1">
        <v>3</v>
      </c>
      <c r="AK272" s="1">
        <v>3</v>
      </c>
      <c r="AL272" s="1">
        <f>data[[#This Row],[Nilai Kepentingan Dimensi Penanganan Pengaduan, Saran &amp; Masukan]]-data[[#This Row],[Nilai Kepuasan Dimensi Penanganan Pengaduan, Saran &amp; Masukan]]</f>
        <v>0</v>
      </c>
      <c r="AM272" s="1">
        <v>4</v>
      </c>
      <c r="AN272" s="1">
        <v>4</v>
      </c>
      <c r="AO272" s="1">
        <f>data[[#This Row],[Nilai Kepentingan Dimensi Kualitas Sarana dan Prasarana]]-data[[#This Row],[Nilai Kepuasan Dimensi Kualitas Sarana dan Prasarana]]</f>
        <v>0</v>
      </c>
      <c r="AP272" s="1">
        <v>0</v>
      </c>
      <c r="AQ272" s="1" t="s">
        <v>69</v>
      </c>
      <c r="AR272" s="1">
        <v>0</v>
      </c>
      <c r="AS272" s="1" t="s">
        <v>69</v>
      </c>
      <c r="AT272" s="1">
        <v>0</v>
      </c>
      <c r="AU272" s="1" t="s">
        <v>69</v>
      </c>
      <c r="AV272" s="1" t="s">
        <v>1718</v>
      </c>
      <c r="AW272" s="1" t="s">
        <v>186</v>
      </c>
      <c r="AX272" s="1">
        <v>1</v>
      </c>
      <c r="AY272" s="1">
        <v>4</v>
      </c>
      <c r="AZ272" s="1" t="s">
        <v>1719</v>
      </c>
      <c r="BA272" s="1" t="s">
        <v>112</v>
      </c>
      <c r="BB272" s="1" t="s">
        <v>961</v>
      </c>
      <c r="BC272" s="1" t="s">
        <v>79</v>
      </c>
      <c r="BD272" s="1" t="s">
        <v>1720</v>
      </c>
      <c r="BE272" s="1" t="s">
        <v>146</v>
      </c>
      <c r="BF272" s="5" t="s">
        <v>83</v>
      </c>
    </row>
    <row r="273" spans="1:58" x14ac:dyDescent="0.35">
      <c r="A273" s="4">
        <v>272</v>
      </c>
      <c r="B273" s="1" t="s">
        <v>1721</v>
      </c>
      <c r="C273" s="1" t="s">
        <v>1723</v>
      </c>
      <c r="D273" s="1" t="s">
        <v>1724</v>
      </c>
      <c r="E273" s="1" t="s">
        <v>69</v>
      </c>
      <c r="F273" s="1" t="s">
        <v>69</v>
      </c>
      <c r="G273" s="1" t="s">
        <v>69</v>
      </c>
      <c r="H273" s="1" t="s">
        <v>69</v>
      </c>
      <c r="I273" s="1" t="s">
        <v>106</v>
      </c>
      <c r="J273" s="1" t="s">
        <v>1168</v>
      </c>
      <c r="K273" s="1">
        <v>37</v>
      </c>
      <c r="L273" s="1" t="s">
        <v>153</v>
      </c>
      <c r="M273" s="1" t="s">
        <v>93</v>
      </c>
      <c r="N273" s="1" t="s">
        <v>74</v>
      </c>
      <c r="O273" s="1">
        <v>3</v>
      </c>
      <c r="P273" s="1">
        <v>3</v>
      </c>
      <c r="Q273" s="1">
        <f>data[[#This Row],[Nilai Kepentingan Dimensi Persyaratan]]-data[[#This Row],[Nilai Kepuasan Dimensi Persyaratan]]</f>
        <v>0</v>
      </c>
      <c r="R273" s="1">
        <v>4</v>
      </c>
      <c r="S273" s="1">
        <v>4</v>
      </c>
      <c r="T273" s="1">
        <f>data[[#This Row],[Nilai Kepentingan Dimensi Prosedur]]-data[[#This Row],[Nilai Kepuasan Dimensi Prosedur]]</f>
        <v>0</v>
      </c>
      <c r="U273" s="1">
        <v>4</v>
      </c>
      <c r="V273" s="1">
        <v>3</v>
      </c>
      <c r="W273" s="1">
        <f>data[[#This Row],[Nilai Kepentingan Dimensi Waktu Pelayanan/Penyelesaian]]-data[[#This Row],[Nilai Kepuasan Dimensi Waktu Pelayanan/Penyelesaian]]</f>
        <v>-1</v>
      </c>
      <c r="X273" s="1">
        <v>0</v>
      </c>
      <c r="Y273" s="1">
        <v>0</v>
      </c>
      <c r="Z273" s="1">
        <f>data[[#This Row],[Nilai Kepentingan Dimensi Tarif/ Biaya]]-data[[#This Row],[Nilai Kepuasan Dimensi Tarif / Biaya]]</f>
        <v>0</v>
      </c>
      <c r="AA273" s="1">
        <v>4</v>
      </c>
      <c r="AB273" s="1">
        <v>3</v>
      </c>
      <c r="AC273" s="1">
        <f>data[[#This Row],[Nilai Kepentingan Dimensi Produk Spesifikasi Jenis Layanan]]-data[[#This Row],[Nilai Kepuasan Dimensi Produk Spesifikasi Jenis Layanan]]</f>
        <v>-1</v>
      </c>
      <c r="AD273" s="1">
        <v>4</v>
      </c>
      <c r="AE273" s="1">
        <v>3</v>
      </c>
      <c r="AF273" s="1">
        <f>data[[#This Row],[Nilai Kepentingan Dimensi Kompetensi Pelaksana]]-data[[#This Row],[Nilai Kepuasan Dimensi Kompetensi Pelaksana]]</f>
        <v>-1</v>
      </c>
      <c r="AG273" s="1">
        <v>4</v>
      </c>
      <c r="AH273" s="1">
        <v>3</v>
      </c>
      <c r="AI273" s="1">
        <f>data[[#This Row],[Nilai Kepentingan Dimensi Perilaku Pelaksana]]-data[[#This Row],[Nilai Kepuasan Dimensi Perilaku Pelaksana]]</f>
        <v>-1</v>
      </c>
      <c r="AJ273" s="1">
        <v>3</v>
      </c>
      <c r="AK273" s="1">
        <v>3</v>
      </c>
      <c r="AL273" s="1">
        <f>data[[#This Row],[Nilai Kepentingan Dimensi Penanganan Pengaduan, Saran &amp; Masukan]]-data[[#This Row],[Nilai Kepuasan Dimensi Penanganan Pengaduan, Saran &amp; Masukan]]</f>
        <v>0</v>
      </c>
      <c r="AM273" s="1">
        <v>3</v>
      </c>
      <c r="AN273" s="1">
        <v>3</v>
      </c>
      <c r="AO273" s="1">
        <f>data[[#This Row],[Nilai Kepentingan Dimensi Kualitas Sarana dan Prasarana]]-data[[#This Row],[Nilai Kepuasan Dimensi Kualitas Sarana dan Prasarana]]</f>
        <v>0</v>
      </c>
      <c r="AP273" s="1">
        <v>0</v>
      </c>
      <c r="AQ273" s="1" t="s">
        <v>69</v>
      </c>
      <c r="AR273" s="1">
        <v>0</v>
      </c>
      <c r="AS273" s="1" t="s">
        <v>69</v>
      </c>
      <c r="AT273" s="1">
        <v>0</v>
      </c>
      <c r="AU273" s="1" t="s">
        <v>69</v>
      </c>
      <c r="AV273" s="1" t="s">
        <v>1727</v>
      </c>
      <c r="AW273" s="1" t="s">
        <v>144</v>
      </c>
      <c r="AX273" s="1">
        <v>2</v>
      </c>
      <c r="AY273" s="1">
        <v>3</v>
      </c>
      <c r="AZ273" s="1" t="s">
        <v>1728</v>
      </c>
      <c r="BA273" s="1" t="s">
        <v>99</v>
      </c>
      <c r="BB273" s="1" t="s">
        <v>1729</v>
      </c>
      <c r="BC273" s="1" t="s">
        <v>79</v>
      </c>
      <c r="BD273" s="1" t="s">
        <v>1730</v>
      </c>
      <c r="BE273" s="1" t="s">
        <v>146</v>
      </c>
      <c r="BF273" s="5" t="s">
        <v>83</v>
      </c>
    </row>
    <row r="274" spans="1:58" x14ac:dyDescent="0.35">
      <c r="A274" s="4">
        <v>273</v>
      </c>
      <c r="B274" s="1" t="s">
        <v>1731</v>
      </c>
      <c r="C274" s="1" t="s">
        <v>63</v>
      </c>
      <c r="D274" s="1" t="s">
        <v>312</v>
      </c>
      <c r="E274" s="1" t="s">
        <v>69</v>
      </c>
      <c r="F274" s="1" t="s">
        <v>69</v>
      </c>
      <c r="G274" s="1" t="s">
        <v>69</v>
      </c>
      <c r="H274" s="1" t="s">
        <v>69</v>
      </c>
      <c r="I274" s="1" t="s">
        <v>70</v>
      </c>
      <c r="J274" s="1" t="s">
        <v>1168</v>
      </c>
      <c r="K274" s="1">
        <v>35</v>
      </c>
      <c r="L274" s="1" t="s">
        <v>109</v>
      </c>
      <c r="M274" s="1" t="s">
        <v>273</v>
      </c>
      <c r="N274" s="1" t="s">
        <v>110</v>
      </c>
      <c r="O274" s="1">
        <v>3</v>
      </c>
      <c r="P274" s="1">
        <v>3</v>
      </c>
      <c r="Q274" s="1">
        <f>data[[#This Row],[Nilai Kepentingan Dimensi Persyaratan]]-data[[#This Row],[Nilai Kepuasan Dimensi Persyaratan]]</f>
        <v>0</v>
      </c>
      <c r="R274" s="1">
        <v>3</v>
      </c>
      <c r="S274" s="1">
        <v>3</v>
      </c>
      <c r="T274" s="1">
        <f>data[[#This Row],[Nilai Kepentingan Dimensi Prosedur]]-data[[#This Row],[Nilai Kepuasan Dimensi Prosedur]]</f>
        <v>0</v>
      </c>
      <c r="U274" s="1">
        <v>3</v>
      </c>
      <c r="V274" s="1">
        <v>3</v>
      </c>
      <c r="W274" s="1">
        <f>data[[#This Row],[Nilai Kepentingan Dimensi Waktu Pelayanan/Penyelesaian]]-data[[#This Row],[Nilai Kepuasan Dimensi Waktu Pelayanan/Penyelesaian]]</f>
        <v>0</v>
      </c>
      <c r="X274" s="1">
        <v>0</v>
      </c>
      <c r="Y274" s="1">
        <v>0</v>
      </c>
      <c r="Z274" s="1">
        <f>data[[#This Row],[Nilai Kepentingan Dimensi Tarif/ Biaya]]-data[[#This Row],[Nilai Kepuasan Dimensi Tarif / Biaya]]</f>
        <v>0</v>
      </c>
      <c r="AA274" s="1">
        <v>3</v>
      </c>
      <c r="AB274" s="1">
        <v>3</v>
      </c>
      <c r="AC274" s="1">
        <f>data[[#This Row],[Nilai Kepentingan Dimensi Produk Spesifikasi Jenis Layanan]]-data[[#This Row],[Nilai Kepuasan Dimensi Produk Spesifikasi Jenis Layanan]]</f>
        <v>0</v>
      </c>
      <c r="AD274" s="1">
        <v>3</v>
      </c>
      <c r="AE274" s="1">
        <v>3</v>
      </c>
      <c r="AF274" s="1">
        <f>data[[#This Row],[Nilai Kepentingan Dimensi Kompetensi Pelaksana]]-data[[#This Row],[Nilai Kepuasan Dimensi Kompetensi Pelaksana]]</f>
        <v>0</v>
      </c>
      <c r="AG274" s="1">
        <v>3</v>
      </c>
      <c r="AH274" s="1">
        <v>3</v>
      </c>
      <c r="AI274" s="1">
        <f>data[[#This Row],[Nilai Kepentingan Dimensi Perilaku Pelaksana]]-data[[#This Row],[Nilai Kepuasan Dimensi Perilaku Pelaksana]]</f>
        <v>0</v>
      </c>
      <c r="AJ274" s="1">
        <v>3</v>
      </c>
      <c r="AK274" s="1">
        <v>3</v>
      </c>
      <c r="AL274" s="1">
        <f>data[[#This Row],[Nilai Kepentingan Dimensi Penanganan Pengaduan, Saran &amp; Masukan]]-data[[#This Row],[Nilai Kepuasan Dimensi Penanganan Pengaduan, Saran &amp; Masukan]]</f>
        <v>0</v>
      </c>
      <c r="AM274" s="1">
        <v>3</v>
      </c>
      <c r="AN274" s="1">
        <v>3</v>
      </c>
      <c r="AO274" s="1">
        <f>data[[#This Row],[Nilai Kepentingan Dimensi Kualitas Sarana dan Prasarana]]-data[[#This Row],[Nilai Kepuasan Dimensi Kualitas Sarana dan Prasarana]]</f>
        <v>0</v>
      </c>
      <c r="AP274" s="1">
        <v>0</v>
      </c>
      <c r="AQ274" s="1" t="s">
        <v>69</v>
      </c>
      <c r="AR274" s="1">
        <v>0</v>
      </c>
      <c r="AS274" s="1" t="s">
        <v>69</v>
      </c>
      <c r="AT274" s="1">
        <v>0</v>
      </c>
      <c r="AU274" s="1" t="s">
        <v>69</v>
      </c>
      <c r="AV274" s="1" t="s">
        <v>1735</v>
      </c>
      <c r="AW274" s="1" t="s">
        <v>450</v>
      </c>
      <c r="AX274" s="1">
        <v>2</v>
      </c>
      <c r="AY274" s="1">
        <v>3</v>
      </c>
      <c r="AZ274" s="1" t="s">
        <v>961</v>
      </c>
      <c r="BA274" s="1" t="s">
        <v>79</v>
      </c>
      <c r="BB274" s="1" t="s">
        <v>442</v>
      </c>
      <c r="BC274" s="1" t="s">
        <v>79</v>
      </c>
      <c r="BD274" s="1" t="s">
        <v>442</v>
      </c>
      <c r="BE274" s="1" t="s">
        <v>79</v>
      </c>
      <c r="BF274" s="5" t="s">
        <v>83</v>
      </c>
    </row>
    <row r="275" spans="1:58" x14ac:dyDescent="0.35">
      <c r="A275" s="4">
        <v>274</v>
      </c>
      <c r="B275" s="1" t="s">
        <v>1736</v>
      </c>
      <c r="C275" s="1" t="s">
        <v>63</v>
      </c>
      <c r="D275" s="1" t="s">
        <v>312</v>
      </c>
      <c r="E275" s="1" t="s">
        <v>69</v>
      </c>
      <c r="F275" s="1" t="s">
        <v>69</v>
      </c>
      <c r="G275" s="1" t="s">
        <v>69</v>
      </c>
      <c r="H275" s="1" t="s">
        <v>69</v>
      </c>
      <c r="I275" s="1" t="s">
        <v>70</v>
      </c>
      <c r="J275" s="1" t="s">
        <v>271</v>
      </c>
      <c r="K275" s="1">
        <v>36</v>
      </c>
      <c r="L275" s="1" t="s">
        <v>153</v>
      </c>
      <c r="M275" s="1" t="s">
        <v>73</v>
      </c>
      <c r="N275" s="1" t="s">
        <v>74</v>
      </c>
      <c r="O275" s="1">
        <v>3</v>
      </c>
      <c r="P275" s="1">
        <v>3</v>
      </c>
      <c r="Q275" s="1">
        <f>data[[#This Row],[Nilai Kepentingan Dimensi Persyaratan]]-data[[#This Row],[Nilai Kepuasan Dimensi Persyaratan]]</f>
        <v>0</v>
      </c>
      <c r="R275" s="1">
        <v>3</v>
      </c>
      <c r="S275" s="1">
        <v>3</v>
      </c>
      <c r="T275" s="1">
        <f>data[[#This Row],[Nilai Kepentingan Dimensi Prosedur]]-data[[#This Row],[Nilai Kepuasan Dimensi Prosedur]]</f>
        <v>0</v>
      </c>
      <c r="U275" s="1">
        <v>3</v>
      </c>
      <c r="V275" s="1">
        <v>3</v>
      </c>
      <c r="W275" s="1">
        <f>data[[#This Row],[Nilai Kepentingan Dimensi Waktu Pelayanan/Penyelesaian]]-data[[#This Row],[Nilai Kepuasan Dimensi Waktu Pelayanan/Penyelesaian]]</f>
        <v>0</v>
      </c>
      <c r="X275" s="1">
        <v>3</v>
      </c>
      <c r="Y275" s="1">
        <v>3</v>
      </c>
      <c r="Z275" s="1">
        <f>data[[#This Row],[Nilai Kepentingan Dimensi Tarif/ Biaya]]-data[[#This Row],[Nilai Kepuasan Dimensi Tarif / Biaya]]</f>
        <v>0</v>
      </c>
      <c r="AA275" s="1">
        <v>3</v>
      </c>
      <c r="AB275" s="1">
        <v>3</v>
      </c>
      <c r="AC275" s="1">
        <f>data[[#This Row],[Nilai Kepentingan Dimensi Produk Spesifikasi Jenis Layanan]]-data[[#This Row],[Nilai Kepuasan Dimensi Produk Spesifikasi Jenis Layanan]]</f>
        <v>0</v>
      </c>
      <c r="AD275" s="1">
        <v>3</v>
      </c>
      <c r="AE275" s="1">
        <v>3</v>
      </c>
      <c r="AF275" s="1">
        <f>data[[#This Row],[Nilai Kepentingan Dimensi Kompetensi Pelaksana]]-data[[#This Row],[Nilai Kepuasan Dimensi Kompetensi Pelaksana]]</f>
        <v>0</v>
      </c>
      <c r="AG275" s="1">
        <v>3</v>
      </c>
      <c r="AH275" s="1">
        <v>3</v>
      </c>
      <c r="AI275" s="1">
        <f>data[[#This Row],[Nilai Kepentingan Dimensi Perilaku Pelaksana]]-data[[#This Row],[Nilai Kepuasan Dimensi Perilaku Pelaksana]]</f>
        <v>0</v>
      </c>
      <c r="AJ275" s="1">
        <v>3</v>
      </c>
      <c r="AK275" s="1">
        <v>3</v>
      </c>
      <c r="AL275" s="1">
        <f>data[[#This Row],[Nilai Kepentingan Dimensi Penanganan Pengaduan, Saran &amp; Masukan]]-data[[#This Row],[Nilai Kepuasan Dimensi Penanganan Pengaduan, Saran &amp; Masukan]]</f>
        <v>0</v>
      </c>
      <c r="AM275" s="1">
        <v>3</v>
      </c>
      <c r="AN275" s="1">
        <v>3</v>
      </c>
      <c r="AO275" s="1">
        <f>data[[#This Row],[Nilai Kepentingan Dimensi Kualitas Sarana dan Prasarana]]-data[[#This Row],[Nilai Kepuasan Dimensi Kualitas Sarana dan Prasarana]]</f>
        <v>0</v>
      </c>
      <c r="AP275" s="1">
        <v>0</v>
      </c>
      <c r="AQ275" s="1" t="s">
        <v>69</v>
      </c>
      <c r="AR275" s="1">
        <v>0</v>
      </c>
      <c r="AS275" s="1" t="s">
        <v>69</v>
      </c>
      <c r="AT275" s="1">
        <v>0</v>
      </c>
      <c r="AU275" s="1" t="s">
        <v>69</v>
      </c>
      <c r="AV275" s="1" t="s">
        <v>1740</v>
      </c>
      <c r="AW275" s="1" t="s">
        <v>144</v>
      </c>
      <c r="AX275" s="1">
        <v>2</v>
      </c>
      <c r="AY275" s="1">
        <v>3</v>
      </c>
      <c r="AZ275" s="1" t="s">
        <v>98</v>
      </c>
      <c r="BA275" s="1" t="s">
        <v>99</v>
      </c>
      <c r="BB275" s="1" t="s">
        <v>1741</v>
      </c>
      <c r="BC275" s="1" t="s">
        <v>157</v>
      </c>
      <c r="BD275" s="1" t="s">
        <v>98</v>
      </c>
      <c r="BE275" s="1" t="s">
        <v>99</v>
      </c>
      <c r="BF275" s="5" t="s">
        <v>98</v>
      </c>
    </row>
    <row r="276" spans="1:58" x14ac:dyDescent="0.35">
      <c r="A276" s="4">
        <v>275</v>
      </c>
      <c r="B276" s="1" t="s">
        <v>1742</v>
      </c>
      <c r="C276" s="1" t="s">
        <v>63</v>
      </c>
      <c r="D276" s="1" t="s">
        <v>63</v>
      </c>
      <c r="E276" s="1" t="s">
        <v>69</v>
      </c>
      <c r="F276" s="1" t="s">
        <v>69</v>
      </c>
      <c r="G276" s="1" t="s">
        <v>69</v>
      </c>
      <c r="H276" s="1" t="s">
        <v>69</v>
      </c>
      <c r="I276" s="1" t="s">
        <v>106</v>
      </c>
      <c r="J276" s="1" t="s">
        <v>1168</v>
      </c>
      <c r="K276" s="1">
        <v>30</v>
      </c>
      <c r="L276" s="1" t="s">
        <v>92</v>
      </c>
      <c r="M276" s="1" t="s">
        <v>93</v>
      </c>
      <c r="N276" s="1" t="s">
        <v>74</v>
      </c>
      <c r="O276" s="1">
        <v>3</v>
      </c>
      <c r="P276" s="1">
        <v>3</v>
      </c>
      <c r="Q276" s="1">
        <f>data[[#This Row],[Nilai Kepentingan Dimensi Persyaratan]]-data[[#This Row],[Nilai Kepuasan Dimensi Persyaratan]]</f>
        <v>0</v>
      </c>
      <c r="R276" s="1">
        <v>3</v>
      </c>
      <c r="S276" s="1">
        <v>3</v>
      </c>
      <c r="T276" s="1">
        <f>data[[#This Row],[Nilai Kepentingan Dimensi Prosedur]]-data[[#This Row],[Nilai Kepuasan Dimensi Prosedur]]</f>
        <v>0</v>
      </c>
      <c r="U276" s="1">
        <v>4</v>
      </c>
      <c r="V276" s="1">
        <v>4</v>
      </c>
      <c r="W276" s="1">
        <f>data[[#This Row],[Nilai Kepentingan Dimensi Waktu Pelayanan/Penyelesaian]]-data[[#This Row],[Nilai Kepuasan Dimensi Waktu Pelayanan/Penyelesaian]]</f>
        <v>0</v>
      </c>
      <c r="X276" s="1">
        <v>0</v>
      </c>
      <c r="Y276" s="1">
        <v>0</v>
      </c>
      <c r="Z276" s="1">
        <f>data[[#This Row],[Nilai Kepentingan Dimensi Tarif/ Biaya]]-data[[#This Row],[Nilai Kepuasan Dimensi Tarif / Biaya]]</f>
        <v>0</v>
      </c>
      <c r="AA276" s="1">
        <v>4</v>
      </c>
      <c r="AB276" s="1">
        <v>4</v>
      </c>
      <c r="AC276" s="1">
        <f>data[[#This Row],[Nilai Kepentingan Dimensi Produk Spesifikasi Jenis Layanan]]-data[[#This Row],[Nilai Kepuasan Dimensi Produk Spesifikasi Jenis Layanan]]</f>
        <v>0</v>
      </c>
      <c r="AD276" s="1">
        <v>3</v>
      </c>
      <c r="AE276" s="1">
        <v>4</v>
      </c>
      <c r="AF276" s="1">
        <f>data[[#This Row],[Nilai Kepentingan Dimensi Kompetensi Pelaksana]]-data[[#This Row],[Nilai Kepuasan Dimensi Kompetensi Pelaksana]]</f>
        <v>1</v>
      </c>
      <c r="AG276" s="1">
        <v>3</v>
      </c>
      <c r="AH276" s="1">
        <v>4</v>
      </c>
      <c r="AI276" s="1">
        <f>data[[#This Row],[Nilai Kepentingan Dimensi Perilaku Pelaksana]]-data[[#This Row],[Nilai Kepuasan Dimensi Perilaku Pelaksana]]</f>
        <v>1</v>
      </c>
      <c r="AJ276" s="1">
        <v>4</v>
      </c>
      <c r="AK276" s="1">
        <v>4</v>
      </c>
      <c r="AL276" s="1">
        <f>data[[#This Row],[Nilai Kepentingan Dimensi Penanganan Pengaduan, Saran &amp; Masukan]]-data[[#This Row],[Nilai Kepuasan Dimensi Penanganan Pengaduan, Saran &amp; Masukan]]</f>
        <v>0</v>
      </c>
      <c r="AM276" s="1">
        <v>3</v>
      </c>
      <c r="AN276" s="1">
        <v>4</v>
      </c>
      <c r="AO276" s="1">
        <f>data[[#This Row],[Nilai Kepentingan Dimensi Kualitas Sarana dan Prasarana]]-data[[#This Row],[Nilai Kepuasan Dimensi Kualitas Sarana dan Prasarana]]</f>
        <v>1</v>
      </c>
      <c r="AP276" s="1">
        <v>0</v>
      </c>
      <c r="AQ276" s="1" t="s">
        <v>69</v>
      </c>
      <c r="AR276" s="1">
        <v>0</v>
      </c>
      <c r="AS276" s="1" t="s">
        <v>69</v>
      </c>
      <c r="AT276" s="1">
        <v>0</v>
      </c>
      <c r="AU276" s="1" t="s">
        <v>69</v>
      </c>
      <c r="AV276" s="1" t="s">
        <v>1746</v>
      </c>
      <c r="AW276" s="1" t="s">
        <v>186</v>
      </c>
      <c r="AX276" s="1">
        <v>1</v>
      </c>
      <c r="AY276" s="1">
        <v>4</v>
      </c>
      <c r="AZ276" s="1" t="s">
        <v>1747</v>
      </c>
      <c r="BA276" s="1" t="s">
        <v>112</v>
      </c>
      <c r="BB276" s="1" t="s">
        <v>1748</v>
      </c>
      <c r="BC276" s="1" t="s">
        <v>112</v>
      </c>
      <c r="BD276" s="1" t="s">
        <v>1749</v>
      </c>
      <c r="BE276" s="1" t="s">
        <v>685</v>
      </c>
      <c r="BF276" s="5" t="s">
        <v>83</v>
      </c>
    </row>
    <row r="277" spans="1:58" x14ac:dyDescent="0.35">
      <c r="A277" s="4">
        <v>276</v>
      </c>
      <c r="B277" s="1" t="s">
        <v>1750</v>
      </c>
      <c r="C277" s="1" t="s">
        <v>63</v>
      </c>
      <c r="D277" s="1" t="s">
        <v>179</v>
      </c>
      <c r="E277" s="1" t="s">
        <v>69</v>
      </c>
      <c r="F277" s="1" t="s">
        <v>69</v>
      </c>
      <c r="G277" s="1" t="s">
        <v>69</v>
      </c>
      <c r="H277" s="1" t="s">
        <v>69</v>
      </c>
      <c r="I277" s="1" t="s">
        <v>106</v>
      </c>
      <c r="J277" s="1" t="s">
        <v>1180</v>
      </c>
      <c r="K277" s="1">
        <v>36</v>
      </c>
      <c r="L277" s="1" t="s">
        <v>153</v>
      </c>
      <c r="M277" s="1" t="s">
        <v>73</v>
      </c>
      <c r="N277" s="1" t="s">
        <v>74</v>
      </c>
      <c r="O277" s="1">
        <v>3</v>
      </c>
      <c r="P277" s="1">
        <v>3</v>
      </c>
      <c r="Q277" s="1">
        <f>data[[#This Row],[Nilai Kepentingan Dimensi Persyaratan]]-data[[#This Row],[Nilai Kepuasan Dimensi Persyaratan]]</f>
        <v>0</v>
      </c>
      <c r="R277" s="1">
        <v>3</v>
      </c>
      <c r="S277" s="1">
        <v>3</v>
      </c>
      <c r="T277" s="1">
        <f>data[[#This Row],[Nilai Kepentingan Dimensi Prosedur]]-data[[#This Row],[Nilai Kepuasan Dimensi Prosedur]]</f>
        <v>0</v>
      </c>
      <c r="U277" s="1">
        <v>3</v>
      </c>
      <c r="V277" s="1">
        <v>3</v>
      </c>
      <c r="W277" s="1">
        <f>data[[#This Row],[Nilai Kepentingan Dimensi Waktu Pelayanan/Penyelesaian]]-data[[#This Row],[Nilai Kepuasan Dimensi Waktu Pelayanan/Penyelesaian]]</f>
        <v>0</v>
      </c>
      <c r="X277" s="1">
        <v>0</v>
      </c>
      <c r="Y277" s="1">
        <v>0</v>
      </c>
      <c r="Z277" s="1">
        <f>data[[#This Row],[Nilai Kepentingan Dimensi Tarif/ Biaya]]-data[[#This Row],[Nilai Kepuasan Dimensi Tarif / Biaya]]</f>
        <v>0</v>
      </c>
      <c r="AA277" s="1">
        <v>3</v>
      </c>
      <c r="AB277" s="1">
        <v>3</v>
      </c>
      <c r="AC277" s="1">
        <f>data[[#This Row],[Nilai Kepentingan Dimensi Produk Spesifikasi Jenis Layanan]]-data[[#This Row],[Nilai Kepuasan Dimensi Produk Spesifikasi Jenis Layanan]]</f>
        <v>0</v>
      </c>
      <c r="AD277" s="1">
        <v>3</v>
      </c>
      <c r="AE277" s="1">
        <v>3</v>
      </c>
      <c r="AF277" s="1">
        <f>data[[#This Row],[Nilai Kepentingan Dimensi Kompetensi Pelaksana]]-data[[#This Row],[Nilai Kepuasan Dimensi Kompetensi Pelaksana]]</f>
        <v>0</v>
      </c>
      <c r="AG277" s="1">
        <v>3</v>
      </c>
      <c r="AH277" s="1">
        <v>3</v>
      </c>
      <c r="AI277" s="1">
        <f>data[[#This Row],[Nilai Kepentingan Dimensi Perilaku Pelaksana]]-data[[#This Row],[Nilai Kepuasan Dimensi Perilaku Pelaksana]]</f>
        <v>0</v>
      </c>
      <c r="AJ277" s="1">
        <v>3</v>
      </c>
      <c r="AK277" s="1">
        <v>3</v>
      </c>
      <c r="AL277" s="1">
        <f>data[[#This Row],[Nilai Kepentingan Dimensi Penanganan Pengaduan, Saran &amp; Masukan]]-data[[#This Row],[Nilai Kepuasan Dimensi Penanganan Pengaduan, Saran &amp; Masukan]]</f>
        <v>0</v>
      </c>
      <c r="AM277" s="1">
        <v>3</v>
      </c>
      <c r="AN277" s="1">
        <v>3</v>
      </c>
      <c r="AO277" s="1">
        <f>data[[#This Row],[Nilai Kepentingan Dimensi Kualitas Sarana dan Prasarana]]-data[[#This Row],[Nilai Kepuasan Dimensi Kualitas Sarana dan Prasarana]]</f>
        <v>0</v>
      </c>
      <c r="AP277" s="1">
        <v>0</v>
      </c>
      <c r="AQ277" s="1" t="s">
        <v>69</v>
      </c>
      <c r="AR277" s="1">
        <v>0</v>
      </c>
      <c r="AS277" s="1" t="s">
        <v>69</v>
      </c>
      <c r="AT277" s="1">
        <v>4</v>
      </c>
      <c r="AU277" s="1" t="s">
        <v>75</v>
      </c>
      <c r="AV277" s="1" t="s">
        <v>83</v>
      </c>
      <c r="AW277" s="1" t="s">
        <v>96</v>
      </c>
      <c r="AX277" s="1">
        <v>0</v>
      </c>
      <c r="AY277" s="1">
        <v>0</v>
      </c>
      <c r="AZ277" s="1" t="s">
        <v>442</v>
      </c>
      <c r="BA277" s="1" t="s">
        <v>79</v>
      </c>
      <c r="BB277" s="1" t="s">
        <v>1754</v>
      </c>
      <c r="BC277" s="1" t="s">
        <v>1755</v>
      </c>
      <c r="BD277" s="1" t="s">
        <v>248</v>
      </c>
      <c r="BE277" s="1" t="s">
        <v>79</v>
      </c>
      <c r="BF277" s="5" t="s">
        <v>83</v>
      </c>
    </row>
    <row r="278" spans="1:58" x14ac:dyDescent="0.35">
      <c r="A278" s="4">
        <v>277</v>
      </c>
      <c r="B278" s="1" t="s">
        <v>1756</v>
      </c>
      <c r="C278" s="1" t="s">
        <v>63</v>
      </c>
      <c r="D278" s="1" t="s">
        <v>149</v>
      </c>
      <c r="E278" s="1" t="s">
        <v>69</v>
      </c>
      <c r="F278" s="1" t="s">
        <v>69</v>
      </c>
      <c r="G278" s="1" t="s">
        <v>69</v>
      </c>
      <c r="H278" s="1" t="s">
        <v>69</v>
      </c>
      <c r="I278" s="1" t="s">
        <v>106</v>
      </c>
      <c r="J278" s="1" t="s">
        <v>271</v>
      </c>
      <c r="K278" s="1">
        <v>18</v>
      </c>
      <c r="L278" s="1" t="s">
        <v>131</v>
      </c>
      <c r="M278" s="1" t="s">
        <v>73</v>
      </c>
      <c r="N278" s="1" t="s">
        <v>95</v>
      </c>
      <c r="O278" s="1">
        <v>3</v>
      </c>
      <c r="P278" s="1">
        <v>3</v>
      </c>
      <c r="Q278" s="1">
        <f>data[[#This Row],[Nilai Kepentingan Dimensi Persyaratan]]-data[[#This Row],[Nilai Kepuasan Dimensi Persyaratan]]</f>
        <v>0</v>
      </c>
      <c r="R278" s="1">
        <v>3</v>
      </c>
      <c r="S278" s="1">
        <v>3</v>
      </c>
      <c r="T278" s="1">
        <f>data[[#This Row],[Nilai Kepentingan Dimensi Prosedur]]-data[[#This Row],[Nilai Kepuasan Dimensi Prosedur]]</f>
        <v>0</v>
      </c>
      <c r="U278" s="1">
        <v>2</v>
      </c>
      <c r="V278" s="1">
        <v>3</v>
      </c>
      <c r="W278" s="1">
        <f>data[[#This Row],[Nilai Kepentingan Dimensi Waktu Pelayanan/Penyelesaian]]-data[[#This Row],[Nilai Kepuasan Dimensi Waktu Pelayanan/Penyelesaian]]</f>
        <v>1</v>
      </c>
      <c r="X278" s="1">
        <v>3</v>
      </c>
      <c r="Y278" s="1">
        <v>3</v>
      </c>
      <c r="Z278" s="1">
        <f>data[[#This Row],[Nilai Kepentingan Dimensi Tarif/ Biaya]]-data[[#This Row],[Nilai Kepuasan Dimensi Tarif / Biaya]]</f>
        <v>0</v>
      </c>
      <c r="AA278" s="1">
        <v>3</v>
      </c>
      <c r="AB278" s="1">
        <v>4</v>
      </c>
      <c r="AC278" s="1">
        <f>data[[#This Row],[Nilai Kepentingan Dimensi Produk Spesifikasi Jenis Layanan]]-data[[#This Row],[Nilai Kepuasan Dimensi Produk Spesifikasi Jenis Layanan]]</f>
        <v>1</v>
      </c>
      <c r="AD278" s="1">
        <v>4</v>
      </c>
      <c r="AE278" s="1">
        <v>4</v>
      </c>
      <c r="AF278" s="1">
        <f>data[[#This Row],[Nilai Kepentingan Dimensi Kompetensi Pelaksana]]-data[[#This Row],[Nilai Kepuasan Dimensi Kompetensi Pelaksana]]</f>
        <v>0</v>
      </c>
      <c r="AG278" s="1">
        <v>3</v>
      </c>
      <c r="AH278" s="1">
        <v>3</v>
      </c>
      <c r="AI278" s="1">
        <f>data[[#This Row],[Nilai Kepentingan Dimensi Perilaku Pelaksana]]-data[[#This Row],[Nilai Kepuasan Dimensi Perilaku Pelaksana]]</f>
        <v>0</v>
      </c>
      <c r="AJ278" s="1">
        <v>4</v>
      </c>
      <c r="AK278" s="1">
        <v>4</v>
      </c>
      <c r="AL278" s="1">
        <f>data[[#This Row],[Nilai Kepentingan Dimensi Penanganan Pengaduan, Saran &amp; Masukan]]-data[[#This Row],[Nilai Kepuasan Dimensi Penanganan Pengaduan, Saran &amp; Masukan]]</f>
        <v>0</v>
      </c>
      <c r="AM278" s="1">
        <v>3</v>
      </c>
      <c r="AN278" s="1">
        <v>3</v>
      </c>
      <c r="AO278" s="1">
        <f>data[[#This Row],[Nilai Kepentingan Dimensi Kualitas Sarana dan Prasarana]]-data[[#This Row],[Nilai Kepuasan Dimensi Kualitas Sarana dan Prasarana]]</f>
        <v>0</v>
      </c>
      <c r="AP278" s="1">
        <v>0</v>
      </c>
      <c r="AQ278" s="1" t="s">
        <v>69</v>
      </c>
      <c r="AR278" s="1">
        <v>0</v>
      </c>
      <c r="AS278" s="1" t="s">
        <v>69</v>
      </c>
      <c r="AT278" s="1">
        <v>0</v>
      </c>
      <c r="AU278" s="1" t="s">
        <v>69</v>
      </c>
      <c r="AV278" s="1" t="s">
        <v>76</v>
      </c>
      <c r="AW278" s="1" t="s">
        <v>77</v>
      </c>
      <c r="AX278" s="1">
        <v>2</v>
      </c>
      <c r="AY278" s="1">
        <v>3</v>
      </c>
      <c r="AZ278" s="1" t="s">
        <v>98</v>
      </c>
      <c r="BA278" s="1" t="s">
        <v>99</v>
      </c>
      <c r="BB278" s="1" t="s">
        <v>1759</v>
      </c>
      <c r="BC278" s="1" t="s">
        <v>157</v>
      </c>
      <c r="BD278" s="1" t="s">
        <v>98</v>
      </c>
      <c r="BE278" s="1" t="s">
        <v>99</v>
      </c>
      <c r="BF278" s="5" t="s">
        <v>98</v>
      </c>
    </row>
    <row r="279" spans="1:58" x14ac:dyDescent="0.35">
      <c r="A279" s="4">
        <v>278</v>
      </c>
      <c r="B279" s="1" t="s">
        <v>1760</v>
      </c>
      <c r="C279" s="1" t="s">
        <v>1762</v>
      </c>
      <c r="D279" s="1" t="s">
        <v>1763</v>
      </c>
      <c r="E279" s="1" t="s">
        <v>69</v>
      </c>
      <c r="F279" s="1" t="s">
        <v>69</v>
      </c>
      <c r="G279" s="1" t="s">
        <v>69</v>
      </c>
      <c r="H279" s="1" t="s">
        <v>69</v>
      </c>
      <c r="I279" s="1" t="s">
        <v>106</v>
      </c>
      <c r="J279" s="1" t="s">
        <v>271</v>
      </c>
      <c r="K279" s="1">
        <v>20</v>
      </c>
      <c r="L279" s="1" t="s">
        <v>131</v>
      </c>
      <c r="M279" s="1" t="s">
        <v>73</v>
      </c>
      <c r="N279" s="1" t="s">
        <v>95</v>
      </c>
      <c r="O279" s="1">
        <v>3</v>
      </c>
      <c r="P279" s="1">
        <v>3</v>
      </c>
      <c r="Q279" s="1">
        <f>data[[#This Row],[Nilai Kepentingan Dimensi Persyaratan]]-data[[#This Row],[Nilai Kepuasan Dimensi Persyaratan]]</f>
        <v>0</v>
      </c>
      <c r="R279" s="1">
        <v>3</v>
      </c>
      <c r="S279" s="1">
        <v>3</v>
      </c>
      <c r="T279" s="1">
        <f>data[[#This Row],[Nilai Kepentingan Dimensi Prosedur]]-data[[#This Row],[Nilai Kepuasan Dimensi Prosedur]]</f>
        <v>0</v>
      </c>
      <c r="U279" s="1">
        <v>3</v>
      </c>
      <c r="V279" s="1">
        <v>3</v>
      </c>
      <c r="W279" s="1">
        <f>data[[#This Row],[Nilai Kepentingan Dimensi Waktu Pelayanan/Penyelesaian]]-data[[#This Row],[Nilai Kepuasan Dimensi Waktu Pelayanan/Penyelesaian]]</f>
        <v>0</v>
      </c>
      <c r="X279" s="1">
        <v>3</v>
      </c>
      <c r="Y279" s="1">
        <v>3</v>
      </c>
      <c r="Z279" s="1">
        <f>data[[#This Row],[Nilai Kepentingan Dimensi Tarif/ Biaya]]-data[[#This Row],[Nilai Kepuasan Dimensi Tarif / Biaya]]</f>
        <v>0</v>
      </c>
      <c r="AA279" s="1">
        <v>4</v>
      </c>
      <c r="AB279" s="1">
        <v>3</v>
      </c>
      <c r="AC279" s="1">
        <f>data[[#This Row],[Nilai Kepentingan Dimensi Produk Spesifikasi Jenis Layanan]]-data[[#This Row],[Nilai Kepuasan Dimensi Produk Spesifikasi Jenis Layanan]]</f>
        <v>-1</v>
      </c>
      <c r="AD279" s="1">
        <v>3</v>
      </c>
      <c r="AE279" s="1">
        <v>3</v>
      </c>
      <c r="AF279" s="1">
        <f>data[[#This Row],[Nilai Kepentingan Dimensi Kompetensi Pelaksana]]-data[[#This Row],[Nilai Kepuasan Dimensi Kompetensi Pelaksana]]</f>
        <v>0</v>
      </c>
      <c r="AG279" s="1">
        <v>3</v>
      </c>
      <c r="AH279" s="1">
        <v>3</v>
      </c>
      <c r="AI279" s="1">
        <f>data[[#This Row],[Nilai Kepentingan Dimensi Perilaku Pelaksana]]-data[[#This Row],[Nilai Kepuasan Dimensi Perilaku Pelaksana]]</f>
        <v>0</v>
      </c>
      <c r="AJ279" s="1">
        <v>3</v>
      </c>
      <c r="AK279" s="1">
        <v>3</v>
      </c>
      <c r="AL279" s="1">
        <f>data[[#This Row],[Nilai Kepentingan Dimensi Penanganan Pengaduan, Saran &amp; Masukan]]-data[[#This Row],[Nilai Kepuasan Dimensi Penanganan Pengaduan, Saran &amp; Masukan]]</f>
        <v>0</v>
      </c>
      <c r="AM279" s="1">
        <v>3</v>
      </c>
      <c r="AN279" s="1">
        <v>3</v>
      </c>
      <c r="AO279" s="1">
        <f>data[[#This Row],[Nilai Kepentingan Dimensi Kualitas Sarana dan Prasarana]]-data[[#This Row],[Nilai Kepuasan Dimensi Kualitas Sarana dan Prasarana]]</f>
        <v>0</v>
      </c>
      <c r="AP279" s="1">
        <v>2</v>
      </c>
      <c r="AQ279" s="1" t="s">
        <v>75</v>
      </c>
      <c r="AR279" s="1">
        <v>0</v>
      </c>
      <c r="AS279" s="1" t="s">
        <v>69</v>
      </c>
      <c r="AT279" s="1">
        <v>0</v>
      </c>
      <c r="AU279" s="1" t="s">
        <v>69</v>
      </c>
      <c r="AV279" s="1" t="s">
        <v>83</v>
      </c>
      <c r="AW279" s="1" t="s">
        <v>96</v>
      </c>
      <c r="AX279" s="1">
        <v>0</v>
      </c>
      <c r="AY279" s="1">
        <v>0</v>
      </c>
      <c r="AZ279" s="1" t="s">
        <v>1766</v>
      </c>
      <c r="BA279" s="1" t="s">
        <v>235</v>
      </c>
      <c r="BB279" s="1" t="s">
        <v>1767</v>
      </c>
      <c r="BC279" s="1" t="s">
        <v>79</v>
      </c>
      <c r="BD279" s="1" t="s">
        <v>503</v>
      </c>
      <c r="BE279" s="1" t="s">
        <v>79</v>
      </c>
      <c r="BF279" s="5" t="s">
        <v>83</v>
      </c>
    </row>
    <row r="280" spans="1:58" x14ac:dyDescent="0.35">
      <c r="A280" s="4">
        <v>279</v>
      </c>
      <c r="B280" s="1" t="s">
        <v>1768</v>
      </c>
      <c r="C280" s="1" t="s">
        <v>63</v>
      </c>
      <c r="D280" s="1" t="s">
        <v>86</v>
      </c>
      <c r="E280" s="1" t="s">
        <v>69</v>
      </c>
      <c r="F280" s="1" t="s">
        <v>69</v>
      </c>
      <c r="G280" s="1" t="s">
        <v>69</v>
      </c>
      <c r="H280" s="1" t="s">
        <v>69</v>
      </c>
      <c r="I280" s="1" t="s">
        <v>70</v>
      </c>
      <c r="J280" s="1" t="s">
        <v>1168</v>
      </c>
      <c r="K280" s="1">
        <v>33</v>
      </c>
      <c r="L280" s="1" t="s">
        <v>109</v>
      </c>
      <c r="M280" s="1" t="s">
        <v>73</v>
      </c>
      <c r="N280" s="1" t="s">
        <v>74</v>
      </c>
      <c r="O280" s="1">
        <v>4</v>
      </c>
      <c r="P280" s="1">
        <v>4</v>
      </c>
      <c r="Q280" s="1">
        <f>data[[#This Row],[Nilai Kepentingan Dimensi Persyaratan]]-data[[#This Row],[Nilai Kepuasan Dimensi Persyaratan]]</f>
        <v>0</v>
      </c>
      <c r="R280" s="1">
        <v>4</v>
      </c>
      <c r="S280" s="1">
        <v>4</v>
      </c>
      <c r="T280" s="1">
        <f>data[[#This Row],[Nilai Kepentingan Dimensi Prosedur]]-data[[#This Row],[Nilai Kepuasan Dimensi Prosedur]]</f>
        <v>0</v>
      </c>
      <c r="U280" s="1">
        <v>3</v>
      </c>
      <c r="V280" s="1">
        <v>3</v>
      </c>
      <c r="W280" s="1">
        <f>data[[#This Row],[Nilai Kepentingan Dimensi Waktu Pelayanan/Penyelesaian]]-data[[#This Row],[Nilai Kepuasan Dimensi Waktu Pelayanan/Penyelesaian]]</f>
        <v>0</v>
      </c>
      <c r="X280" s="1">
        <v>0</v>
      </c>
      <c r="Y280" s="1">
        <v>3</v>
      </c>
      <c r="Z280" s="1">
        <f>data[[#This Row],[Nilai Kepentingan Dimensi Tarif/ Biaya]]-data[[#This Row],[Nilai Kepuasan Dimensi Tarif / Biaya]]</f>
        <v>3</v>
      </c>
      <c r="AA280" s="1">
        <v>3</v>
      </c>
      <c r="AB280" s="1">
        <v>4</v>
      </c>
      <c r="AC280" s="1">
        <f>data[[#This Row],[Nilai Kepentingan Dimensi Produk Spesifikasi Jenis Layanan]]-data[[#This Row],[Nilai Kepuasan Dimensi Produk Spesifikasi Jenis Layanan]]</f>
        <v>1</v>
      </c>
      <c r="AD280" s="1">
        <v>4</v>
      </c>
      <c r="AE280" s="1">
        <v>4</v>
      </c>
      <c r="AF280" s="1">
        <f>data[[#This Row],[Nilai Kepentingan Dimensi Kompetensi Pelaksana]]-data[[#This Row],[Nilai Kepuasan Dimensi Kompetensi Pelaksana]]</f>
        <v>0</v>
      </c>
      <c r="AG280" s="1">
        <v>4</v>
      </c>
      <c r="AH280" s="1">
        <v>4</v>
      </c>
      <c r="AI280" s="1">
        <f>data[[#This Row],[Nilai Kepentingan Dimensi Perilaku Pelaksana]]-data[[#This Row],[Nilai Kepuasan Dimensi Perilaku Pelaksana]]</f>
        <v>0</v>
      </c>
      <c r="AJ280" s="1">
        <v>4</v>
      </c>
      <c r="AK280" s="1">
        <v>4</v>
      </c>
      <c r="AL280" s="1">
        <f>data[[#This Row],[Nilai Kepentingan Dimensi Penanganan Pengaduan, Saran &amp; Masukan]]-data[[#This Row],[Nilai Kepuasan Dimensi Penanganan Pengaduan, Saran &amp; Masukan]]</f>
        <v>0</v>
      </c>
      <c r="AM280" s="1">
        <v>3</v>
      </c>
      <c r="AN280" s="1">
        <v>3</v>
      </c>
      <c r="AO280" s="1">
        <f>data[[#This Row],[Nilai Kepentingan Dimensi Kualitas Sarana dan Prasarana]]-data[[#This Row],[Nilai Kepuasan Dimensi Kualitas Sarana dan Prasarana]]</f>
        <v>0</v>
      </c>
      <c r="AP280" s="1">
        <v>0</v>
      </c>
      <c r="AQ280" s="1" t="s">
        <v>69</v>
      </c>
      <c r="AR280" s="1">
        <v>0</v>
      </c>
      <c r="AS280" s="1" t="s">
        <v>69</v>
      </c>
      <c r="AT280" s="1">
        <v>0</v>
      </c>
      <c r="AU280" s="1" t="s">
        <v>69</v>
      </c>
      <c r="AV280" s="1" t="s">
        <v>144</v>
      </c>
      <c r="AW280" s="1" t="s">
        <v>144</v>
      </c>
      <c r="AX280" s="1">
        <v>2</v>
      </c>
      <c r="AY280" s="1">
        <v>3</v>
      </c>
      <c r="AZ280" s="1" t="s">
        <v>1772</v>
      </c>
      <c r="BA280" s="1" t="s">
        <v>452</v>
      </c>
      <c r="BB280" s="1" t="s">
        <v>442</v>
      </c>
      <c r="BC280" s="1" t="s">
        <v>79</v>
      </c>
      <c r="BD280" s="1" t="s">
        <v>442</v>
      </c>
      <c r="BE280" s="1" t="s">
        <v>79</v>
      </c>
      <c r="BF280" s="5" t="s">
        <v>83</v>
      </c>
    </row>
    <row r="281" spans="1:58" x14ac:dyDescent="0.35">
      <c r="A281" s="4">
        <v>280</v>
      </c>
      <c r="B281" s="1" t="s">
        <v>1773</v>
      </c>
      <c r="C281" s="1" t="s">
        <v>772</v>
      </c>
      <c r="D281" s="1" t="s">
        <v>1775</v>
      </c>
      <c r="E281" s="1" t="s">
        <v>69</v>
      </c>
      <c r="F281" s="1" t="s">
        <v>69</v>
      </c>
      <c r="G281" s="1" t="s">
        <v>69</v>
      </c>
      <c r="H281" s="1" t="s">
        <v>69</v>
      </c>
      <c r="I281" s="1" t="s">
        <v>106</v>
      </c>
      <c r="J281" s="1" t="s">
        <v>271</v>
      </c>
      <c r="K281" s="1">
        <v>24</v>
      </c>
      <c r="L281" s="1" t="s">
        <v>72</v>
      </c>
      <c r="M281" s="1" t="s">
        <v>273</v>
      </c>
      <c r="N281" s="1" t="s">
        <v>110</v>
      </c>
      <c r="O281" s="1">
        <v>4</v>
      </c>
      <c r="P281" s="1">
        <v>4</v>
      </c>
      <c r="Q281" s="1">
        <f>data[[#This Row],[Nilai Kepentingan Dimensi Persyaratan]]-data[[#This Row],[Nilai Kepuasan Dimensi Persyaratan]]</f>
        <v>0</v>
      </c>
      <c r="R281" s="1">
        <v>4</v>
      </c>
      <c r="S281" s="1">
        <v>4</v>
      </c>
      <c r="T281" s="1">
        <f>data[[#This Row],[Nilai Kepentingan Dimensi Prosedur]]-data[[#This Row],[Nilai Kepuasan Dimensi Prosedur]]</f>
        <v>0</v>
      </c>
      <c r="U281" s="1">
        <v>3</v>
      </c>
      <c r="V281" s="1">
        <v>4</v>
      </c>
      <c r="W281" s="1">
        <f>data[[#This Row],[Nilai Kepentingan Dimensi Waktu Pelayanan/Penyelesaian]]-data[[#This Row],[Nilai Kepuasan Dimensi Waktu Pelayanan/Penyelesaian]]</f>
        <v>1</v>
      </c>
      <c r="X281" s="1">
        <v>4</v>
      </c>
      <c r="Y281" s="1">
        <v>4</v>
      </c>
      <c r="Z281" s="1">
        <f>data[[#This Row],[Nilai Kepentingan Dimensi Tarif/ Biaya]]-data[[#This Row],[Nilai Kepuasan Dimensi Tarif / Biaya]]</f>
        <v>0</v>
      </c>
      <c r="AA281" s="1">
        <v>4</v>
      </c>
      <c r="AB281" s="1">
        <v>4</v>
      </c>
      <c r="AC281" s="1">
        <f>data[[#This Row],[Nilai Kepentingan Dimensi Produk Spesifikasi Jenis Layanan]]-data[[#This Row],[Nilai Kepuasan Dimensi Produk Spesifikasi Jenis Layanan]]</f>
        <v>0</v>
      </c>
      <c r="AD281" s="1">
        <v>4</v>
      </c>
      <c r="AE281" s="1">
        <v>4</v>
      </c>
      <c r="AF281" s="1">
        <f>data[[#This Row],[Nilai Kepentingan Dimensi Kompetensi Pelaksana]]-data[[#This Row],[Nilai Kepuasan Dimensi Kompetensi Pelaksana]]</f>
        <v>0</v>
      </c>
      <c r="AG281" s="1">
        <v>4</v>
      </c>
      <c r="AH281" s="1">
        <v>4</v>
      </c>
      <c r="AI281" s="1">
        <f>data[[#This Row],[Nilai Kepentingan Dimensi Perilaku Pelaksana]]-data[[#This Row],[Nilai Kepuasan Dimensi Perilaku Pelaksana]]</f>
        <v>0</v>
      </c>
      <c r="AJ281" s="1">
        <v>4</v>
      </c>
      <c r="AK281" s="1">
        <v>4</v>
      </c>
      <c r="AL281" s="1">
        <f>data[[#This Row],[Nilai Kepentingan Dimensi Penanganan Pengaduan, Saran &amp; Masukan]]-data[[#This Row],[Nilai Kepuasan Dimensi Penanganan Pengaduan, Saran &amp; Masukan]]</f>
        <v>0</v>
      </c>
      <c r="AM281" s="1">
        <v>4</v>
      </c>
      <c r="AN281" s="1">
        <v>4</v>
      </c>
      <c r="AO281" s="1">
        <f>data[[#This Row],[Nilai Kepentingan Dimensi Kualitas Sarana dan Prasarana]]-data[[#This Row],[Nilai Kepuasan Dimensi Kualitas Sarana dan Prasarana]]</f>
        <v>0</v>
      </c>
      <c r="AP281" s="1">
        <v>0</v>
      </c>
      <c r="AQ281" s="1" t="s">
        <v>69</v>
      </c>
      <c r="AR281" s="1">
        <v>0</v>
      </c>
      <c r="AS281" s="1" t="s">
        <v>69</v>
      </c>
      <c r="AT281" s="1">
        <v>3</v>
      </c>
      <c r="AU281" s="1" t="s">
        <v>75</v>
      </c>
      <c r="AV281" s="1" t="s">
        <v>83</v>
      </c>
      <c r="AW281" s="1" t="s">
        <v>96</v>
      </c>
      <c r="AX281" s="1">
        <v>0</v>
      </c>
      <c r="AY281" s="1">
        <v>0</v>
      </c>
      <c r="AZ281" s="1" t="s">
        <v>98</v>
      </c>
      <c r="BA281" s="1" t="s">
        <v>99</v>
      </c>
      <c r="BB281" s="1" t="s">
        <v>98</v>
      </c>
      <c r="BC281" s="1" t="s">
        <v>99</v>
      </c>
      <c r="BD281" s="1" t="s">
        <v>263</v>
      </c>
      <c r="BE281" s="1" t="s">
        <v>99</v>
      </c>
      <c r="BF281" s="5" t="s">
        <v>98</v>
      </c>
    </row>
    <row r="282" spans="1:58" x14ac:dyDescent="0.35">
      <c r="A282" s="4">
        <v>281</v>
      </c>
      <c r="B282" s="1" t="s">
        <v>1778</v>
      </c>
      <c r="C282" s="1" t="s">
        <v>63</v>
      </c>
      <c r="D282" s="1" t="s">
        <v>179</v>
      </c>
      <c r="E282" s="1" t="s">
        <v>69</v>
      </c>
      <c r="F282" s="1" t="s">
        <v>69</v>
      </c>
      <c r="G282" s="1" t="s">
        <v>69</v>
      </c>
      <c r="H282" s="1" t="s">
        <v>69</v>
      </c>
      <c r="I282" s="1" t="s">
        <v>106</v>
      </c>
      <c r="J282" s="1" t="s">
        <v>271</v>
      </c>
      <c r="K282" s="1">
        <v>18</v>
      </c>
      <c r="L282" s="1" t="s">
        <v>131</v>
      </c>
      <c r="M282" s="1" t="s">
        <v>73</v>
      </c>
      <c r="N282" s="1" t="s">
        <v>95</v>
      </c>
      <c r="O282" s="1">
        <v>4</v>
      </c>
      <c r="P282" s="1">
        <v>4</v>
      </c>
      <c r="Q282" s="1">
        <f>data[[#This Row],[Nilai Kepentingan Dimensi Persyaratan]]-data[[#This Row],[Nilai Kepuasan Dimensi Persyaratan]]</f>
        <v>0</v>
      </c>
      <c r="R282" s="1">
        <v>3</v>
      </c>
      <c r="S282" s="1">
        <v>3</v>
      </c>
      <c r="T282" s="1">
        <f>data[[#This Row],[Nilai Kepentingan Dimensi Prosedur]]-data[[#This Row],[Nilai Kepuasan Dimensi Prosedur]]</f>
        <v>0</v>
      </c>
      <c r="U282" s="1">
        <v>4</v>
      </c>
      <c r="V282" s="1">
        <v>4</v>
      </c>
      <c r="W282" s="1">
        <f>data[[#This Row],[Nilai Kepentingan Dimensi Waktu Pelayanan/Penyelesaian]]-data[[#This Row],[Nilai Kepuasan Dimensi Waktu Pelayanan/Penyelesaian]]</f>
        <v>0</v>
      </c>
      <c r="X282" s="1">
        <v>4</v>
      </c>
      <c r="Y282" s="1">
        <v>4</v>
      </c>
      <c r="Z282" s="1">
        <f>data[[#This Row],[Nilai Kepentingan Dimensi Tarif/ Biaya]]-data[[#This Row],[Nilai Kepuasan Dimensi Tarif / Biaya]]</f>
        <v>0</v>
      </c>
      <c r="AA282" s="1">
        <v>4</v>
      </c>
      <c r="AB282" s="1">
        <v>4</v>
      </c>
      <c r="AC282" s="1">
        <f>data[[#This Row],[Nilai Kepentingan Dimensi Produk Spesifikasi Jenis Layanan]]-data[[#This Row],[Nilai Kepuasan Dimensi Produk Spesifikasi Jenis Layanan]]</f>
        <v>0</v>
      </c>
      <c r="AD282" s="1">
        <v>4</v>
      </c>
      <c r="AE282" s="1">
        <v>4</v>
      </c>
      <c r="AF282" s="1">
        <f>data[[#This Row],[Nilai Kepentingan Dimensi Kompetensi Pelaksana]]-data[[#This Row],[Nilai Kepuasan Dimensi Kompetensi Pelaksana]]</f>
        <v>0</v>
      </c>
      <c r="AG282" s="1">
        <v>4</v>
      </c>
      <c r="AH282" s="1">
        <v>4</v>
      </c>
      <c r="AI282" s="1">
        <f>data[[#This Row],[Nilai Kepentingan Dimensi Perilaku Pelaksana]]-data[[#This Row],[Nilai Kepuasan Dimensi Perilaku Pelaksana]]</f>
        <v>0</v>
      </c>
      <c r="AJ282" s="1">
        <v>4</v>
      </c>
      <c r="AK282" s="1">
        <v>4</v>
      </c>
      <c r="AL282" s="1">
        <f>data[[#This Row],[Nilai Kepentingan Dimensi Penanganan Pengaduan, Saran &amp; Masukan]]-data[[#This Row],[Nilai Kepuasan Dimensi Penanganan Pengaduan, Saran &amp; Masukan]]</f>
        <v>0</v>
      </c>
      <c r="AM282" s="1">
        <v>4</v>
      </c>
      <c r="AN282" s="1">
        <v>4</v>
      </c>
      <c r="AO282" s="1">
        <f>data[[#This Row],[Nilai Kepentingan Dimensi Kualitas Sarana dan Prasarana]]-data[[#This Row],[Nilai Kepuasan Dimensi Kualitas Sarana dan Prasarana]]</f>
        <v>0</v>
      </c>
      <c r="AP282" s="1">
        <v>0</v>
      </c>
      <c r="AQ282" s="1" t="s">
        <v>69</v>
      </c>
      <c r="AR282" s="1">
        <v>0</v>
      </c>
      <c r="AS282" s="1" t="s">
        <v>69</v>
      </c>
      <c r="AT282" s="1">
        <v>0</v>
      </c>
      <c r="AU282" s="1" t="s">
        <v>69</v>
      </c>
      <c r="AV282" s="1" t="s">
        <v>1782</v>
      </c>
      <c r="AW282" s="1" t="s">
        <v>144</v>
      </c>
      <c r="AX282" s="1">
        <v>1</v>
      </c>
      <c r="AY282" s="1">
        <v>4</v>
      </c>
      <c r="AZ282" s="1" t="s">
        <v>98</v>
      </c>
      <c r="BA282" s="1" t="s">
        <v>99</v>
      </c>
      <c r="BB282" s="1" t="s">
        <v>98</v>
      </c>
      <c r="BC282" s="1" t="s">
        <v>99</v>
      </c>
      <c r="BD282" s="1" t="s">
        <v>98</v>
      </c>
      <c r="BE282" s="1" t="s">
        <v>99</v>
      </c>
      <c r="BF282" s="5" t="s">
        <v>1783</v>
      </c>
    </row>
    <row r="283" spans="1:58" x14ac:dyDescent="0.35">
      <c r="A283" s="4">
        <v>282</v>
      </c>
      <c r="B283" s="1" t="s">
        <v>1784</v>
      </c>
      <c r="C283" s="1" t="s">
        <v>63</v>
      </c>
      <c r="D283" s="1" t="s">
        <v>86</v>
      </c>
      <c r="E283" s="1" t="s">
        <v>69</v>
      </c>
      <c r="F283" s="1" t="s">
        <v>69</v>
      </c>
      <c r="G283" s="1" t="s">
        <v>69</v>
      </c>
      <c r="H283" s="1" t="s">
        <v>69</v>
      </c>
      <c r="I283" s="1" t="s">
        <v>106</v>
      </c>
      <c r="J283" s="1" t="s">
        <v>292</v>
      </c>
      <c r="K283" s="1">
        <v>22</v>
      </c>
      <c r="L283" s="1" t="s">
        <v>72</v>
      </c>
      <c r="M283" s="1" t="s">
        <v>73</v>
      </c>
      <c r="N283" s="1" t="s">
        <v>133</v>
      </c>
      <c r="O283" s="1">
        <v>3</v>
      </c>
      <c r="P283" s="1">
        <v>3</v>
      </c>
      <c r="Q283" s="1">
        <f>data[[#This Row],[Nilai Kepentingan Dimensi Persyaratan]]-data[[#This Row],[Nilai Kepuasan Dimensi Persyaratan]]</f>
        <v>0</v>
      </c>
      <c r="R283" s="1">
        <v>3</v>
      </c>
      <c r="S283" s="1">
        <v>3</v>
      </c>
      <c r="T283" s="1">
        <f>data[[#This Row],[Nilai Kepentingan Dimensi Prosedur]]-data[[#This Row],[Nilai Kepuasan Dimensi Prosedur]]</f>
        <v>0</v>
      </c>
      <c r="U283" s="1">
        <v>3</v>
      </c>
      <c r="V283" s="1">
        <v>3</v>
      </c>
      <c r="W283" s="1">
        <f>data[[#This Row],[Nilai Kepentingan Dimensi Waktu Pelayanan/Penyelesaian]]-data[[#This Row],[Nilai Kepuasan Dimensi Waktu Pelayanan/Penyelesaian]]</f>
        <v>0</v>
      </c>
      <c r="X283" s="1">
        <v>3</v>
      </c>
      <c r="Y283" s="1">
        <v>3</v>
      </c>
      <c r="Z283" s="1">
        <f>data[[#This Row],[Nilai Kepentingan Dimensi Tarif/ Biaya]]-data[[#This Row],[Nilai Kepuasan Dimensi Tarif / Biaya]]</f>
        <v>0</v>
      </c>
      <c r="AA283" s="1">
        <v>3</v>
      </c>
      <c r="AB283" s="1">
        <v>3</v>
      </c>
      <c r="AC283" s="1">
        <f>data[[#This Row],[Nilai Kepentingan Dimensi Produk Spesifikasi Jenis Layanan]]-data[[#This Row],[Nilai Kepuasan Dimensi Produk Spesifikasi Jenis Layanan]]</f>
        <v>0</v>
      </c>
      <c r="AD283" s="1">
        <v>4</v>
      </c>
      <c r="AE283" s="1">
        <v>4</v>
      </c>
      <c r="AF283" s="1">
        <f>data[[#This Row],[Nilai Kepentingan Dimensi Kompetensi Pelaksana]]-data[[#This Row],[Nilai Kepuasan Dimensi Kompetensi Pelaksana]]</f>
        <v>0</v>
      </c>
      <c r="AG283" s="1">
        <v>4</v>
      </c>
      <c r="AH283" s="1">
        <v>4</v>
      </c>
      <c r="AI283" s="1">
        <f>data[[#This Row],[Nilai Kepentingan Dimensi Perilaku Pelaksana]]-data[[#This Row],[Nilai Kepuasan Dimensi Perilaku Pelaksana]]</f>
        <v>0</v>
      </c>
      <c r="AJ283" s="1">
        <v>3</v>
      </c>
      <c r="AK283" s="1">
        <v>3</v>
      </c>
      <c r="AL283" s="1">
        <f>data[[#This Row],[Nilai Kepentingan Dimensi Penanganan Pengaduan, Saran &amp; Masukan]]-data[[#This Row],[Nilai Kepuasan Dimensi Penanganan Pengaduan, Saran &amp; Masukan]]</f>
        <v>0</v>
      </c>
      <c r="AM283" s="1">
        <v>3</v>
      </c>
      <c r="AN283" s="1">
        <v>3</v>
      </c>
      <c r="AO283" s="1">
        <f>data[[#This Row],[Nilai Kepentingan Dimensi Kualitas Sarana dan Prasarana]]-data[[#This Row],[Nilai Kepuasan Dimensi Kualitas Sarana dan Prasarana]]</f>
        <v>0</v>
      </c>
      <c r="AP283" s="1">
        <v>3</v>
      </c>
      <c r="AQ283" s="1" t="s">
        <v>75</v>
      </c>
      <c r="AR283" s="1">
        <v>0</v>
      </c>
      <c r="AS283" s="1" t="s">
        <v>69</v>
      </c>
      <c r="AT283" s="1">
        <v>0</v>
      </c>
      <c r="AU283" s="1" t="s">
        <v>69</v>
      </c>
      <c r="AV283" s="1" t="s">
        <v>83</v>
      </c>
      <c r="AW283" s="1" t="s">
        <v>96</v>
      </c>
      <c r="AX283" s="1">
        <v>0</v>
      </c>
      <c r="AY283" s="1">
        <v>0</v>
      </c>
      <c r="AZ283" s="1" t="s">
        <v>98</v>
      </c>
      <c r="BA283" s="1" t="s">
        <v>99</v>
      </c>
      <c r="BB283" s="1" t="s">
        <v>98</v>
      </c>
      <c r="BC283" s="1" t="s">
        <v>99</v>
      </c>
      <c r="BD283" s="1" t="s">
        <v>98</v>
      </c>
      <c r="BE283" s="1" t="s">
        <v>99</v>
      </c>
      <c r="BF283" s="5" t="s">
        <v>98</v>
      </c>
    </row>
    <row r="284" spans="1:58" x14ac:dyDescent="0.35">
      <c r="A284" s="4">
        <v>283</v>
      </c>
      <c r="B284" s="1" t="s">
        <v>1787</v>
      </c>
      <c r="C284" s="1" t="s">
        <v>63</v>
      </c>
      <c r="D284" s="1" t="s">
        <v>757</v>
      </c>
      <c r="E284" s="1" t="s">
        <v>69</v>
      </c>
      <c r="F284" s="1" t="s">
        <v>69</v>
      </c>
      <c r="G284" s="1" t="s">
        <v>69</v>
      </c>
      <c r="H284" s="1" t="s">
        <v>69</v>
      </c>
      <c r="I284" s="1" t="s">
        <v>106</v>
      </c>
      <c r="J284" s="1" t="s">
        <v>1168</v>
      </c>
      <c r="K284" s="1">
        <v>28</v>
      </c>
      <c r="L284" s="1" t="s">
        <v>92</v>
      </c>
      <c r="M284" s="1" t="s">
        <v>254</v>
      </c>
      <c r="N284" s="1" t="s">
        <v>74</v>
      </c>
      <c r="O284" s="1">
        <v>3</v>
      </c>
      <c r="P284" s="1">
        <v>3</v>
      </c>
      <c r="Q284" s="1">
        <f>data[[#This Row],[Nilai Kepentingan Dimensi Persyaratan]]-data[[#This Row],[Nilai Kepuasan Dimensi Persyaratan]]</f>
        <v>0</v>
      </c>
      <c r="R284" s="1">
        <v>3</v>
      </c>
      <c r="S284" s="1">
        <v>3</v>
      </c>
      <c r="T284" s="1">
        <f>data[[#This Row],[Nilai Kepentingan Dimensi Prosedur]]-data[[#This Row],[Nilai Kepuasan Dimensi Prosedur]]</f>
        <v>0</v>
      </c>
      <c r="U284" s="1">
        <v>3</v>
      </c>
      <c r="V284" s="1">
        <v>3</v>
      </c>
      <c r="W284" s="1">
        <f>data[[#This Row],[Nilai Kepentingan Dimensi Waktu Pelayanan/Penyelesaian]]-data[[#This Row],[Nilai Kepuasan Dimensi Waktu Pelayanan/Penyelesaian]]</f>
        <v>0</v>
      </c>
      <c r="X284" s="1">
        <v>0</v>
      </c>
      <c r="Y284" s="1">
        <v>0</v>
      </c>
      <c r="Z284" s="1">
        <f>data[[#This Row],[Nilai Kepentingan Dimensi Tarif/ Biaya]]-data[[#This Row],[Nilai Kepuasan Dimensi Tarif / Biaya]]</f>
        <v>0</v>
      </c>
      <c r="AA284" s="1">
        <v>3</v>
      </c>
      <c r="AB284" s="1">
        <v>3</v>
      </c>
      <c r="AC284" s="1">
        <f>data[[#This Row],[Nilai Kepentingan Dimensi Produk Spesifikasi Jenis Layanan]]-data[[#This Row],[Nilai Kepuasan Dimensi Produk Spesifikasi Jenis Layanan]]</f>
        <v>0</v>
      </c>
      <c r="AD284" s="1">
        <v>3</v>
      </c>
      <c r="AE284" s="1">
        <v>3</v>
      </c>
      <c r="AF284" s="1">
        <f>data[[#This Row],[Nilai Kepentingan Dimensi Kompetensi Pelaksana]]-data[[#This Row],[Nilai Kepuasan Dimensi Kompetensi Pelaksana]]</f>
        <v>0</v>
      </c>
      <c r="AG284" s="1">
        <v>3</v>
      </c>
      <c r="AH284" s="1">
        <v>3</v>
      </c>
      <c r="AI284" s="1">
        <f>data[[#This Row],[Nilai Kepentingan Dimensi Perilaku Pelaksana]]-data[[#This Row],[Nilai Kepuasan Dimensi Perilaku Pelaksana]]</f>
        <v>0</v>
      </c>
      <c r="AJ284" s="1">
        <v>3</v>
      </c>
      <c r="AK284" s="1">
        <v>3</v>
      </c>
      <c r="AL284" s="1">
        <f>data[[#This Row],[Nilai Kepentingan Dimensi Penanganan Pengaduan, Saran &amp; Masukan]]-data[[#This Row],[Nilai Kepuasan Dimensi Penanganan Pengaduan, Saran &amp; Masukan]]</f>
        <v>0</v>
      </c>
      <c r="AM284" s="1">
        <v>3</v>
      </c>
      <c r="AN284" s="1">
        <v>3</v>
      </c>
      <c r="AO284" s="1">
        <f>data[[#This Row],[Nilai Kepentingan Dimensi Kualitas Sarana dan Prasarana]]-data[[#This Row],[Nilai Kepuasan Dimensi Kualitas Sarana dan Prasarana]]</f>
        <v>0</v>
      </c>
      <c r="AP284" s="1">
        <v>0</v>
      </c>
      <c r="AQ284" s="1" t="s">
        <v>69</v>
      </c>
      <c r="AR284" s="1">
        <v>0</v>
      </c>
      <c r="AS284" s="1" t="s">
        <v>69</v>
      </c>
      <c r="AT284" s="1">
        <v>3</v>
      </c>
      <c r="AU284" s="1" t="s">
        <v>75</v>
      </c>
      <c r="AV284" s="1" t="s">
        <v>83</v>
      </c>
      <c r="AW284" s="1" t="s">
        <v>96</v>
      </c>
      <c r="AX284" s="1">
        <v>0</v>
      </c>
      <c r="AY284" s="1">
        <v>0</v>
      </c>
      <c r="AZ284" s="1" t="s">
        <v>442</v>
      </c>
      <c r="BA284" s="1" t="s">
        <v>79</v>
      </c>
      <c r="BB284" s="1" t="s">
        <v>442</v>
      </c>
      <c r="BC284" s="1" t="s">
        <v>79</v>
      </c>
      <c r="BD284" s="1" t="s">
        <v>442</v>
      </c>
      <c r="BE284" s="1" t="s">
        <v>79</v>
      </c>
      <c r="BF284" s="5" t="s">
        <v>83</v>
      </c>
    </row>
    <row r="285" spans="1:58" x14ac:dyDescent="0.35">
      <c r="A285" s="4">
        <v>284</v>
      </c>
      <c r="B285" s="1" t="s">
        <v>1791</v>
      </c>
      <c r="C285" s="1" t="s">
        <v>63</v>
      </c>
      <c r="D285" s="1" t="s">
        <v>416</v>
      </c>
      <c r="E285" s="1" t="s">
        <v>69</v>
      </c>
      <c r="F285" s="1" t="s">
        <v>69</v>
      </c>
      <c r="G285" s="1" t="s">
        <v>69</v>
      </c>
      <c r="H285" s="1" t="s">
        <v>69</v>
      </c>
      <c r="I285" s="1" t="s">
        <v>70</v>
      </c>
      <c r="J285" s="1" t="s">
        <v>292</v>
      </c>
      <c r="K285" s="1">
        <v>18</v>
      </c>
      <c r="L285" s="1" t="s">
        <v>131</v>
      </c>
      <c r="M285" s="1" t="s">
        <v>73</v>
      </c>
      <c r="N285" s="1" t="s">
        <v>133</v>
      </c>
      <c r="O285" s="1">
        <v>3</v>
      </c>
      <c r="P285" s="1">
        <v>4</v>
      </c>
      <c r="Q285" s="1">
        <f>data[[#This Row],[Nilai Kepentingan Dimensi Persyaratan]]-data[[#This Row],[Nilai Kepuasan Dimensi Persyaratan]]</f>
        <v>1</v>
      </c>
      <c r="R285" s="1">
        <v>4</v>
      </c>
      <c r="S285" s="1">
        <v>4</v>
      </c>
      <c r="T285" s="1">
        <f>data[[#This Row],[Nilai Kepentingan Dimensi Prosedur]]-data[[#This Row],[Nilai Kepuasan Dimensi Prosedur]]</f>
        <v>0</v>
      </c>
      <c r="U285" s="1">
        <v>3</v>
      </c>
      <c r="V285" s="1">
        <v>4</v>
      </c>
      <c r="W285" s="1">
        <f>data[[#This Row],[Nilai Kepentingan Dimensi Waktu Pelayanan/Penyelesaian]]-data[[#This Row],[Nilai Kepuasan Dimensi Waktu Pelayanan/Penyelesaian]]</f>
        <v>1</v>
      </c>
      <c r="X285" s="1">
        <v>4</v>
      </c>
      <c r="Y285" s="1">
        <v>4</v>
      </c>
      <c r="Z285" s="1">
        <f>data[[#This Row],[Nilai Kepentingan Dimensi Tarif/ Biaya]]-data[[#This Row],[Nilai Kepuasan Dimensi Tarif / Biaya]]</f>
        <v>0</v>
      </c>
      <c r="AA285" s="1">
        <v>3</v>
      </c>
      <c r="AB285" s="1">
        <v>4</v>
      </c>
      <c r="AC285" s="1">
        <f>data[[#This Row],[Nilai Kepentingan Dimensi Produk Spesifikasi Jenis Layanan]]-data[[#This Row],[Nilai Kepuasan Dimensi Produk Spesifikasi Jenis Layanan]]</f>
        <v>1</v>
      </c>
      <c r="AD285" s="1">
        <v>4</v>
      </c>
      <c r="AE285" s="1">
        <v>4</v>
      </c>
      <c r="AF285" s="1">
        <f>data[[#This Row],[Nilai Kepentingan Dimensi Kompetensi Pelaksana]]-data[[#This Row],[Nilai Kepuasan Dimensi Kompetensi Pelaksana]]</f>
        <v>0</v>
      </c>
      <c r="AG285" s="1">
        <v>4</v>
      </c>
      <c r="AH285" s="1">
        <v>4</v>
      </c>
      <c r="AI285" s="1">
        <f>data[[#This Row],[Nilai Kepentingan Dimensi Perilaku Pelaksana]]-data[[#This Row],[Nilai Kepuasan Dimensi Perilaku Pelaksana]]</f>
        <v>0</v>
      </c>
      <c r="AJ285" s="1">
        <v>4</v>
      </c>
      <c r="AK285" s="1">
        <v>4</v>
      </c>
      <c r="AL285" s="1">
        <f>data[[#This Row],[Nilai Kepentingan Dimensi Penanganan Pengaduan, Saran &amp; Masukan]]-data[[#This Row],[Nilai Kepuasan Dimensi Penanganan Pengaduan, Saran &amp; Masukan]]</f>
        <v>0</v>
      </c>
      <c r="AM285" s="1">
        <v>4</v>
      </c>
      <c r="AN285" s="1">
        <v>4</v>
      </c>
      <c r="AO285" s="1">
        <f>data[[#This Row],[Nilai Kepentingan Dimensi Kualitas Sarana dan Prasarana]]-data[[#This Row],[Nilai Kepuasan Dimensi Kualitas Sarana dan Prasarana]]</f>
        <v>0</v>
      </c>
      <c r="AP285" s="1">
        <v>0</v>
      </c>
      <c r="AQ285" s="1" t="s">
        <v>69</v>
      </c>
      <c r="AR285" s="1">
        <v>0</v>
      </c>
      <c r="AS285" s="1" t="s">
        <v>69</v>
      </c>
      <c r="AT285" s="1">
        <v>0</v>
      </c>
      <c r="AU285" s="1" t="s">
        <v>69</v>
      </c>
      <c r="AV285" s="1" t="s">
        <v>1795</v>
      </c>
      <c r="AW285" s="1" t="s">
        <v>77</v>
      </c>
      <c r="AX285" s="1">
        <v>2</v>
      </c>
      <c r="AY285" s="1">
        <v>3</v>
      </c>
      <c r="AZ285" s="1" t="s">
        <v>98</v>
      </c>
      <c r="BA285" s="1" t="s">
        <v>99</v>
      </c>
      <c r="BB285" s="1" t="s">
        <v>98</v>
      </c>
      <c r="BC285" s="1" t="s">
        <v>99</v>
      </c>
      <c r="BD285" s="1" t="s">
        <v>98</v>
      </c>
      <c r="BE285" s="1" t="s">
        <v>99</v>
      </c>
      <c r="BF285" s="5" t="s">
        <v>98</v>
      </c>
    </row>
    <row r="286" spans="1:58" x14ac:dyDescent="0.35">
      <c r="A286" s="4">
        <v>285</v>
      </c>
      <c r="B286" s="1" t="s">
        <v>1796</v>
      </c>
      <c r="C286" s="1" t="s">
        <v>338</v>
      </c>
      <c r="D286" s="1" t="s">
        <v>63</v>
      </c>
      <c r="E286" s="1" t="s">
        <v>69</v>
      </c>
      <c r="F286" s="1" t="s">
        <v>69</v>
      </c>
      <c r="G286" s="1" t="s">
        <v>69</v>
      </c>
      <c r="H286" s="1" t="s">
        <v>69</v>
      </c>
      <c r="I286" s="1" t="s">
        <v>106</v>
      </c>
      <c r="J286" s="1" t="s">
        <v>1168</v>
      </c>
      <c r="K286" s="1">
        <v>44</v>
      </c>
      <c r="L286" s="1" t="s">
        <v>197</v>
      </c>
      <c r="M286" s="1" t="s">
        <v>73</v>
      </c>
      <c r="N286" s="1" t="s">
        <v>74</v>
      </c>
      <c r="O286" s="1">
        <v>3</v>
      </c>
      <c r="P286" s="1">
        <v>3</v>
      </c>
      <c r="Q286" s="1">
        <f>data[[#This Row],[Nilai Kepentingan Dimensi Persyaratan]]-data[[#This Row],[Nilai Kepuasan Dimensi Persyaratan]]</f>
        <v>0</v>
      </c>
      <c r="R286" s="1">
        <v>3</v>
      </c>
      <c r="S286" s="1">
        <v>3</v>
      </c>
      <c r="T286" s="1">
        <f>data[[#This Row],[Nilai Kepentingan Dimensi Prosedur]]-data[[#This Row],[Nilai Kepuasan Dimensi Prosedur]]</f>
        <v>0</v>
      </c>
      <c r="U286" s="1">
        <v>4</v>
      </c>
      <c r="V286" s="1">
        <v>4</v>
      </c>
      <c r="W286" s="1">
        <f>data[[#This Row],[Nilai Kepentingan Dimensi Waktu Pelayanan/Penyelesaian]]-data[[#This Row],[Nilai Kepuasan Dimensi Waktu Pelayanan/Penyelesaian]]</f>
        <v>0</v>
      </c>
      <c r="X286" s="1">
        <v>0</v>
      </c>
      <c r="Y286" s="1">
        <v>0</v>
      </c>
      <c r="Z286" s="1">
        <f>data[[#This Row],[Nilai Kepentingan Dimensi Tarif/ Biaya]]-data[[#This Row],[Nilai Kepuasan Dimensi Tarif / Biaya]]</f>
        <v>0</v>
      </c>
      <c r="AA286" s="1">
        <v>3</v>
      </c>
      <c r="AB286" s="1">
        <v>3</v>
      </c>
      <c r="AC286" s="1">
        <f>data[[#This Row],[Nilai Kepentingan Dimensi Produk Spesifikasi Jenis Layanan]]-data[[#This Row],[Nilai Kepuasan Dimensi Produk Spesifikasi Jenis Layanan]]</f>
        <v>0</v>
      </c>
      <c r="AD286" s="1">
        <v>3</v>
      </c>
      <c r="AE286" s="1">
        <v>3</v>
      </c>
      <c r="AF286" s="1">
        <f>data[[#This Row],[Nilai Kepentingan Dimensi Kompetensi Pelaksana]]-data[[#This Row],[Nilai Kepuasan Dimensi Kompetensi Pelaksana]]</f>
        <v>0</v>
      </c>
      <c r="AG286" s="1">
        <v>3</v>
      </c>
      <c r="AH286" s="1">
        <v>3</v>
      </c>
      <c r="AI286" s="1">
        <f>data[[#This Row],[Nilai Kepentingan Dimensi Perilaku Pelaksana]]-data[[#This Row],[Nilai Kepuasan Dimensi Perilaku Pelaksana]]</f>
        <v>0</v>
      </c>
      <c r="AJ286" s="1">
        <v>3</v>
      </c>
      <c r="AK286" s="1">
        <v>3</v>
      </c>
      <c r="AL286" s="1">
        <f>data[[#This Row],[Nilai Kepentingan Dimensi Penanganan Pengaduan, Saran &amp; Masukan]]-data[[#This Row],[Nilai Kepuasan Dimensi Penanganan Pengaduan, Saran &amp; Masukan]]</f>
        <v>0</v>
      </c>
      <c r="AM286" s="1">
        <v>4</v>
      </c>
      <c r="AN286" s="1">
        <v>4</v>
      </c>
      <c r="AO286" s="1">
        <f>data[[#This Row],[Nilai Kepentingan Dimensi Kualitas Sarana dan Prasarana]]-data[[#This Row],[Nilai Kepuasan Dimensi Kualitas Sarana dan Prasarana]]</f>
        <v>0</v>
      </c>
      <c r="AP286" s="1">
        <v>0</v>
      </c>
      <c r="AQ286" s="1" t="s">
        <v>69</v>
      </c>
      <c r="AR286" s="1">
        <v>0</v>
      </c>
      <c r="AS286" s="1" t="s">
        <v>69</v>
      </c>
      <c r="AT286" s="1">
        <v>0</v>
      </c>
      <c r="AU286" s="1" t="s">
        <v>69</v>
      </c>
      <c r="AV286" s="1" t="s">
        <v>1800</v>
      </c>
      <c r="AW286" s="1" t="s">
        <v>186</v>
      </c>
      <c r="AX286" s="1">
        <v>1</v>
      </c>
      <c r="AY286" s="1">
        <v>4</v>
      </c>
      <c r="AZ286" s="1" t="s">
        <v>442</v>
      </c>
      <c r="BA286" s="1" t="s">
        <v>79</v>
      </c>
      <c r="BB286" s="1" t="s">
        <v>442</v>
      </c>
      <c r="BC286" s="1" t="s">
        <v>79</v>
      </c>
      <c r="BD286" s="1" t="s">
        <v>442</v>
      </c>
      <c r="BE286" s="1" t="s">
        <v>79</v>
      </c>
      <c r="BF286" s="5" t="s">
        <v>83</v>
      </c>
    </row>
    <row r="287" spans="1:58" x14ac:dyDescent="0.35">
      <c r="A287" s="4">
        <v>286</v>
      </c>
      <c r="B287" s="1" t="s">
        <v>1801</v>
      </c>
      <c r="C287" s="1" t="s">
        <v>63</v>
      </c>
      <c r="D287" s="1" t="s">
        <v>179</v>
      </c>
      <c r="E287" s="1" t="s">
        <v>69</v>
      </c>
      <c r="F287" s="1" t="s">
        <v>69</v>
      </c>
      <c r="G287" s="1" t="s">
        <v>69</v>
      </c>
      <c r="H287" s="1" t="s">
        <v>69</v>
      </c>
      <c r="I287" s="1" t="s">
        <v>106</v>
      </c>
      <c r="J287" s="1" t="s">
        <v>292</v>
      </c>
      <c r="K287" s="1">
        <v>24</v>
      </c>
      <c r="L287" s="1" t="s">
        <v>72</v>
      </c>
      <c r="M287" s="1" t="s">
        <v>93</v>
      </c>
      <c r="N287" s="1" t="s">
        <v>1806</v>
      </c>
      <c r="O287" s="1">
        <v>3</v>
      </c>
      <c r="P287" s="1">
        <v>3</v>
      </c>
      <c r="Q287" s="1">
        <f>data[[#This Row],[Nilai Kepentingan Dimensi Persyaratan]]-data[[#This Row],[Nilai Kepuasan Dimensi Persyaratan]]</f>
        <v>0</v>
      </c>
      <c r="R287" s="1">
        <v>3</v>
      </c>
      <c r="S287" s="1">
        <v>3</v>
      </c>
      <c r="T287" s="1">
        <f>data[[#This Row],[Nilai Kepentingan Dimensi Prosedur]]-data[[#This Row],[Nilai Kepuasan Dimensi Prosedur]]</f>
        <v>0</v>
      </c>
      <c r="U287" s="1">
        <v>3</v>
      </c>
      <c r="V287" s="1">
        <v>3</v>
      </c>
      <c r="W287" s="1">
        <f>data[[#This Row],[Nilai Kepentingan Dimensi Waktu Pelayanan/Penyelesaian]]-data[[#This Row],[Nilai Kepuasan Dimensi Waktu Pelayanan/Penyelesaian]]</f>
        <v>0</v>
      </c>
      <c r="X287" s="1">
        <v>3</v>
      </c>
      <c r="Y287" s="1">
        <v>3</v>
      </c>
      <c r="Z287" s="1">
        <f>data[[#This Row],[Nilai Kepentingan Dimensi Tarif/ Biaya]]-data[[#This Row],[Nilai Kepuasan Dimensi Tarif / Biaya]]</f>
        <v>0</v>
      </c>
      <c r="AA287" s="1">
        <v>3</v>
      </c>
      <c r="AB287" s="1">
        <v>3</v>
      </c>
      <c r="AC287" s="1">
        <f>data[[#This Row],[Nilai Kepentingan Dimensi Produk Spesifikasi Jenis Layanan]]-data[[#This Row],[Nilai Kepuasan Dimensi Produk Spesifikasi Jenis Layanan]]</f>
        <v>0</v>
      </c>
      <c r="AD287" s="1">
        <v>3</v>
      </c>
      <c r="AE287" s="1">
        <v>3</v>
      </c>
      <c r="AF287" s="1">
        <f>data[[#This Row],[Nilai Kepentingan Dimensi Kompetensi Pelaksana]]-data[[#This Row],[Nilai Kepuasan Dimensi Kompetensi Pelaksana]]</f>
        <v>0</v>
      </c>
      <c r="AG287" s="1">
        <v>3</v>
      </c>
      <c r="AH287" s="1">
        <v>3</v>
      </c>
      <c r="AI287" s="1">
        <f>data[[#This Row],[Nilai Kepentingan Dimensi Perilaku Pelaksana]]-data[[#This Row],[Nilai Kepuasan Dimensi Perilaku Pelaksana]]</f>
        <v>0</v>
      </c>
      <c r="AJ287" s="1">
        <v>3</v>
      </c>
      <c r="AK287" s="1">
        <v>3</v>
      </c>
      <c r="AL287" s="1">
        <f>data[[#This Row],[Nilai Kepentingan Dimensi Penanganan Pengaduan, Saran &amp; Masukan]]-data[[#This Row],[Nilai Kepuasan Dimensi Penanganan Pengaduan, Saran &amp; Masukan]]</f>
        <v>0</v>
      </c>
      <c r="AM287" s="1">
        <v>3</v>
      </c>
      <c r="AN287" s="1">
        <v>3</v>
      </c>
      <c r="AO287" s="1">
        <f>data[[#This Row],[Nilai Kepentingan Dimensi Kualitas Sarana dan Prasarana]]-data[[#This Row],[Nilai Kepuasan Dimensi Kualitas Sarana dan Prasarana]]</f>
        <v>0</v>
      </c>
      <c r="AP287" s="1">
        <v>0</v>
      </c>
      <c r="AQ287" s="1" t="s">
        <v>69</v>
      </c>
      <c r="AR287" s="1">
        <v>0</v>
      </c>
      <c r="AS287" s="1" t="s">
        <v>69</v>
      </c>
      <c r="AT287" s="1">
        <v>0</v>
      </c>
      <c r="AU287" s="1" t="s">
        <v>69</v>
      </c>
      <c r="AV287" s="1" t="s">
        <v>1807</v>
      </c>
      <c r="AW287" s="1" t="s">
        <v>450</v>
      </c>
      <c r="AX287" s="1">
        <v>2</v>
      </c>
      <c r="AY287" s="1">
        <v>3</v>
      </c>
      <c r="AZ287" s="1" t="s">
        <v>98</v>
      </c>
      <c r="BA287" s="1" t="s">
        <v>99</v>
      </c>
      <c r="BB287" s="1" t="s">
        <v>98</v>
      </c>
      <c r="BC287" s="1" t="s">
        <v>99</v>
      </c>
      <c r="BD287" s="1" t="s">
        <v>98</v>
      </c>
      <c r="BE287" s="1" t="s">
        <v>99</v>
      </c>
      <c r="BF287" s="5" t="s">
        <v>263</v>
      </c>
    </row>
    <row r="288" spans="1:58" x14ac:dyDescent="0.35">
      <c r="A288" s="4">
        <v>287</v>
      </c>
      <c r="B288" s="1" t="s">
        <v>1808</v>
      </c>
      <c r="C288" s="1" t="s">
        <v>63</v>
      </c>
      <c r="D288" s="1" t="s">
        <v>86</v>
      </c>
      <c r="E288" s="1" t="s">
        <v>69</v>
      </c>
      <c r="F288" s="1" t="s">
        <v>69</v>
      </c>
      <c r="G288" s="1" t="s">
        <v>69</v>
      </c>
      <c r="H288" s="1" t="s">
        <v>69</v>
      </c>
      <c r="I288" s="1" t="s">
        <v>106</v>
      </c>
      <c r="J288" s="1" t="s">
        <v>1180</v>
      </c>
      <c r="K288" s="1">
        <v>51</v>
      </c>
      <c r="L288" s="1" t="s">
        <v>383</v>
      </c>
      <c r="M288" s="1" t="s">
        <v>93</v>
      </c>
      <c r="N288" s="1" t="s">
        <v>110</v>
      </c>
      <c r="O288" s="1">
        <v>4</v>
      </c>
      <c r="P288" s="1">
        <v>4</v>
      </c>
      <c r="Q288" s="1">
        <f>data[[#This Row],[Nilai Kepentingan Dimensi Persyaratan]]-data[[#This Row],[Nilai Kepuasan Dimensi Persyaratan]]</f>
        <v>0</v>
      </c>
      <c r="R288" s="1">
        <v>3</v>
      </c>
      <c r="S288" s="1">
        <v>3</v>
      </c>
      <c r="T288" s="1">
        <f>data[[#This Row],[Nilai Kepentingan Dimensi Prosedur]]-data[[#This Row],[Nilai Kepuasan Dimensi Prosedur]]</f>
        <v>0</v>
      </c>
      <c r="U288" s="1">
        <v>3</v>
      </c>
      <c r="V288" s="1">
        <v>3</v>
      </c>
      <c r="W288" s="1">
        <f>data[[#This Row],[Nilai Kepentingan Dimensi Waktu Pelayanan/Penyelesaian]]-data[[#This Row],[Nilai Kepuasan Dimensi Waktu Pelayanan/Penyelesaian]]</f>
        <v>0</v>
      </c>
      <c r="X288" s="1">
        <v>0</v>
      </c>
      <c r="Y288" s="1">
        <v>0</v>
      </c>
      <c r="Z288" s="1">
        <f>data[[#This Row],[Nilai Kepentingan Dimensi Tarif/ Biaya]]-data[[#This Row],[Nilai Kepuasan Dimensi Tarif / Biaya]]</f>
        <v>0</v>
      </c>
      <c r="AA288" s="1">
        <v>3</v>
      </c>
      <c r="AB288" s="1">
        <v>3</v>
      </c>
      <c r="AC288" s="1">
        <f>data[[#This Row],[Nilai Kepentingan Dimensi Produk Spesifikasi Jenis Layanan]]-data[[#This Row],[Nilai Kepuasan Dimensi Produk Spesifikasi Jenis Layanan]]</f>
        <v>0</v>
      </c>
      <c r="AD288" s="1">
        <v>4</v>
      </c>
      <c r="AE288" s="1">
        <v>3</v>
      </c>
      <c r="AF288" s="1">
        <f>data[[#This Row],[Nilai Kepentingan Dimensi Kompetensi Pelaksana]]-data[[#This Row],[Nilai Kepuasan Dimensi Kompetensi Pelaksana]]</f>
        <v>-1</v>
      </c>
      <c r="AG288" s="1">
        <v>4</v>
      </c>
      <c r="AH288" s="1">
        <v>3</v>
      </c>
      <c r="AI288" s="1">
        <f>data[[#This Row],[Nilai Kepentingan Dimensi Perilaku Pelaksana]]-data[[#This Row],[Nilai Kepuasan Dimensi Perilaku Pelaksana]]</f>
        <v>-1</v>
      </c>
      <c r="AJ288" s="1">
        <v>4</v>
      </c>
      <c r="AK288" s="1">
        <v>3</v>
      </c>
      <c r="AL288" s="1">
        <f>data[[#This Row],[Nilai Kepentingan Dimensi Penanganan Pengaduan, Saran &amp; Masukan]]-data[[#This Row],[Nilai Kepuasan Dimensi Penanganan Pengaduan, Saran &amp; Masukan]]</f>
        <v>-1</v>
      </c>
      <c r="AM288" s="1">
        <v>4</v>
      </c>
      <c r="AN288" s="1">
        <v>3</v>
      </c>
      <c r="AO288" s="1">
        <f>data[[#This Row],[Nilai Kepentingan Dimensi Kualitas Sarana dan Prasarana]]-data[[#This Row],[Nilai Kepuasan Dimensi Kualitas Sarana dan Prasarana]]</f>
        <v>-1</v>
      </c>
      <c r="AP288" s="1">
        <v>0</v>
      </c>
      <c r="AQ288" s="1" t="s">
        <v>69</v>
      </c>
      <c r="AR288" s="1">
        <v>0</v>
      </c>
      <c r="AS288" s="1" t="s">
        <v>69</v>
      </c>
      <c r="AT288" s="1">
        <v>4</v>
      </c>
      <c r="AU288" s="1" t="s">
        <v>75</v>
      </c>
      <c r="AV288" s="1" t="s">
        <v>83</v>
      </c>
      <c r="AW288" s="1" t="s">
        <v>96</v>
      </c>
      <c r="AX288" s="1">
        <v>0</v>
      </c>
      <c r="AY288" s="1">
        <v>0</v>
      </c>
      <c r="AZ288" s="1" t="s">
        <v>98</v>
      </c>
      <c r="BA288" s="1" t="s">
        <v>99</v>
      </c>
      <c r="BB288" s="1" t="s">
        <v>98</v>
      </c>
      <c r="BC288" s="1" t="s">
        <v>99</v>
      </c>
      <c r="BD288" s="1" t="s">
        <v>98</v>
      </c>
      <c r="BE288" s="1" t="s">
        <v>99</v>
      </c>
      <c r="BF288" s="5" t="s">
        <v>98</v>
      </c>
    </row>
    <row r="289" spans="1:58" x14ac:dyDescent="0.35">
      <c r="A289" s="4">
        <v>288</v>
      </c>
      <c r="B289" s="1" t="s">
        <v>1812</v>
      </c>
      <c r="C289" s="1" t="s">
        <v>63</v>
      </c>
      <c r="D289" s="1" t="s">
        <v>757</v>
      </c>
      <c r="E289" s="1" t="s">
        <v>69</v>
      </c>
      <c r="F289" s="1" t="s">
        <v>69</v>
      </c>
      <c r="G289" s="1" t="s">
        <v>69</v>
      </c>
      <c r="H289" s="1" t="s">
        <v>69</v>
      </c>
      <c r="I289" s="1" t="s">
        <v>70</v>
      </c>
      <c r="J289" s="1" t="s">
        <v>292</v>
      </c>
      <c r="K289" s="1">
        <v>21</v>
      </c>
      <c r="L289" s="1" t="s">
        <v>72</v>
      </c>
      <c r="M289" s="1" t="s">
        <v>73</v>
      </c>
      <c r="N289" s="1" t="s">
        <v>95</v>
      </c>
      <c r="O289" s="1">
        <v>3</v>
      </c>
      <c r="P289" s="1">
        <v>4</v>
      </c>
      <c r="Q289" s="1">
        <f>data[[#This Row],[Nilai Kepentingan Dimensi Persyaratan]]-data[[#This Row],[Nilai Kepuasan Dimensi Persyaratan]]</f>
        <v>1</v>
      </c>
      <c r="R289" s="1">
        <v>4</v>
      </c>
      <c r="S289" s="1">
        <v>4</v>
      </c>
      <c r="T289" s="1">
        <f>data[[#This Row],[Nilai Kepentingan Dimensi Prosedur]]-data[[#This Row],[Nilai Kepuasan Dimensi Prosedur]]</f>
        <v>0</v>
      </c>
      <c r="U289" s="1">
        <v>3</v>
      </c>
      <c r="V289" s="1">
        <v>3</v>
      </c>
      <c r="W289" s="1">
        <f>data[[#This Row],[Nilai Kepentingan Dimensi Waktu Pelayanan/Penyelesaian]]-data[[#This Row],[Nilai Kepuasan Dimensi Waktu Pelayanan/Penyelesaian]]</f>
        <v>0</v>
      </c>
      <c r="X289" s="1">
        <v>4</v>
      </c>
      <c r="Y289" s="1">
        <v>4</v>
      </c>
      <c r="Z289" s="1">
        <f>data[[#This Row],[Nilai Kepentingan Dimensi Tarif/ Biaya]]-data[[#This Row],[Nilai Kepuasan Dimensi Tarif / Biaya]]</f>
        <v>0</v>
      </c>
      <c r="AA289" s="1">
        <v>3</v>
      </c>
      <c r="AB289" s="1">
        <v>3</v>
      </c>
      <c r="AC289" s="1">
        <f>data[[#This Row],[Nilai Kepentingan Dimensi Produk Spesifikasi Jenis Layanan]]-data[[#This Row],[Nilai Kepuasan Dimensi Produk Spesifikasi Jenis Layanan]]</f>
        <v>0</v>
      </c>
      <c r="AD289" s="1">
        <v>4</v>
      </c>
      <c r="AE289" s="1">
        <v>4</v>
      </c>
      <c r="AF289" s="1">
        <f>data[[#This Row],[Nilai Kepentingan Dimensi Kompetensi Pelaksana]]-data[[#This Row],[Nilai Kepuasan Dimensi Kompetensi Pelaksana]]</f>
        <v>0</v>
      </c>
      <c r="AG289" s="1">
        <v>4</v>
      </c>
      <c r="AH289" s="1">
        <v>4</v>
      </c>
      <c r="AI289" s="1">
        <f>data[[#This Row],[Nilai Kepentingan Dimensi Perilaku Pelaksana]]-data[[#This Row],[Nilai Kepuasan Dimensi Perilaku Pelaksana]]</f>
        <v>0</v>
      </c>
      <c r="AJ289" s="1">
        <v>4</v>
      </c>
      <c r="AK289" s="1">
        <v>4</v>
      </c>
      <c r="AL289" s="1">
        <f>data[[#This Row],[Nilai Kepentingan Dimensi Penanganan Pengaduan, Saran &amp; Masukan]]-data[[#This Row],[Nilai Kepuasan Dimensi Penanganan Pengaduan, Saran &amp; Masukan]]</f>
        <v>0</v>
      </c>
      <c r="AM289" s="1">
        <v>3</v>
      </c>
      <c r="AN289" s="1">
        <v>3</v>
      </c>
      <c r="AO289" s="1">
        <f>data[[#This Row],[Nilai Kepentingan Dimensi Kualitas Sarana dan Prasarana]]-data[[#This Row],[Nilai Kepuasan Dimensi Kualitas Sarana dan Prasarana]]</f>
        <v>0</v>
      </c>
      <c r="AP289" s="1">
        <v>0</v>
      </c>
      <c r="AQ289" s="1" t="s">
        <v>69</v>
      </c>
      <c r="AR289" s="1">
        <v>0</v>
      </c>
      <c r="AS289" s="1" t="s">
        <v>69</v>
      </c>
      <c r="AT289" s="1">
        <v>4</v>
      </c>
      <c r="AU289" s="1" t="s">
        <v>75</v>
      </c>
      <c r="AV289" s="1" t="s">
        <v>83</v>
      </c>
      <c r="AW289" s="1" t="s">
        <v>96</v>
      </c>
      <c r="AX289" s="1">
        <v>0</v>
      </c>
      <c r="AY289" s="1">
        <v>0</v>
      </c>
      <c r="AZ289" s="1" t="s">
        <v>98</v>
      </c>
      <c r="BA289" s="1" t="s">
        <v>99</v>
      </c>
      <c r="BB289" s="1" t="s">
        <v>98</v>
      </c>
      <c r="BC289" s="1" t="s">
        <v>99</v>
      </c>
      <c r="BD289" s="1" t="s">
        <v>98</v>
      </c>
      <c r="BE289" s="1" t="s">
        <v>99</v>
      </c>
      <c r="BF289" s="5" t="s">
        <v>1815</v>
      </c>
    </row>
    <row r="290" spans="1:58" x14ac:dyDescent="0.35">
      <c r="A290" s="4">
        <v>289</v>
      </c>
      <c r="B290" s="1" t="s">
        <v>1816</v>
      </c>
      <c r="C290" s="1" t="s">
        <v>63</v>
      </c>
      <c r="D290" s="1" t="s">
        <v>312</v>
      </c>
      <c r="E290" s="1" t="s">
        <v>69</v>
      </c>
      <c r="F290" s="1" t="s">
        <v>69</v>
      </c>
      <c r="G290" s="1" t="s">
        <v>69</v>
      </c>
      <c r="H290" s="1" t="s">
        <v>69</v>
      </c>
      <c r="I290" s="1" t="s">
        <v>70</v>
      </c>
      <c r="J290" s="1" t="s">
        <v>292</v>
      </c>
      <c r="K290" s="1">
        <v>18</v>
      </c>
      <c r="L290" s="1" t="s">
        <v>131</v>
      </c>
      <c r="M290" s="1" t="s">
        <v>73</v>
      </c>
      <c r="N290" s="1" t="s">
        <v>95</v>
      </c>
      <c r="O290" s="1">
        <v>4</v>
      </c>
      <c r="P290" s="1">
        <v>4</v>
      </c>
      <c r="Q290" s="1">
        <f>data[[#This Row],[Nilai Kepentingan Dimensi Persyaratan]]-data[[#This Row],[Nilai Kepuasan Dimensi Persyaratan]]</f>
        <v>0</v>
      </c>
      <c r="R290" s="1">
        <v>3</v>
      </c>
      <c r="S290" s="1">
        <v>4</v>
      </c>
      <c r="T290" s="1">
        <f>data[[#This Row],[Nilai Kepentingan Dimensi Prosedur]]-data[[#This Row],[Nilai Kepuasan Dimensi Prosedur]]</f>
        <v>1</v>
      </c>
      <c r="U290" s="1">
        <v>4</v>
      </c>
      <c r="V290" s="1">
        <v>4</v>
      </c>
      <c r="W290" s="1">
        <f>data[[#This Row],[Nilai Kepentingan Dimensi Waktu Pelayanan/Penyelesaian]]-data[[#This Row],[Nilai Kepuasan Dimensi Waktu Pelayanan/Penyelesaian]]</f>
        <v>0</v>
      </c>
      <c r="X290" s="1">
        <v>4</v>
      </c>
      <c r="Y290" s="1">
        <v>4</v>
      </c>
      <c r="Z290" s="1">
        <f>data[[#This Row],[Nilai Kepentingan Dimensi Tarif/ Biaya]]-data[[#This Row],[Nilai Kepuasan Dimensi Tarif / Biaya]]</f>
        <v>0</v>
      </c>
      <c r="AA290" s="1">
        <v>4</v>
      </c>
      <c r="AB290" s="1">
        <v>4</v>
      </c>
      <c r="AC290" s="1">
        <f>data[[#This Row],[Nilai Kepentingan Dimensi Produk Spesifikasi Jenis Layanan]]-data[[#This Row],[Nilai Kepuasan Dimensi Produk Spesifikasi Jenis Layanan]]</f>
        <v>0</v>
      </c>
      <c r="AD290" s="1">
        <v>4</v>
      </c>
      <c r="AE290" s="1">
        <v>4</v>
      </c>
      <c r="AF290" s="1">
        <f>data[[#This Row],[Nilai Kepentingan Dimensi Kompetensi Pelaksana]]-data[[#This Row],[Nilai Kepuasan Dimensi Kompetensi Pelaksana]]</f>
        <v>0</v>
      </c>
      <c r="AG290" s="1">
        <v>4</v>
      </c>
      <c r="AH290" s="1">
        <v>4</v>
      </c>
      <c r="AI290" s="1">
        <f>data[[#This Row],[Nilai Kepentingan Dimensi Perilaku Pelaksana]]-data[[#This Row],[Nilai Kepuasan Dimensi Perilaku Pelaksana]]</f>
        <v>0</v>
      </c>
      <c r="AJ290" s="1">
        <v>4</v>
      </c>
      <c r="AK290" s="1">
        <v>4</v>
      </c>
      <c r="AL290" s="1">
        <f>data[[#This Row],[Nilai Kepentingan Dimensi Penanganan Pengaduan, Saran &amp; Masukan]]-data[[#This Row],[Nilai Kepuasan Dimensi Penanganan Pengaduan, Saran &amp; Masukan]]</f>
        <v>0</v>
      </c>
      <c r="AM290" s="1">
        <v>4</v>
      </c>
      <c r="AN290" s="1">
        <v>4</v>
      </c>
      <c r="AO290" s="1">
        <f>data[[#This Row],[Nilai Kepentingan Dimensi Kualitas Sarana dan Prasarana]]-data[[#This Row],[Nilai Kepuasan Dimensi Kualitas Sarana dan Prasarana]]</f>
        <v>0</v>
      </c>
      <c r="AP290" s="1">
        <v>3</v>
      </c>
      <c r="AQ290" s="1" t="s">
        <v>69</v>
      </c>
      <c r="AR290" s="1">
        <v>0</v>
      </c>
      <c r="AS290" s="1" t="s">
        <v>75</v>
      </c>
      <c r="AT290" s="1">
        <v>0</v>
      </c>
      <c r="AU290" s="1" t="s">
        <v>69</v>
      </c>
      <c r="AV290" s="1" t="s">
        <v>83</v>
      </c>
      <c r="AW290" s="1" t="s">
        <v>96</v>
      </c>
      <c r="AX290" s="1">
        <v>0</v>
      </c>
      <c r="AY290" s="1">
        <v>0</v>
      </c>
      <c r="AZ290" s="1" t="s">
        <v>98</v>
      </c>
      <c r="BA290" s="1" t="s">
        <v>99</v>
      </c>
      <c r="BB290" s="1" t="s">
        <v>98</v>
      </c>
      <c r="BC290" s="1" t="s">
        <v>99</v>
      </c>
      <c r="BD290" s="1" t="s">
        <v>1819</v>
      </c>
      <c r="BE290" s="1" t="s">
        <v>190</v>
      </c>
      <c r="BF290" s="5" t="s">
        <v>98</v>
      </c>
    </row>
    <row r="291" spans="1:58" x14ac:dyDescent="0.35">
      <c r="A291" s="4">
        <v>290</v>
      </c>
      <c r="B291" s="1" t="s">
        <v>1820</v>
      </c>
      <c r="C291" s="1" t="s">
        <v>63</v>
      </c>
      <c r="D291" s="1" t="s">
        <v>86</v>
      </c>
      <c r="E291" s="1" t="s">
        <v>69</v>
      </c>
      <c r="F291" s="1" t="s">
        <v>69</v>
      </c>
      <c r="G291" s="1" t="s">
        <v>69</v>
      </c>
      <c r="H291" s="1" t="s">
        <v>69</v>
      </c>
      <c r="I291" s="1" t="s">
        <v>106</v>
      </c>
      <c r="J291" s="1" t="s">
        <v>1168</v>
      </c>
      <c r="K291" s="1">
        <v>41</v>
      </c>
      <c r="L291" s="1" t="s">
        <v>197</v>
      </c>
      <c r="M291" s="1" t="s">
        <v>93</v>
      </c>
      <c r="N291" s="1" t="s">
        <v>413</v>
      </c>
      <c r="O291" s="1">
        <v>3</v>
      </c>
      <c r="P291" s="1">
        <v>3</v>
      </c>
      <c r="Q291" s="1">
        <f>data[[#This Row],[Nilai Kepentingan Dimensi Persyaratan]]-data[[#This Row],[Nilai Kepuasan Dimensi Persyaratan]]</f>
        <v>0</v>
      </c>
      <c r="R291" s="1">
        <v>3</v>
      </c>
      <c r="S291" s="1">
        <v>3</v>
      </c>
      <c r="T291" s="1">
        <f>data[[#This Row],[Nilai Kepentingan Dimensi Prosedur]]-data[[#This Row],[Nilai Kepuasan Dimensi Prosedur]]</f>
        <v>0</v>
      </c>
      <c r="U291" s="1">
        <v>2</v>
      </c>
      <c r="V291" s="1">
        <v>4</v>
      </c>
      <c r="W291" s="1">
        <f>data[[#This Row],[Nilai Kepentingan Dimensi Waktu Pelayanan/Penyelesaian]]-data[[#This Row],[Nilai Kepuasan Dimensi Waktu Pelayanan/Penyelesaian]]</f>
        <v>2</v>
      </c>
      <c r="X291" s="1">
        <v>0</v>
      </c>
      <c r="Y291" s="1">
        <v>0</v>
      </c>
      <c r="Z291" s="1">
        <f>data[[#This Row],[Nilai Kepentingan Dimensi Tarif/ Biaya]]-data[[#This Row],[Nilai Kepuasan Dimensi Tarif / Biaya]]</f>
        <v>0</v>
      </c>
      <c r="AA291" s="1">
        <v>3</v>
      </c>
      <c r="AB291" s="1">
        <v>3</v>
      </c>
      <c r="AC291" s="1">
        <f>data[[#This Row],[Nilai Kepentingan Dimensi Produk Spesifikasi Jenis Layanan]]-data[[#This Row],[Nilai Kepuasan Dimensi Produk Spesifikasi Jenis Layanan]]</f>
        <v>0</v>
      </c>
      <c r="AD291" s="1">
        <v>3</v>
      </c>
      <c r="AE291" s="1">
        <v>3</v>
      </c>
      <c r="AF291" s="1">
        <f>data[[#This Row],[Nilai Kepentingan Dimensi Kompetensi Pelaksana]]-data[[#This Row],[Nilai Kepuasan Dimensi Kompetensi Pelaksana]]</f>
        <v>0</v>
      </c>
      <c r="AG291" s="1">
        <v>4</v>
      </c>
      <c r="AH291" s="1">
        <v>4</v>
      </c>
      <c r="AI291" s="1">
        <f>data[[#This Row],[Nilai Kepentingan Dimensi Perilaku Pelaksana]]-data[[#This Row],[Nilai Kepuasan Dimensi Perilaku Pelaksana]]</f>
        <v>0</v>
      </c>
      <c r="AJ291" s="1">
        <v>3</v>
      </c>
      <c r="AK291" s="1">
        <v>4</v>
      </c>
      <c r="AL291" s="1">
        <f>data[[#This Row],[Nilai Kepentingan Dimensi Penanganan Pengaduan, Saran &amp; Masukan]]-data[[#This Row],[Nilai Kepuasan Dimensi Penanganan Pengaduan, Saran &amp; Masukan]]</f>
        <v>1</v>
      </c>
      <c r="AM291" s="1">
        <v>3</v>
      </c>
      <c r="AN291" s="1">
        <v>4</v>
      </c>
      <c r="AO291" s="1">
        <f>data[[#This Row],[Nilai Kepentingan Dimensi Kualitas Sarana dan Prasarana]]-data[[#This Row],[Nilai Kepuasan Dimensi Kualitas Sarana dan Prasarana]]</f>
        <v>1</v>
      </c>
      <c r="AP291" s="1">
        <v>0</v>
      </c>
      <c r="AQ291" s="1" t="s">
        <v>69</v>
      </c>
      <c r="AR291" s="1">
        <v>0</v>
      </c>
      <c r="AS291" s="1" t="s">
        <v>69</v>
      </c>
      <c r="AT291" s="1">
        <v>4</v>
      </c>
      <c r="AU291" s="1" t="s">
        <v>75</v>
      </c>
      <c r="AV291" s="1" t="s">
        <v>83</v>
      </c>
      <c r="AW291" s="1" t="s">
        <v>96</v>
      </c>
      <c r="AX291" s="1">
        <v>0</v>
      </c>
      <c r="AY291" s="1">
        <v>0</v>
      </c>
      <c r="AZ291" s="1" t="s">
        <v>1825</v>
      </c>
      <c r="BA291" s="1" t="s">
        <v>112</v>
      </c>
      <c r="BB291" s="1" t="s">
        <v>1826</v>
      </c>
      <c r="BC291" s="1" t="s">
        <v>112</v>
      </c>
      <c r="BD291" s="1" t="s">
        <v>985</v>
      </c>
      <c r="BE291" s="1" t="s">
        <v>79</v>
      </c>
      <c r="BF291" s="5" t="s">
        <v>83</v>
      </c>
    </row>
    <row r="292" spans="1:58" x14ac:dyDescent="0.35">
      <c r="A292" s="4">
        <v>291</v>
      </c>
      <c r="B292" s="1" t="s">
        <v>1827</v>
      </c>
      <c r="C292" s="1" t="s">
        <v>63</v>
      </c>
      <c r="D292" s="1" t="s">
        <v>742</v>
      </c>
      <c r="E292" s="1" t="s">
        <v>69</v>
      </c>
      <c r="F292" s="1" t="s">
        <v>69</v>
      </c>
      <c r="G292" s="1" t="s">
        <v>69</v>
      </c>
      <c r="H292" s="1" t="s">
        <v>69</v>
      </c>
      <c r="I292" s="1" t="s">
        <v>70</v>
      </c>
      <c r="J292" s="1" t="s">
        <v>1168</v>
      </c>
      <c r="K292" s="1">
        <v>54</v>
      </c>
      <c r="L292" s="1" t="s">
        <v>383</v>
      </c>
      <c r="M292" s="1" t="s">
        <v>273</v>
      </c>
      <c r="N292" s="1" t="s">
        <v>232</v>
      </c>
      <c r="O292" s="1">
        <v>4</v>
      </c>
      <c r="P292" s="1">
        <v>4</v>
      </c>
      <c r="Q292" s="1">
        <f>data[[#This Row],[Nilai Kepentingan Dimensi Persyaratan]]-data[[#This Row],[Nilai Kepuasan Dimensi Persyaratan]]</f>
        <v>0</v>
      </c>
      <c r="R292" s="1">
        <v>4</v>
      </c>
      <c r="S292" s="1">
        <v>3</v>
      </c>
      <c r="T292" s="1">
        <f>data[[#This Row],[Nilai Kepentingan Dimensi Prosedur]]-data[[#This Row],[Nilai Kepuasan Dimensi Prosedur]]</f>
        <v>-1</v>
      </c>
      <c r="U292" s="1">
        <v>4</v>
      </c>
      <c r="V292" s="1">
        <v>4</v>
      </c>
      <c r="W292" s="1">
        <f>data[[#This Row],[Nilai Kepentingan Dimensi Waktu Pelayanan/Penyelesaian]]-data[[#This Row],[Nilai Kepuasan Dimensi Waktu Pelayanan/Penyelesaian]]</f>
        <v>0</v>
      </c>
      <c r="X292" s="1">
        <v>0</v>
      </c>
      <c r="Y292" s="1">
        <v>0</v>
      </c>
      <c r="Z292" s="1">
        <f>data[[#This Row],[Nilai Kepentingan Dimensi Tarif/ Biaya]]-data[[#This Row],[Nilai Kepuasan Dimensi Tarif / Biaya]]</f>
        <v>0</v>
      </c>
      <c r="AA292" s="1">
        <v>4</v>
      </c>
      <c r="AB292" s="1">
        <v>4</v>
      </c>
      <c r="AC292" s="1">
        <f>data[[#This Row],[Nilai Kepentingan Dimensi Produk Spesifikasi Jenis Layanan]]-data[[#This Row],[Nilai Kepuasan Dimensi Produk Spesifikasi Jenis Layanan]]</f>
        <v>0</v>
      </c>
      <c r="AD292" s="1">
        <v>4</v>
      </c>
      <c r="AE292" s="1">
        <v>4</v>
      </c>
      <c r="AF292" s="1">
        <f>data[[#This Row],[Nilai Kepentingan Dimensi Kompetensi Pelaksana]]-data[[#This Row],[Nilai Kepuasan Dimensi Kompetensi Pelaksana]]</f>
        <v>0</v>
      </c>
      <c r="AG292" s="1">
        <v>4</v>
      </c>
      <c r="AH292" s="1">
        <v>3</v>
      </c>
      <c r="AI292" s="1">
        <f>data[[#This Row],[Nilai Kepentingan Dimensi Perilaku Pelaksana]]-data[[#This Row],[Nilai Kepuasan Dimensi Perilaku Pelaksana]]</f>
        <v>-1</v>
      </c>
      <c r="AJ292" s="1">
        <v>4</v>
      </c>
      <c r="AK292" s="1">
        <v>3</v>
      </c>
      <c r="AL292" s="1">
        <f>data[[#This Row],[Nilai Kepentingan Dimensi Penanganan Pengaduan, Saran &amp; Masukan]]-data[[#This Row],[Nilai Kepuasan Dimensi Penanganan Pengaduan, Saran &amp; Masukan]]</f>
        <v>-1</v>
      </c>
      <c r="AM292" s="1">
        <v>4</v>
      </c>
      <c r="AN292" s="1">
        <v>3</v>
      </c>
      <c r="AO292" s="1">
        <f>data[[#This Row],[Nilai Kepentingan Dimensi Kualitas Sarana dan Prasarana]]-data[[#This Row],[Nilai Kepuasan Dimensi Kualitas Sarana dan Prasarana]]</f>
        <v>-1</v>
      </c>
      <c r="AP292" s="1">
        <v>0</v>
      </c>
      <c r="AQ292" s="1" t="s">
        <v>69</v>
      </c>
      <c r="AR292" s="1">
        <v>0</v>
      </c>
      <c r="AS292" s="1" t="s">
        <v>69</v>
      </c>
      <c r="AT292" s="1">
        <v>0</v>
      </c>
      <c r="AU292" s="1" t="s">
        <v>69</v>
      </c>
      <c r="AV292" s="1" t="s">
        <v>144</v>
      </c>
      <c r="AW292" s="1" t="s">
        <v>144</v>
      </c>
      <c r="AX292" s="1">
        <v>1</v>
      </c>
      <c r="AY292" s="1">
        <v>4</v>
      </c>
      <c r="AZ292" s="1" t="s">
        <v>985</v>
      </c>
      <c r="BA292" s="1" t="s">
        <v>79</v>
      </c>
      <c r="BB292" s="1" t="s">
        <v>985</v>
      </c>
      <c r="BC292" s="1" t="s">
        <v>79</v>
      </c>
      <c r="BD292" s="1" t="s">
        <v>985</v>
      </c>
      <c r="BE292" s="1" t="s">
        <v>79</v>
      </c>
      <c r="BF292" s="5" t="s">
        <v>83</v>
      </c>
    </row>
    <row r="293" spans="1:58" x14ac:dyDescent="0.35">
      <c r="A293" s="4">
        <v>292</v>
      </c>
      <c r="B293" s="1" t="s">
        <v>1831</v>
      </c>
      <c r="C293" s="1" t="s">
        <v>63</v>
      </c>
      <c r="D293" s="1" t="s">
        <v>86</v>
      </c>
      <c r="E293" s="1" t="s">
        <v>69</v>
      </c>
      <c r="F293" s="1" t="s">
        <v>69</v>
      </c>
      <c r="G293" s="1" t="s">
        <v>69</v>
      </c>
      <c r="H293" s="1" t="s">
        <v>69</v>
      </c>
      <c r="I293" s="1" t="s">
        <v>106</v>
      </c>
      <c r="J293" s="1" t="s">
        <v>1168</v>
      </c>
      <c r="K293" s="1">
        <v>44</v>
      </c>
      <c r="L293" s="1" t="s">
        <v>197</v>
      </c>
      <c r="M293" s="1" t="s">
        <v>93</v>
      </c>
      <c r="N293" s="1" t="s">
        <v>154</v>
      </c>
      <c r="O293" s="1">
        <v>4</v>
      </c>
      <c r="P293" s="1">
        <v>4</v>
      </c>
      <c r="Q293" s="1">
        <f>data[[#This Row],[Nilai Kepentingan Dimensi Persyaratan]]-data[[#This Row],[Nilai Kepuasan Dimensi Persyaratan]]</f>
        <v>0</v>
      </c>
      <c r="R293" s="1">
        <v>4</v>
      </c>
      <c r="S293" s="1">
        <v>4</v>
      </c>
      <c r="T293" s="1">
        <f>data[[#This Row],[Nilai Kepentingan Dimensi Prosedur]]-data[[#This Row],[Nilai Kepuasan Dimensi Prosedur]]</f>
        <v>0</v>
      </c>
      <c r="U293" s="1">
        <v>4</v>
      </c>
      <c r="V293" s="1">
        <v>4</v>
      </c>
      <c r="W293" s="1">
        <f>data[[#This Row],[Nilai Kepentingan Dimensi Waktu Pelayanan/Penyelesaian]]-data[[#This Row],[Nilai Kepuasan Dimensi Waktu Pelayanan/Penyelesaian]]</f>
        <v>0</v>
      </c>
      <c r="X293" s="1">
        <v>0</v>
      </c>
      <c r="Y293" s="1">
        <v>0</v>
      </c>
      <c r="Z293" s="1">
        <f>data[[#This Row],[Nilai Kepentingan Dimensi Tarif/ Biaya]]-data[[#This Row],[Nilai Kepuasan Dimensi Tarif / Biaya]]</f>
        <v>0</v>
      </c>
      <c r="AA293" s="1">
        <v>4</v>
      </c>
      <c r="AB293" s="1">
        <v>4</v>
      </c>
      <c r="AC293" s="1">
        <f>data[[#This Row],[Nilai Kepentingan Dimensi Produk Spesifikasi Jenis Layanan]]-data[[#This Row],[Nilai Kepuasan Dimensi Produk Spesifikasi Jenis Layanan]]</f>
        <v>0</v>
      </c>
      <c r="AD293" s="1">
        <v>4</v>
      </c>
      <c r="AE293" s="1">
        <v>4</v>
      </c>
      <c r="AF293" s="1">
        <f>data[[#This Row],[Nilai Kepentingan Dimensi Kompetensi Pelaksana]]-data[[#This Row],[Nilai Kepuasan Dimensi Kompetensi Pelaksana]]</f>
        <v>0</v>
      </c>
      <c r="AG293" s="1">
        <v>4</v>
      </c>
      <c r="AH293" s="1">
        <v>4</v>
      </c>
      <c r="AI293" s="1">
        <f>data[[#This Row],[Nilai Kepentingan Dimensi Perilaku Pelaksana]]-data[[#This Row],[Nilai Kepuasan Dimensi Perilaku Pelaksana]]</f>
        <v>0</v>
      </c>
      <c r="AJ293" s="1">
        <v>4</v>
      </c>
      <c r="AK293" s="1">
        <v>4</v>
      </c>
      <c r="AL293" s="1">
        <f>data[[#This Row],[Nilai Kepentingan Dimensi Penanganan Pengaduan, Saran &amp; Masukan]]-data[[#This Row],[Nilai Kepuasan Dimensi Penanganan Pengaduan, Saran &amp; Masukan]]</f>
        <v>0</v>
      </c>
      <c r="AM293" s="1">
        <v>4</v>
      </c>
      <c r="AN293" s="1">
        <v>4</v>
      </c>
      <c r="AO293" s="1">
        <f>data[[#This Row],[Nilai Kepentingan Dimensi Kualitas Sarana dan Prasarana]]-data[[#This Row],[Nilai Kepuasan Dimensi Kualitas Sarana dan Prasarana]]</f>
        <v>0</v>
      </c>
      <c r="AP293" s="1">
        <v>0</v>
      </c>
      <c r="AQ293" s="1" t="s">
        <v>69</v>
      </c>
      <c r="AR293" s="1">
        <v>0</v>
      </c>
      <c r="AS293" s="1" t="s">
        <v>69</v>
      </c>
      <c r="AT293" s="1">
        <v>4</v>
      </c>
      <c r="AU293" s="1" t="s">
        <v>75</v>
      </c>
      <c r="AV293" s="1" t="s">
        <v>83</v>
      </c>
      <c r="AW293" s="1" t="s">
        <v>96</v>
      </c>
      <c r="AX293" s="1">
        <v>0</v>
      </c>
      <c r="AY293" s="1">
        <v>0</v>
      </c>
      <c r="AZ293" s="1" t="s">
        <v>985</v>
      </c>
      <c r="BA293" s="1" t="s">
        <v>79</v>
      </c>
      <c r="BB293" s="1" t="s">
        <v>985</v>
      </c>
      <c r="BC293" s="1" t="s">
        <v>79</v>
      </c>
      <c r="BD293" s="1" t="s">
        <v>985</v>
      </c>
      <c r="BE293" s="1" t="s">
        <v>79</v>
      </c>
      <c r="BF293" s="5" t="s">
        <v>83</v>
      </c>
    </row>
    <row r="294" spans="1:58" x14ac:dyDescent="0.35">
      <c r="A294" s="4">
        <v>293</v>
      </c>
      <c r="B294" s="1" t="s">
        <v>1835</v>
      </c>
      <c r="C294" s="1" t="s">
        <v>63</v>
      </c>
      <c r="D294" s="1" t="s">
        <v>240</v>
      </c>
      <c r="E294" s="1" t="s">
        <v>69</v>
      </c>
      <c r="F294" s="1" t="s">
        <v>69</v>
      </c>
      <c r="G294" s="1" t="s">
        <v>69</v>
      </c>
      <c r="H294" s="1" t="s">
        <v>69</v>
      </c>
      <c r="I294" s="1" t="s">
        <v>106</v>
      </c>
      <c r="J294" s="1" t="s">
        <v>1180</v>
      </c>
      <c r="K294" s="1">
        <v>50</v>
      </c>
      <c r="L294" s="1" t="s">
        <v>225</v>
      </c>
      <c r="M294" s="1" t="s">
        <v>73</v>
      </c>
      <c r="N294" s="1" t="s">
        <v>143</v>
      </c>
      <c r="O294" s="1">
        <v>4</v>
      </c>
      <c r="P294" s="1">
        <v>4</v>
      </c>
      <c r="Q294" s="1">
        <f>data[[#This Row],[Nilai Kepentingan Dimensi Persyaratan]]-data[[#This Row],[Nilai Kepuasan Dimensi Persyaratan]]</f>
        <v>0</v>
      </c>
      <c r="R294" s="1">
        <v>4</v>
      </c>
      <c r="S294" s="1">
        <v>4</v>
      </c>
      <c r="T294" s="1">
        <f>data[[#This Row],[Nilai Kepentingan Dimensi Prosedur]]-data[[#This Row],[Nilai Kepuasan Dimensi Prosedur]]</f>
        <v>0</v>
      </c>
      <c r="U294" s="1">
        <v>4</v>
      </c>
      <c r="V294" s="1">
        <v>4</v>
      </c>
      <c r="W294" s="1">
        <f>data[[#This Row],[Nilai Kepentingan Dimensi Waktu Pelayanan/Penyelesaian]]-data[[#This Row],[Nilai Kepuasan Dimensi Waktu Pelayanan/Penyelesaian]]</f>
        <v>0</v>
      </c>
      <c r="X294" s="1">
        <v>0</v>
      </c>
      <c r="Y294" s="1">
        <v>0</v>
      </c>
      <c r="Z294" s="1">
        <f>data[[#This Row],[Nilai Kepentingan Dimensi Tarif/ Biaya]]-data[[#This Row],[Nilai Kepuasan Dimensi Tarif / Biaya]]</f>
        <v>0</v>
      </c>
      <c r="AA294" s="1">
        <v>4</v>
      </c>
      <c r="AB294" s="1">
        <v>4</v>
      </c>
      <c r="AC294" s="1">
        <f>data[[#This Row],[Nilai Kepentingan Dimensi Produk Spesifikasi Jenis Layanan]]-data[[#This Row],[Nilai Kepuasan Dimensi Produk Spesifikasi Jenis Layanan]]</f>
        <v>0</v>
      </c>
      <c r="AD294" s="1">
        <v>4</v>
      </c>
      <c r="AE294" s="1">
        <v>4</v>
      </c>
      <c r="AF294" s="1">
        <f>data[[#This Row],[Nilai Kepentingan Dimensi Kompetensi Pelaksana]]-data[[#This Row],[Nilai Kepuasan Dimensi Kompetensi Pelaksana]]</f>
        <v>0</v>
      </c>
      <c r="AG294" s="1">
        <v>4</v>
      </c>
      <c r="AH294" s="1">
        <v>4</v>
      </c>
      <c r="AI294" s="1">
        <f>data[[#This Row],[Nilai Kepentingan Dimensi Perilaku Pelaksana]]-data[[#This Row],[Nilai Kepuasan Dimensi Perilaku Pelaksana]]</f>
        <v>0</v>
      </c>
      <c r="AJ294" s="1">
        <v>4</v>
      </c>
      <c r="AK294" s="1">
        <v>4</v>
      </c>
      <c r="AL294" s="1">
        <f>data[[#This Row],[Nilai Kepentingan Dimensi Penanganan Pengaduan, Saran &amp; Masukan]]-data[[#This Row],[Nilai Kepuasan Dimensi Penanganan Pengaduan, Saran &amp; Masukan]]</f>
        <v>0</v>
      </c>
      <c r="AM294" s="1">
        <v>4</v>
      </c>
      <c r="AN294" s="1">
        <v>4</v>
      </c>
      <c r="AO294" s="1">
        <f>data[[#This Row],[Nilai Kepentingan Dimensi Kualitas Sarana dan Prasarana]]-data[[#This Row],[Nilai Kepuasan Dimensi Kualitas Sarana dan Prasarana]]</f>
        <v>0</v>
      </c>
      <c r="AP294" s="1">
        <v>0</v>
      </c>
      <c r="AQ294" s="1" t="s">
        <v>69</v>
      </c>
      <c r="AR294" s="1">
        <v>0</v>
      </c>
      <c r="AS294" s="1" t="s">
        <v>69</v>
      </c>
      <c r="AT294" s="1">
        <v>4</v>
      </c>
      <c r="AU294" s="1" t="s">
        <v>75</v>
      </c>
      <c r="AV294" s="1" t="s">
        <v>83</v>
      </c>
      <c r="AW294" s="1" t="s">
        <v>96</v>
      </c>
      <c r="AX294" s="1">
        <v>0</v>
      </c>
      <c r="AY294" s="1">
        <v>0</v>
      </c>
      <c r="AZ294" s="1" t="s">
        <v>985</v>
      </c>
      <c r="BA294" s="1" t="s">
        <v>79</v>
      </c>
      <c r="BB294" s="1" t="s">
        <v>985</v>
      </c>
      <c r="BC294" s="1" t="s">
        <v>79</v>
      </c>
      <c r="BD294" s="1" t="s">
        <v>985</v>
      </c>
      <c r="BE294" s="1" t="s">
        <v>79</v>
      </c>
      <c r="BF294" s="5" t="s">
        <v>83</v>
      </c>
    </row>
    <row r="295" spans="1:58" x14ac:dyDescent="0.35">
      <c r="A295" s="4">
        <v>294</v>
      </c>
      <c r="B295" s="1" t="s">
        <v>1839</v>
      </c>
      <c r="C295" s="1" t="s">
        <v>1841</v>
      </c>
      <c r="D295" s="1" t="s">
        <v>1842</v>
      </c>
      <c r="E295" s="1" t="s">
        <v>69</v>
      </c>
      <c r="F295" s="1" t="s">
        <v>69</v>
      </c>
      <c r="G295" s="1" t="s">
        <v>69</v>
      </c>
      <c r="H295" s="1" t="s">
        <v>69</v>
      </c>
      <c r="I295" s="1" t="s">
        <v>106</v>
      </c>
      <c r="J295" s="1" t="s">
        <v>1180</v>
      </c>
      <c r="K295" s="1">
        <v>52</v>
      </c>
      <c r="L295" s="1" t="s">
        <v>383</v>
      </c>
      <c r="M295" s="1" t="s">
        <v>93</v>
      </c>
      <c r="N295" s="1" t="s">
        <v>110</v>
      </c>
      <c r="O295" s="1">
        <v>4</v>
      </c>
      <c r="P295" s="1">
        <v>4</v>
      </c>
      <c r="Q295" s="1">
        <f>data[[#This Row],[Nilai Kepentingan Dimensi Persyaratan]]-data[[#This Row],[Nilai Kepuasan Dimensi Persyaratan]]</f>
        <v>0</v>
      </c>
      <c r="R295" s="1">
        <v>4</v>
      </c>
      <c r="S295" s="1">
        <v>4</v>
      </c>
      <c r="T295" s="1">
        <f>data[[#This Row],[Nilai Kepentingan Dimensi Prosedur]]-data[[#This Row],[Nilai Kepuasan Dimensi Prosedur]]</f>
        <v>0</v>
      </c>
      <c r="U295" s="1">
        <v>4</v>
      </c>
      <c r="V295" s="1">
        <v>4</v>
      </c>
      <c r="W295" s="1">
        <f>data[[#This Row],[Nilai Kepentingan Dimensi Waktu Pelayanan/Penyelesaian]]-data[[#This Row],[Nilai Kepuasan Dimensi Waktu Pelayanan/Penyelesaian]]</f>
        <v>0</v>
      </c>
      <c r="X295" s="1">
        <v>0</v>
      </c>
      <c r="Y295" s="1">
        <v>0</v>
      </c>
      <c r="Z295" s="1">
        <f>data[[#This Row],[Nilai Kepentingan Dimensi Tarif/ Biaya]]-data[[#This Row],[Nilai Kepuasan Dimensi Tarif / Biaya]]</f>
        <v>0</v>
      </c>
      <c r="AA295" s="1">
        <v>4</v>
      </c>
      <c r="AB295" s="1">
        <v>4</v>
      </c>
      <c r="AC295" s="1">
        <f>data[[#This Row],[Nilai Kepentingan Dimensi Produk Spesifikasi Jenis Layanan]]-data[[#This Row],[Nilai Kepuasan Dimensi Produk Spesifikasi Jenis Layanan]]</f>
        <v>0</v>
      </c>
      <c r="AD295" s="1">
        <v>4</v>
      </c>
      <c r="AE295" s="1">
        <v>4</v>
      </c>
      <c r="AF295" s="1">
        <f>data[[#This Row],[Nilai Kepentingan Dimensi Kompetensi Pelaksana]]-data[[#This Row],[Nilai Kepuasan Dimensi Kompetensi Pelaksana]]</f>
        <v>0</v>
      </c>
      <c r="AG295" s="1">
        <v>4</v>
      </c>
      <c r="AH295" s="1">
        <v>4</v>
      </c>
      <c r="AI295" s="1">
        <f>data[[#This Row],[Nilai Kepentingan Dimensi Perilaku Pelaksana]]-data[[#This Row],[Nilai Kepuasan Dimensi Perilaku Pelaksana]]</f>
        <v>0</v>
      </c>
      <c r="AJ295" s="1">
        <v>4</v>
      </c>
      <c r="AK295" s="1">
        <v>4</v>
      </c>
      <c r="AL295" s="1">
        <f>data[[#This Row],[Nilai Kepentingan Dimensi Penanganan Pengaduan, Saran &amp; Masukan]]-data[[#This Row],[Nilai Kepuasan Dimensi Penanganan Pengaduan, Saran &amp; Masukan]]</f>
        <v>0</v>
      </c>
      <c r="AM295" s="1">
        <v>4</v>
      </c>
      <c r="AN295" s="1">
        <v>4</v>
      </c>
      <c r="AO295" s="1">
        <f>data[[#This Row],[Nilai Kepentingan Dimensi Kualitas Sarana dan Prasarana]]-data[[#This Row],[Nilai Kepuasan Dimensi Kualitas Sarana dan Prasarana]]</f>
        <v>0</v>
      </c>
      <c r="AP295" s="1">
        <v>0</v>
      </c>
      <c r="AQ295" s="1" t="s">
        <v>69</v>
      </c>
      <c r="AR295" s="1">
        <v>0</v>
      </c>
      <c r="AS295" s="1" t="s">
        <v>69</v>
      </c>
      <c r="AT295" s="1">
        <v>4</v>
      </c>
      <c r="AU295" s="1" t="s">
        <v>75</v>
      </c>
      <c r="AV295" s="1" t="s">
        <v>83</v>
      </c>
      <c r="AW295" s="1" t="s">
        <v>96</v>
      </c>
      <c r="AX295" s="1">
        <v>0</v>
      </c>
      <c r="AY295" s="1">
        <v>0</v>
      </c>
      <c r="AZ295" s="1" t="s">
        <v>985</v>
      </c>
      <c r="BA295" s="1" t="s">
        <v>79</v>
      </c>
      <c r="BB295" s="1" t="s">
        <v>985</v>
      </c>
      <c r="BC295" s="1" t="s">
        <v>79</v>
      </c>
      <c r="BD295" s="1" t="s">
        <v>985</v>
      </c>
      <c r="BE295" s="1" t="s">
        <v>79</v>
      </c>
      <c r="BF295" s="5" t="s">
        <v>83</v>
      </c>
    </row>
    <row r="296" spans="1:58" x14ac:dyDescent="0.35">
      <c r="A296" s="4">
        <v>295</v>
      </c>
      <c r="B296" s="1" t="s">
        <v>1845</v>
      </c>
      <c r="C296" s="1" t="s">
        <v>63</v>
      </c>
      <c r="D296" s="1" t="s">
        <v>312</v>
      </c>
      <c r="E296" s="1" t="s">
        <v>69</v>
      </c>
      <c r="F296" s="1" t="s">
        <v>69</v>
      </c>
      <c r="G296" s="1" t="s">
        <v>69</v>
      </c>
      <c r="H296" s="1" t="s">
        <v>69</v>
      </c>
      <c r="I296" s="1" t="s">
        <v>106</v>
      </c>
      <c r="J296" s="1" t="s">
        <v>107</v>
      </c>
      <c r="K296" s="1">
        <v>33</v>
      </c>
      <c r="L296" s="1" t="s">
        <v>109</v>
      </c>
      <c r="M296" s="1" t="s">
        <v>254</v>
      </c>
      <c r="N296" s="1" t="s">
        <v>74</v>
      </c>
      <c r="O296" s="1">
        <v>4</v>
      </c>
      <c r="P296" s="1">
        <v>4</v>
      </c>
      <c r="Q296" s="1">
        <f>data[[#This Row],[Nilai Kepentingan Dimensi Persyaratan]]-data[[#This Row],[Nilai Kepuasan Dimensi Persyaratan]]</f>
        <v>0</v>
      </c>
      <c r="R296" s="1">
        <v>4</v>
      </c>
      <c r="S296" s="1">
        <v>4</v>
      </c>
      <c r="T296" s="1">
        <f>data[[#This Row],[Nilai Kepentingan Dimensi Prosedur]]-data[[#This Row],[Nilai Kepuasan Dimensi Prosedur]]</f>
        <v>0</v>
      </c>
      <c r="U296" s="1">
        <v>4</v>
      </c>
      <c r="V296" s="1">
        <v>4</v>
      </c>
      <c r="W296" s="1">
        <f>data[[#This Row],[Nilai Kepentingan Dimensi Waktu Pelayanan/Penyelesaian]]-data[[#This Row],[Nilai Kepuasan Dimensi Waktu Pelayanan/Penyelesaian]]</f>
        <v>0</v>
      </c>
      <c r="X296" s="1">
        <v>0</v>
      </c>
      <c r="Y296" s="1">
        <v>0</v>
      </c>
      <c r="Z296" s="1">
        <f>data[[#This Row],[Nilai Kepentingan Dimensi Tarif/ Biaya]]-data[[#This Row],[Nilai Kepuasan Dimensi Tarif / Biaya]]</f>
        <v>0</v>
      </c>
      <c r="AA296" s="1">
        <v>4</v>
      </c>
      <c r="AB296" s="1">
        <v>4</v>
      </c>
      <c r="AC296" s="1">
        <f>data[[#This Row],[Nilai Kepentingan Dimensi Produk Spesifikasi Jenis Layanan]]-data[[#This Row],[Nilai Kepuasan Dimensi Produk Spesifikasi Jenis Layanan]]</f>
        <v>0</v>
      </c>
      <c r="AD296" s="1">
        <v>4</v>
      </c>
      <c r="AE296" s="1">
        <v>4</v>
      </c>
      <c r="AF296" s="1">
        <f>data[[#This Row],[Nilai Kepentingan Dimensi Kompetensi Pelaksana]]-data[[#This Row],[Nilai Kepuasan Dimensi Kompetensi Pelaksana]]</f>
        <v>0</v>
      </c>
      <c r="AG296" s="1">
        <v>4</v>
      </c>
      <c r="AH296" s="1">
        <v>4</v>
      </c>
      <c r="AI296" s="1">
        <f>data[[#This Row],[Nilai Kepentingan Dimensi Perilaku Pelaksana]]-data[[#This Row],[Nilai Kepuasan Dimensi Perilaku Pelaksana]]</f>
        <v>0</v>
      </c>
      <c r="AJ296" s="1">
        <v>4</v>
      </c>
      <c r="AK296" s="1">
        <v>4</v>
      </c>
      <c r="AL296" s="1">
        <f>data[[#This Row],[Nilai Kepentingan Dimensi Penanganan Pengaduan, Saran &amp; Masukan]]-data[[#This Row],[Nilai Kepuasan Dimensi Penanganan Pengaduan, Saran &amp; Masukan]]</f>
        <v>0</v>
      </c>
      <c r="AM296" s="1">
        <v>4</v>
      </c>
      <c r="AN296" s="1">
        <v>4</v>
      </c>
      <c r="AO296" s="1">
        <f>data[[#This Row],[Nilai Kepentingan Dimensi Kualitas Sarana dan Prasarana]]-data[[#This Row],[Nilai Kepuasan Dimensi Kualitas Sarana dan Prasarana]]</f>
        <v>0</v>
      </c>
      <c r="AP296" s="1">
        <v>0</v>
      </c>
      <c r="AQ296" s="1" t="s">
        <v>69</v>
      </c>
      <c r="AR296" s="1">
        <v>4</v>
      </c>
      <c r="AS296" s="1" t="s">
        <v>75</v>
      </c>
      <c r="AT296" s="1">
        <v>0</v>
      </c>
      <c r="AU296" s="1" t="s">
        <v>69</v>
      </c>
      <c r="AV296" s="1" t="s">
        <v>83</v>
      </c>
      <c r="AW296" s="1" t="s">
        <v>96</v>
      </c>
      <c r="AX296" s="1">
        <v>0</v>
      </c>
      <c r="AY296" s="1">
        <v>0</v>
      </c>
      <c r="AZ296" s="1" t="s">
        <v>248</v>
      </c>
      <c r="BA296" s="1" t="s">
        <v>79</v>
      </c>
      <c r="BB296" s="1" t="s">
        <v>248</v>
      </c>
      <c r="BC296" s="1" t="s">
        <v>79</v>
      </c>
      <c r="BD296" s="1" t="s">
        <v>248</v>
      </c>
      <c r="BE296" s="1" t="s">
        <v>79</v>
      </c>
      <c r="BF296" s="5" t="s">
        <v>96</v>
      </c>
    </row>
    <row r="297" spans="1:58" x14ac:dyDescent="0.35">
      <c r="A297" s="4">
        <v>296</v>
      </c>
      <c r="B297" s="1" t="s">
        <v>1849</v>
      </c>
      <c r="C297" s="1" t="s">
        <v>63</v>
      </c>
      <c r="D297" s="1" t="s">
        <v>63</v>
      </c>
      <c r="E297" s="1" t="s">
        <v>69</v>
      </c>
      <c r="F297" s="1" t="s">
        <v>69</v>
      </c>
      <c r="G297" s="1" t="s">
        <v>69</v>
      </c>
      <c r="H297" s="1" t="s">
        <v>69</v>
      </c>
      <c r="I297" s="1" t="s">
        <v>106</v>
      </c>
      <c r="J297" s="1" t="s">
        <v>107</v>
      </c>
      <c r="K297" s="1">
        <v>25</v>
      </c>
      <c r="L297" s="1" t="s">
        <v>72</v>
      </c>
      <c r="M297" s="1" t="s">
        <v>73</v>
      </c>
      <c r="N297" s="1" t="s">
        <v>1853</v>
      </c>
      <c r="O297" s="1">
        <v>3</v>
      </c>
      <c r="P297" s="1">
        <v>3</v>
      </c>
      <c r="Q297" s="1">
        <f>data[[#This Row],[Nilai Kepentingan Dimensi Persyaratan]]-data[[#This Row],[Nilai Kepuasan Dimensi Persyaratan]]</f>
        <v>0</v>
      </c>
      <c r="R297" s="1">
        <v>3</v>
      </c>
      <c r="S297" s="1">
        <v>3</v>
      </c>
      <c r="T297" s="1">
        <f>data[[#This Row],[Nilai Kepentingan Dimensi Prosedur]]-data[[#This Row],[Nilai Kepuasan Dimensi Prosedur]]</f>
        <v>0</v>
      </c>
      <c r="U297" s="1">
        <v>3</v>
      </c>
      <c r="V297" s="1">
        <v>3</v>
      </c>
      <c r="W297" s="1">
        <f>data[[#This Row],[Nilai Kepentingan Dimensi Waktu Pelayanan/Penyelesaian]]-data[[#This Row],[Nilai Kepuasan Dimensi Waktu Pelayanan/Penyelesaian]]</f>
        <v>0</v>
      </c>
      <c r="X297" s="1">
        <v>0</v>
      </c>
      <c r="Y297" s="1">
        <v>0</v>
      </c>
      <c r="Z297" s="1">
        <f>data[[#This Row],[Nilai Kepentingan Dimensi Tarif/ Biaya]]-data[[#This Row],[Nilai Kepuasan Dimensi Tarif / Biaya]]</f>
        <v>0</v>
      </c>
      <c r="AA297" s="1">
        <v>3</v>
      </c>
      <c r="AB297" s="1">
        <v>3</v>
      </c>
      <c r="AC297" s="1">
        <f>data[[#This Row],[Nilai Kepentingan Dimensi Produk Spesifikasi Jenis Layanan]]-data[[#This Row],[Nilai Kepuasan Dimensi Produk Spesifikasi Jenis Layanan]]</f>
        <v>0</v>
      </c>
      <c r="AD297" s="1">
        <v>3</v>
      </c>
      <c r="AE297" s="1">
        <v>3</v>
      </c>
      <c r="AF297" s="1">
        <f>data[[#This Row],[Nilai Kepentingan Dimensi Kompetensi Pelaksana]]-data[[#This Row],[Nilai Kepuasan Dimensi Kompetensi Pelaksana]]</f>
        <v>0</v>
      </c>
      <c r="AG297" s="1">
        <v>4</v>
      </c>
      <c r="AH297" s="1">
        <v>3</v>
      </c>
      <c r="AI297" s="1">
        <f>data[[#This Row],[Nilai Kepentingan Dimensi Perilaku Pelaksana]]-data[[#This Row],[Nilai Kepuasan Dimensi Perilaku Pelaksana]]</f>
        <v>-1</v>
      </c>
      <c r="AJ297" s="1">
        <v>3</v>
      </c>
      <c r="AK297" s="1">
        <v>3</v>
      </c>
      <c r="AL297" s="1">
        <f>data[[#This Row],[Nilai Kepentingan Dimensi Penanganan Pengaduan, Saran &amp; Masukan]]-data[[#This Row],[Nilai Kepuasan Dimensi Penanganan Pengaduan, Saran &amp; Masukan]]</f>
        <v>0</v>
      </c>
      <c r="AM297" s="1">
        <v>3</v>
      </c>
      <c r="AN297" s="1">
        <v>4</v>
      </c>
      <c r="AO297" s="1">
        <f>data[[#This Row],[Nilai Kepentingan Dimensi Kualitas Sarana dan Prasarana]]-data[[#This Row],[Nilai Kepuasan Dimensi Kualitas Sarana dan Prasarana]]</f>
        <v>1</v>
      </c>
      <c r="AP297" s="1">
        <v>4</v>
      </c>
      <c r="AQ297" s="1" t="s">
        <v>75</v>
      </c>
      <c r="AR297" s="1">
        <v>0</v>
      </c>
      <c r="AS297" s="1" t="s">
        <v>69</v>
      </c>
      <c r="AT297" s="1">
        <v>0</v>
      </c>
      <c r="AU297" s="1" t="s">
        <v>69</v>
      </c>
      <c r="AV297" s="1" t="s">
        <v>83</v>
      </c>
      <c r="AW297" s="1" t="s">
        <v>96</v>
      </c>
      <c r="AX297" s="1">
        <v>0</v>
      </c>
      <c r="AY297" s="1">
        <v>0</v>
      </c>
      <c r="AZ297" s="1" t="s">
        <v>248</v>
      </c>
      <c r="BA297" s="1" t="s">
        <v>79</v>
      </c>
      <c r="BB297" s="1" t="s">
        <v>248</v>
      </c>
      <c r="BC297" s="1" t="s">
        <v>79</v>
      </c>
      <c r="BD297" s="1" t="s">
        <v>802</v>
      </c>
      <c r="BE297" s="1" t="s">
        <v>79</v>
      </c>
      <c r="BF297" s="5" t="s">
        <v>1203</v>
      </c>
    </row>
    <row r="298" spans="1:58" x14ac:dyDescent="0.35">
      <c r="A298" s="4">
        <v>297</v>
      </c>
      <c r="B298" s="1" t="s">
        <v>1854</v>
      </c>
      <c r="C298" s="1" t="s">
        <v>1468</v>
      </c>
      <c r="D298" s="1" t="s">
        <v>1856</v>
      </c>
      <c r="E298" s="1" t="s">
        <v>69</v>
      </c>
      <c r="F298" s="1" t="s">
        <v>69</v>
      </c>
      <c r="G298" s="1" t="s">
        <v>69</v>
      </c>
      <c r="H298" s="1" t="s">
        <v>69</v>
      </c>
      <c r="I298" s="1" t="s">
        <v>106</v>
      </c>
      <c r="J298" s="1" t="s">
        <v>107</v>
      </c>
      <c r="K298" s="1">
        <v>25</v>
      </c>
      <c r="L298" s="1" t="s">
        <v>72</v>
      </c>
      <c r="M298" s="1" t="s">
        <v>73</v>
      </c>
      <c r="N298" s="1" t="s">
        <v>74</v>
      </c>
      <c r="O298" s="1">
        <v>4</v>
      </c>
      <c r="P298" s="1">
        <v>4</v>
      </c>
      <c r="Q298" s="1">
        <f>data[[#This Row],[Nilai Kepentingan Dimensi Persyaratan]]-data[[#This Row],[Nilai Kepuasan Dimensi Persyaratan]]</f>
        <v>0</v>
      </c>
      <c r="R298" s="1">
        <v>4</v>
      </c>
      <c r="S298" s="1">
        <v>3</v>
      </c>
      <c r="T298" s="1">
        <f>data[[#This Row],[Nilai Kepentingan Dimensi Prosedur]]-data[[#This Row],[Nilai Kepuasan Dimensi Prosedur]]</f>
        <v>-1</v>
      </c>
      <c r="U298" s="1">
        <v>4</v>
      </c>
      <c r="V298" s="1">
        <v>4</v>
      </c>
      <c r="W298" s="1">
        <f>data[[#This Row],[Nilai Kepentingan Dimensi Waktu Pelayanan/Penyelesaian]]-data[[#This Row],[Nilai Kepuasan Dimensi Waktu Pelayanan/Penyelesaian]]</f>
        <v>0</v>
      </c>
      <c r="X298" s="1">
        <v>0</v>
      </c>
      <c r="Y298" s="1">
        <v>0</v>
      </c>
      <c r="Z298" s="1">
        <f>data[[#This Row],[Nilai Kepentingan Dimensi Tarif/ Biaya]]-data[[#This Row],[Nilai Kepuasan Dimensi Tarif / Biaya]]</f>
        <v>0</v>
      </c>
      <c r="AA298" s="1">
        <v>4</v>
      </c>
      <c r="AB298" s="1">
        <v>4</v>
      </c>
      <c r="AC298" s="1">
        <f>data[[#This Row],[Nilai Kepentingan Dimensi Produk Spesifikasi Jenis Layanan]]-data[[#This Row],[Nilai Kepuasan Dimensi Produk Spesifikasi Jenis Layanan]]</f>
        <v>0</v>
      </c>
      <c r="AD298" s="1">
        <v>4</v>
      </c>
      <c r="AE298" s="1">
        <v>4</v>
      </c>
      <c r="AF298" s="1">
        <f>data[[#This Row],[Nilai Kepentingan Dimensi Kompetensi Pelaksana]]-data[[#This Row],[Nilai Kepuasan Dimensi Kompetensi Pelaksana]]</f>
        <v>0</v>
      </c>
      <c r="AG298" s="1">
        <v>4</v>
      </c>
      <c r="AH298" s="1">
        <v>4</v>
      </c>
      <c r="AI298" s="1">
        <f>data[[#This Row],[Nilai Kepentingan Dimensi Perilaku Pelaksana]]-data[[#This Row],[Nilai Kepuasan Dimensi Perilaku Pelaksana]]</f>
        <v>0</v>
      </c>
      <c r="AJ298" s="1">
        <v>4</v>
      </c>
      <c r="AK298" s="1">
        <v>4</v>
      </c>
      <c r="AL298" s="1">
        <f>data[[#This Row],[Nilai Kepentingan Dimensi Penanganan Pengaduan, Saran &amp; Masukan]]-data[[#This Row],[Nilai Kepuasan Dimensi Penanganan Pengaduan, Saran &amp; Masukan]]</f>
        <v>0</v>
      </c>
      <c r="AM298" s="1">
        <v>4</v>
      </c>
      <c r="AN298" s="1">
        <v>4</v>
      </c>
      <c r="AO298" s="1">
        <f>data[[#This Row],[Nilai Kepentingan Dimensi Kualitas Sarana dan Prasarana]]-data[[#This Row],[Nilai Kepuasan Dimensi Kualitas Sarana dan Prasarana]]</f>
        <v>0</v>
      </c>
      <c r="AP298" s="1">
        <v>4</v>
      </c>
      <c r="AQ298" s="1" t="s">
        <v>75</v>
      </c>
      <c r="AR298" s="1">
        <v>0</v>
      </c>
      <c r="AS298" s="1" t="s">
        <v>69</v>
      </c>
      <c r="AT298" s="1">
        <v>0</v>
      </c>
      <c r="AU298" s="1" t="s">
        <v>69</v>
      </c>
      <c r="AV298" s="1" t="s">
        <v>83</v>
      </c>
      <c r="AW298" s="1" t="s">
        <v>96</v>
      </c>
      <c r="AX298" s="1">
        <v>0</v>
      </c>
      <c r="AY298" s="1">
        <v>0</v>
      </c>
      <c r="AZ298" s="1" t="s">
        <v>248</v>
      </c>
      <c r="BA298" s="1" t="s">
        <v>79</v>
      </c>
      <c r="BB298" s="1" t="s">
        <v>802</v>
      </c>
      <c r="BC298" s="1" t="s">
        <v>79</v>
      </c>
      <c r="BD298" s="1" t="s">
        <v>248</v>
      </c>
      <c r="BE298" s="1" t="s">
        <v>79</v>
      </c>
      <c r="BF298" s="5" t="s">
        <v>1857</v>
      </c>
    </row>
    <row r="299" spans="1:58" x14ac:dyDescent="0.35">
      <c r="A299" s="4">
        <v>298</v>
      </c>
      <c r="B299" s="1" t="s">
        <v>1858</v>
      </c>
      <c r="C299" s="1" t="s">
        <v>63</v>
      </c>
      <c r="D299" s="1" t="s">
        <v>757</v>
      </c>
      <c r="E299" s="1" t="s">
        <v>69</v>
      </c>
      <c r="F299" s="1" t="s">
        <v>69</v>
      </c>
      <c r="G299" s="1" t="s">
        <v>69</v>
      </c>
      <c r="H299" s="1" t="s">
        <v>69</v>
      </c>
      <c r="I299" s="1" t="s">
        <v>106</v>
      </c>
      <c r="J299" s="1" t="s">
        <v>1180</v>
      </c>
      <c r="K299" s="1">
        <v>35</v>
      </c>
      <c r="L299" s="1" t="s">
        <v>109</v>
      </c>
      <c r="M299" s="1" t="s">
        <v>73</v>
      </c>
      <c r="N299" s="1" t="s">
        <v>110</v>
      </c>
      <c r="O299" s="1">
        <v>3</v>
      </c>
      <c r="P299" s="1">
        <v>3</v>
      </c>
      <c r="Q299" s="1">
        <f>data[[#This Row],[Nilai Kepentingan Dimensi Persyaratan]]-data[[#This Row],[Nilai Kepuasan Dimensi Persyaratan]]</f>
        <v>0</v>
      </c>
      <c r="R299" s="1">
        <v>3</v>
      </c>
      <c r="S299" s="1">
        <v>3</v>
      </c>
      <c r="T299" s="1">
        <f>data[[#This Row],[Nilai Kepentingan Dimensi Prosedur]]-data[[#This Row],[Nilai Kepuasan Dimensi Prosedur]]</f>
        <v>0</v>
      </c>
      <c r="U299" s="1">
        <v>3</v>
      </c>
      <c r="V299" s="1">
        <v>4</v>
      </c>
      <c r="W299" s="1">
        <f>data[[#This Row],[Nilai Kepentingan Dimensi Waktu Pelayanan/Penyelesaian]]-data[[#This Row],[Nilai Kepuasan Dimensi Waktu Pelayanan/Penyelesaian]]</f>
        <v>1</v>
      </c>
      <c r="X299" s="1">
        <v>2</v>
      </c>
      <c r="Y299" s="1">
        <v>3</v>
      </c>
      <c r="Z299" s="1">
        <f>data[[#This Row],[Nilai Kepentingan Dimensi Tarif/ Biaya]]-data[[#This Row],[Nilai Kepuasan Dimensi Tarif / Biaya]]</f>
        <v>1</v>
      </c>
      <c r="AA299" s="1">
        <v>3</v>
      </c>
      <c r="AB299" s="1">
        <v>3</v>
      </c>
      <c r="AC299" s="1">
        <f>data[[#This Row],[Nilai Kepentingan Dimensi Produk Spesifikasi Jenis Layanan]]-data[[#This Row],[Nilai Kepuasan Dimensi Produk Spesifikasi Jenis Layanan]]</f>
        <v>0</v>
      </c>
      <c r="AD299" s="1">
        <v>3</v>
      </c>
      <c r="AE299" s="1">
        <v>3</v>
      </c>
      <c r="AF299" s="1">
        <f>data[[#This Row],[Nilai Kepentingan Dimensi Kompetensi Pelaksana]]-data[[#This Row],[Nilai Kepuasan Dimensi Kompetensi Pelaksana]]</f>
        <v>0</v>
      </c>
      <c r="AG299" s="1">
        <v>3</v>
      </c>
      <c r="AH299" s="1">
        <v>4</v>
      </c>
      <c r="AI299" s="1">
        <f>data[[#This Row],[Nilai Kepentingan Dimensi Perilaku Pelaksana]]-data[[#This Row],[Nilai Kepuasan Dimensi Perilaku Pelaksana]]</f>
        <v>1</v>
      </c>
      <c r="AJ299" s="1">
        <v>3</v>
      </c>
      <c r="AK299" s="1">
        <v>3</v>
      </c>
      <c r="AL299" s="1">
        <f>data[[#This Row],[Nilai Kepentingan Dimensi Penanganan Pengaduan, Saran &amp; Masukan]]-data[[#This Row],[Nilai Kepuasan Dimensi Penanganan Pengaduan, Saran &amp; Masukan]]</f>
        <v>0</v>
      </c>
      <c r="AM299" s="1">
        <v>3</v>
      </c>
      <c r="AN299" s="1">
        <v>3</v>
      </c>
      <c r="AO299" s="1">
        <f>data[[#This Row],[Nilai Kepentingan Dimensi Kualitas Sarana dan Prasarana]]-data[[#This Row],[Nilai Kepuasan Dimensi Kualitas Sarana dan Prasarana]]</f>
        <v>0</v>
      </c>
      <c r="AP299" s="1">
        <v>0</v>
      </c>
      <c r="AQ299" s="1" t="s">
        <v>69</v>
      </c>
      <c r="AR299" s="1">
        <v>0</v>
      </c>
      <c r="AS299" s="1" t="s">
        <v>69</v>
      </c>
      <c r="AT299" s="1">
        <v>3</v>
      </c>
      <c r="AU299" s="1" t="s">
        <v>69</v>
      </c>
      <c r="AV299" s="1" t="s">
        <v>83</v>
      </c>
      <c r="AW299" s="1" t="s">
        <v>96</v>
      </c>
      <c r="AX299" s="1">
        <v>0</v>
      </c>
      <c r="AY299" s="1">
        <v>0</v>
      </c>
      <c r="AZ299" s="1" t="s">
        <v>1863</v>
      </c>
      <c r="BA299" s="1" t="s">
        <v>79</v>
      </c>
      <c r="BB299" s="1" t="s">
        <v>1864</v>
      </c>
      <c r="BC299" s="1" t="s">
        <v>157</v>
      </c>
      <c r="BD299" s="1" t="s">
        <v>1863</v>
      </c>
      <c r="BE299" s="1" t="s">
        <v>79</v>
      </c>
      <c r="BF299" s="5" t="s">
        <v>1865</v>
      </c>
    </row>
    <row r="300" spans="1:58" x14ac:dyDescent="0.35">
      <c r="A300" s="4">
        <v>299</v>
      </c>
      <c r="B300" s="1" t="s">
        <v>1866</v>
      </c>
      <c r="C300" s="1" t="s">
        <v>63</v>
      </c>
      <c r="D300" s="1" t="s">
        <v>63</v>
      </c>
      <c r="E300" s="1" t="s">
        <v>69</v>
      </c>
      <c r="F300" s="1" t="s">
        <v>69</v>
      </c>
      <c r="G300" s="1" t="s">
        <v>69</v>
      </c>
      <c r="H300" s="1" t="s">
        <v>69</v>
      </c>
      <c r="I300" s="1" t="s">
        <v>106</v>
      </c>
      <c r="J300" s="1" t="s">
        <v>1180</v>
      </c>
      <c r="K300" s="1">
        <v>48</v>
      </c>
      <c r="L300" s="1" t="s">
        <v>225</v>
      </c>
      <c r="M300" s="1" t="s">
        <v>254</v>
      </c>
      <c r="N300" s="1" t="s">
        <v>74</v>
      </c>
      <c r="O300" s="1">
        <v>4</v>
      </c>
      <c r="P300" s="1">
        <v>4</v>
      </c>
      <c r="Q300" s="1">
        <f>data[[#This Row],[Nilai Kepentingan Dimensi Persyaratan]]-data[[#This Row],[Nilai Kepuasan Dimensi Persyaratan]]</f>
        <v>0</v>
      </c>
      <c r="R300" s="1">
        <v>4</v>
      </c>
      <c r="S300" s="1">
        <v>4</v>
      </c>
      <c r="T300" s="1">
        <f>data[[#This Row],[Nilai Kepentingan Dimensi Prosedur]]-data[[#This Row],[Nilai Kepuasan Dimensi Prosedur]]</f>
        <v>0</v>
      </c>
      <c r="U300" s="1">
        <v>4</v>
      </c>
      <c r="V300" s="1">
        <v>4</v>
      </c>
      <c r="W300" s="1">
        <f>data[[#This Row],[Nilai Kepentingan Dimensi Waktu Pelayanan/Penyelesaian]]-data[[#This Row],[Nilai Kepuasan Dimensi Waktu Pelayanan/Penyelesaian]]</f>
        <v>0</v>
      </c>
      <c r="X300" s="1">
        <v>4</v>
      </c>
      <c r="Y300" s="1">
        <v>4</v>
      </c>
      <c r="Z300" s="1">
        <f>data[[#This Row],[Nilai Kepentingan Dimensi Tarif/ Biaya]]-data[[#This Row],[Nilai Kepuasan Dimensi Tarif / Biaya]]</f>
        <v>0</v>
      </c>
      <c r="AA300" s="1">
        <v>4</v>
      </c>
      <c r="AB300" s="1">
        <v>4</v>
      </c>
      <c r="AC300" s="1">
        <f>data[[#This Row],[Nilai Kepentingan Dimensi Produk Spesifikasi Jenis Layanan]]-data[[#This Row],[Nilai Kepuasan Dimensi Produk Spesifikasi Jenis Layanan]]</f>
        <v>0</v>
      </c>
      <c r="AD300" s="1">
        <v>3</v>
      </c>
      <c r="AE300" s="1">
        <v>4</v>
      </c>
      <c r="AF300" s="1">
        <f>data[[#This Row],[Nilai Kepentingan Dimensi Kompetensi Pelaksana]]-data[[#This Row],[Nilai Kepuasan Dimensi Kompetensi Pelaksana]]</f>
        <v>1</v>
      </c>
      <c r="AG300" s="1">
        <v>4</v>
      </c>
      <c r="AH300" s="1">
        <v>4</v>
      </c>
      <c r="AI300" s="1">
        <f>data[[#This Row],[Nilai Kepentingan Dimensi Perilaku Pelaksana]]-data[[#This Row],[Nilai Kepuasan Dimensi Perilaku Pelaksana]]</f>
        <v>0</v>
      </c>
      <c r="AJ300" s="1">
        <v>4</v>
      </c>
      <c r="AK300" s="1">
        <v>4</v>
      </c>
      <c r="AL300" s="1">
        <f>data[[#This Row],[Nilai Kepentingan Dimensi Penanganan Pengaduan, Saran &amp; Masukan]]-data[[#This Row],[Nilai Kepuasan Dimensi Penanganan Pengaduan, Saran &amp; Masukan]]</f>
        <v>0</v>
      </c>
      <c r="AM300" s="1">
        <v>4</v>
      </c>
      <c r="AN300" s="1">
        <v>4</v>
      </c>
      <c r="AO300" s="1">
        <f>data[[#This Row],[Nilai Kepentingan Dimensi Kualitas Sarana dan Prasarana]]-data[[#This Row],[Nilai Kepuasan Dimensi Kualitas Sarana dan Prasarana]]</f>
        <v>0</v>
      </c>
      <c r="AP300" s="1">
        <v>4</v>
      </c>
      <c r="AQ300" s="1" t="s">
        <v>69</v>
      </c>
      <c r="AR300" s="1">
        <v>0</v>
      </c>
      <c r="AS300" s="1" t="s">
        <v>69</v>
      </c>
      <c r="AT300" s="1">
        <v>0</v>
      </c>
      <c r="AU300" s="1" t="s">
        <v>69</v>
      </c>
      <c r="AV300" s="1" t="s">
        <v>83</v>
      </c>
      <c r="AW300" s="1" t="s">
        <v>96</v>
      </c>
      <c r="AX300" s="1">
        <v>0</v>
      </c>
      <c r="AY300" s="1">
        <v>0</v>
      </c>
      <c r="AZ300" s="1" t="s">
        <v>1863</v>
      </c>
      <c r="BA300" s="1" t="s">
        <v>79</v>
      </c>
      <c r="BB300" s="1" t="s">
        <v>1863</v>
      </c>
      <c r="BC300" s="1" t="s">
        <v>79</v>
      </c>
      <c r="BD300" s="1" t="s">
        <v>1863</v>
      </c>
      <c r="BE300" s="1" t="s">
        <v>79</v>
      </c>
      <c r="BF300" s="5" t="s">
        <v>1203</v>
      </c>
    </row>
    <row r="301" spans="1:58" x14ac:dyDescent="0.35">
      <c r="A301" s="4">
        <v>300</v>
      </c>
      <c r="B301" s="1" t="s">
        <v>1870</v>
      </c>
      <c r="C301" s="1" t="s">
        <v>63</v>
      </c>
      <c r="D301" s="1" t="s">
        <v>86</v>
      </c>
      <c r="E301" s="1" t="s">
        <v>69</v>
      </c>
      <c r="F301" s="1" t="s">
        <v>69</v>
      </c>
      <c r="G301" s="1" t="s">
        <v>69</v>
      </c>
      <c r="H301" s="1" t="s">
        <v>69</v>
      </c>
      <c r="I301" s="1" t="s">
        <v>106</v>
      </c>
      <c r="J301" s="1" t="s">
        <v>1168</v>
      </c>
      <c r="K301" s="1">
        <v>56</v>
      </c>
      <c r="L301" s="1" t="s">
        <v>182</v>
      </c>
      <c r="M301" s="1" t="s">
        <v>273</v>
      </c>
      <c r="N301" s="1" t="s">
        <v>74</v>
      </c>
      <c r="O301" s="1">
        <v>4</v>
      </c>
      <c r="P301" s="1">
        <v>3</v>
      </c>
      <c r="Q301" s="1">
        <f>data[[#This Row],[Nilai Kepentingan Dimensi Persyaratan]]-data[[#This Row],[Nilai Kepuasan Dimensi Persyaratan]]</f>
        <v>-1</v>
      </c>
      <c r="R301" s="1">
        <v>3</v>
      </c>
      <c r="S301" s="1">
        <v>3</v>
      </c>
      <c r="T301" s="1">
        <f>data[[#This Row],[Nilai Kepentingan Dimensi Prosedur]]-data[[#This Row],[Nilai Kepuasan Dimensi Prosedur]]</f>
        <v>0</v>
      </c>
      <c r="U301" s="1">
        <v>3</v>
      </c>
      <c r="V301" s="1">
        <v>3</v>
      </c>
      <c r="W301" s="1">
        <f>data[[#This Row],[Nilai Kepentingan Dimensi Waktu Pelayanan/Penyelesaian]]-data[[#This Row],[Nilai Kepuasan Dimensi Waktu Pelayanan/Penyelesaian]]</f>
        <v>0</v>
      </c>
      <c r="X301" s="1">
        <v>0</v>
      </c>
      <c r="Y301" s="1">
        <v>0</v>
      </c>
      <c r="Z301" s="1">
        <f>data[[#This Row],[Nilai Kepentingan Dimensi Tarif/ Biaya]]-data[[#This Row],[Nilai Kepuasan Dimensi Tarif / Biaya]]</f>
        <v>0</v>
      </c>
      <c r="AA301" s="1">
        <v>3</v>
      </c>
      <c r="AB301" s="1">
        <v>4</v>
      </c>
      <c r="AC301" s="1">
        <f>data[[#This Row],[Nilai Kepentingan Dimensi Produk Spesifikasi Jenis Layanan]]-data[[#This Row],[Nilai Kepuasan Dimensi Produk Spesifikasi Jenis Layanan]]</f>
        <v>1</v>
      </c>
      <c r="AD301" s="1">
        <v>3</v>
      </c>
      <c r="AE301" s="1">
        <v>4</v>
      </c>
      <c r="AF301" s="1">
        <f>data[[#This Row],[Nilai Kepentingan Dimensi Kompetensi Pelaksana]]-data[[#This Row],[Nilai Kepuasan Dimensi Kompetensi Pelaksana]]</f>
        <v>1</v>
      </c>
      <c r="AG301" s="1">
        <v>4</v>
      </c>
      <c r="AH301" s="1">
        <v>4</v>
      </c>
      <c r="AI301" s="1">
        <f>data[[#This Row],[Nilai Kepentingan Dimensi Perilaku Pelaksana]]-data[[#This Row],[Nilai Kepuasan Dimensi Perilaku Pelaksana]]</f>
        <v>0</v>
      </c>
      <c r="AJ301" s="1">
        <v>4</v>
      </c>
      <c r="AK301" s="1">
        <v>4</v>
      </c>
      <c r="AL301" s="1">
        <f>data[[#This Row],[Nilai Kepentingan Dimensi Penanganan Pengaduan, Saran &amp; Masukan]]-data[[#This Row],[Nilai Kepuasan Dimensi Penanganan Pengaduan, Saran &amp; Masukan]]</f>
        <v>0</v>
      </c>
      <c r="AM301" s="1">
        <v>3</v>
      </c>
      <c r="AN301" s="1">
        <v>4</v>
      </c>
      <c r="AO301" s="1">
        <f>data[[#This Row],[Nilai Kepentingan Dimensi Kualitas Sarana dan Prasarana]]-data[[#This Row],[Nilai Kepuasan Dimensi Kualitas Sarana dan Prasarana]]</f>
        <v>1</v>
      </c>
      <c r="AP301" s="1">
        <v>0</v>
      </c>
      <c r="AQ301" s="1" t="s">
        <v>69</v>
      </c>
      <c r="AR301" s="1">
        <v>0</v>
      </c>
      <c r="AS301" s="1" t="s">
        <v>75</v>
      </c>
      <c r="AT301" s="1">
        <v>4</v>
      </c>
      <c r="AU301" s="1" t="s">
        <v>69</v>
      </c>
      <c r="AV301" s="1" t="s">
        <v>83</v>
      </c>
      <c r="AW301" s="1" t="s">
        <v>96</v>
      </c>
      <c r="AX301" s="1">
        <v>0</v>
      </c>
      <c r="AY301" s="1">
        <v>0</v>
      </c>
      <c r="AZ301" s="1" t="s">
        <v>248</v>
      </c>
      <c r="BA301" s="1" t="s">
        <v>79</v>
      </c>
      <c r="BB301" s="1" t="s">
        <v>802</v>
      </c>
      <c r="BC301" s="1" t="s">
        <v>79</v>
      </c>
      <c r="BD301" s="1" t="s">
        <v>1874</v>
      </c>
      <c r="BE301" s="1" t="s">
        <v>1875</v>
      </c>
      <c r="BF301" s="5" t="s">
        <v>1857</v>
      </c>
    </row>
    <row r="302" spans="1:58" x14ac:dyDescent="0.35">
      <c r="A302" s="4">
        <v>301</v>
      </c>
      <c r="B302" s="1" t="s">
        <v>1876</v>
      </c>
      <c r="C302" s="1" t="s">
        <v>63</v>
      </c>
      <c r="D302" s="1" t="s">
        <v>397</v>
      </c>
      <c r="E302" s="1" t="s">
        <v>69</v>
      </c>
      <c r="F302" s="1" t="s">
        <v>69</v>
      </c>
      <c r="G302" s="1" t="s">
        <v>69</v>
      </c>
      <c r="H302" s="1" t="s">
        <v>69</v>
      </c>
      <c r="I302" s="1" t="s">
        <v>70</v>
      </c>
      <c r="J302" s="1" t="s">
        <v>1168</v>
      </c>
      <c r="K302" s="1">
        <v>36</v>
      </c>
      <c r="L302" s="1" t="s">
        <v>153</v>
      </c>
      <c r="M302" s="1" t="s">
        <v>73</v>
      </c>
      <c r="N302" s="1" t="s">
        <v>232</v>
      </c>
      <c r="O302" s="1">
        <v>3</v>
      </c>
      <c r="P302" s="1">
        <v>3</v>
      </c>
      <c r="Q302" s="1">
        <f>data[[#This Row],[Nilai Kepentingan Dimensi Persyaratan]]-data[[#This Row],[Nilai Kepuasan Dimensi Persyaratan]]</f>
        <v>0</v>
      </c>
      <c r="R302" s="1">
        <v>3</v>
      </c>
      <c r="S302" s="1">
        <v>3</v>
      </c>
      <c r="T302" s="1">
        <f>data[[#This Row],[Nilai Kepentingan Dimensi Prosedur]]-data[[#This Row],[Nilai Kepuasan Dimensi Prosedur]]</f>
        <v>0</v>
      </c>
      <c r="U302" s="1">
        <v>3</v>
      </c>
      <c r="V302" s="1">
        <v>4</v>
      </c>
      <c r="W302" s="1">
        <f>data[[#This Row],[Nilai Kepentingan Dimensi Waktu Pelayanan/Penyelesaian]]-data[[#This Row],[Nilai Kepuasan Dimensi Waktu Pelayanan/Penyelesaian]]</f>
        <v>1</v>
      </c>
      <c r="X302" s="1">
        <v>0</v>
      </c>
      <c r="Y302" s="1">
        <v>0</v>
      </c>
      <c r="Z302" s="1">
        <f>data[[#This Row],[Nilai Kepentingan Dimensi Tarif/ Biaya]]-data[[#This Row],[Nilai Kepuasan Dimensi Tarif / Biaya]]</f>
        <v>0</v>
      </c>
      <c r="AA302" s="1">
        <v>3</v>
      </c>
      <c r="AB302" s="1">
        <v>3</v>
      </c>
      <c r="AC302" s="1">
        <f>data[[#This Row],[Nilai Kepentingan Dimensi Produk Spesifikasi Jenis Layanan]]-data[[#This Row],[Nilai Kepuasan Dimensi Produk Spesifikasi Jenis Layanan]]</f>
        <v>0</v>
      </c>
      <c r="AD302" s="1">
        <v>3</v>
      </c>
      <c r="AE302" s="1">
        <v>4</v>
      </c>
      <c r="AF302" s="1">
        <f>data[[#This Row],[Nilai Kepentingan Dimensi Kompetensi Pelaksana]]-data[[#This Row],[Nilai Kepuasan Dimensi Kompetensi Pelaksana]]</f>
        <v>1</v>
      </c>
      <c r="AG302" s="1">
        <v>4</v>
      </c>
      <c r="AH302" s="1">
        <v>4</v>
      </c>
      <c r="AI302" s="1">
        <f>data[[#This Row],[Nilai Kepentingan Dimensi Perilaku Pelaksana]]-data[[#This Row],[Nilai Kepuasan Dimensi Perilaku Pelaksana]]</f>
        <v>0</v>
      </c>
      <c r="AJ302" s="1">
        <v>3</v>
      </c>
      <c r="AK302" s="1">
        <v>4</v>
      </c>
      <c r="AL302" s="1">
        <f>data[[#This Row],[Nilai Kepentingan Dimensi Penanganan Pengaduan, Saran &amp; Masukan]]-data[[#This Row],[Nilai Kepuasan Dimensi Penanganan Pengaduan, Saran &amp; Masukan]]</f>
        <v>1</v>
      </c>
      <c r="AM302" s="1">
        <v>4</v>
      </c>
      <c r="AN302" s="1">
        <v>4</v>
      </c>
      <c r="AO302" s="1">
        <f>data[[#This Row],[Nilai Kepentingan Dimensi Kualitas Sarana dan Prasarana]]-data[[#This Row],[Nilai Kepuasan Dimensi Kualitas Sarana dan Prasarana]]</f>
        <v>0</v>
      </c>
      <c r="AP302" s="1">
        <v>0</v>
      </c>
      <c r="AQ302" s="1" t="s">
        <v>69</v>
      </c>
      <c r="AR302" s="1">
        <v>0</v>
      </c>
      <c r="AS302" s="1" t="s">
        <v>69</v>
      </c>
      <c r="AT302" s="1">
        <v>3</v>
      </c>
      <c r="AU302" s="1" t="s">
        <v>69</v>
      </c>
      <c r="AV302" s="1" t="s">
        <v>83</v>
      </c>
      <c r="AW302" s="1" t="s">
        <v>96</v>
      </c>
      <c r="AX302" s="1">
        <v>0</v>
      </c>
      <c r="AY302" s="1">
        <v>0</v>
      </c>
      <c r="AZ302" s="1" t="s">
        <v>248</v>
      </c>
      <c r="BA302" s="1" t="s">
        <v>79</v>
      </c>
      <c r="BB302" s="1" t="s">
        <v>1880</v>
      </c>
      <c r="BC302" s="1" t="s">
        <v>157</v>
      </c>
      <c r="BD302" s="1" t="s">
        <v>248</v>
      </c>
      <c r="BE302" s="1" t="s">
        <v>79</v>
      </c>
      <c r="BF302" s="5" t="s">
        <v>1857</v>
      </c>
    </row>
    <row r="303" spans="1:58" x14ac:dyDescent="0.35">
      <c r="A303" s="4">
        <v>302</v>
      </c>
      <c r="B303" s="1" t="s">
        <v>1881</v>
      </c>
      <c r="C303" s="1" t="s">
        <v>1883</v>
      </c>
      <c r="D303" s="1" t="s">
        <v>416</v>
      </c>
      <c r="E303" s="1" t="s">
        <v>69</v>
      </c>
      <c r="F303" s="1" t="s">
        <v>69</v>
      </c>
      <c r="G303" s="1" t="s">
        <v>69</v>
      </c>
      <c r="H303" s="1" t="s">
        <v>69</v>
      </c>
      <c r="I303" s="1" t="s">
        <v>106</v>
      </c>
      <c r="J303" s="1" t="s">
        <v>1180</v>
      </c>
      <c r="K303" s="1">
        <v>55</v>
      </c>
      <c r="L303" s="1" t="s">
        <v>383</v>
      </c>
      <c r="M303" s="1" t="s">
        <v>73</v>
      </c>
      <c r="N303" s="1" t="s">
        <v>74</v>
      </c>
      <c r="O303" s="1">
        <v>3</v>
      </c>
      <c r="P303" s="1">
        <v>4</v>
      </c>
      <c r="Q303" s="1">
        <f>data[[#This Row],[Nilai Kepentingan Dimensi Persyaratan]]-data[[#This Row],[Nilai Kepuasan Dimensi Persyaratan]]</f>
        <v>1</v>
      </c>
      <c r="R303" s="1">
        <v>3</v>
      </c>
      <c r="S303" s="1">
        <v>4</v>
      </c>
      <c r="T303" s="1">
        <f>data[[#This Row],[Nilai Kepentingan Dimensi Prosedur]]-data[[#This Row],[Nilai Kepuasan Dimensi Prosedur]]</f>
        <v>1</v>
      </c>
      <c r="U303" s="1">
        <v>3</v>
      </c>
      <c r="V303" s="1">
        <v>4</v>
      </c>
      <c r="W303" s="1">
        <f>data[[#This Row],[Nilai Kepentingan Dimensi Waktu Pelayanan/Penyelesaian]]-data[[#This Row],[Nilai Kepuasan Dimensi Waktu Pelayanan/Penyelesaian]]</f>
        <v>1</v>
      </c>
      <c r="X303" s="1">
        <v>0</v>
      </c>
      <c r="Y303" s="1">
        <v>0</v>
      </c>
      <c r="Z303" s="1">
        <f>data[[#This Row],[Nilai Kepentingan Dimensi Tarif/ Biaya]]-data[[#This Row],[Nilai Kepuasan Dimensi Tarif / Biaya]]</f>
        <v>0</v>
      </c>
      <c r="AA303" s="1">
        <v>4</v>
      </c>
      <c r="AB303" s="1">
        <v>3</v>
      </c>
      <c r="AC303" s="1">
        <f>data[[#This Row],[Nilai Kepentingan Dimensi Produk Spesifikasi Jenis Layanan]]-data[[#This Row],[Nilai Kepuasan Dimensi Produk Spesifikasi Jenis Layanan]]</f>
        <v>-1</v>
      </c>
      <c r="AD303" s="1">
        <v>3</v>
      </c>
      <c r="AE303" s="1">
        <v>3</v>
      </c>
      <c r="AF303" s="1">
        <f>data[[#This Row],[Nilai Kepentingan Dimensi Kompetensi Pelaksana]]-data[[#This Row],[Nilai Kepuasan Dimensi Kompetensi Pelaksana]]</f>
        <v>0</v>
      </c>
      <c r="AG303" s="1">
        <v>3</v>
      </c>
      <c r="AH303" s="1">
        <v>4</v>
      </c>
      <c r="AI303" s="1">
        <f>data[[#This Row],[Nilai Kepentingan Dimensi Perilaku Pelaksana]]-data[[#This Row],[Nilai Kepuasan Dimensi Perilaku Pelaksana]]</f>
        <v>1</v>
      </c>
      <c r="AJ303" s="1">
        <v>3</v>
      </c>
      <c r="AK303" s="1">
        <v>4</v>
      </c>
      <c r="AL303" s="1">
        <f>data[[#This Row],[Nilai Kepentingan Dimensi Penanganan Pengaduan, Saran &amp; Masukan]]-data[[#This Row],[Nilai Kepuasan Dimensi Penanganan Pengaduan, Saran &amp; Masukan]]</f>
        <v>1</v>
      </c>
      <c r="AM303" s="1">
        <v>3</v>
      </c>
      <c r="AN303" s="1">
        <v>3</v>
      </c>
      <c r="AO303" s="1">
        <f>data[[#This Row],[Nilai Kepentingan Dimensi Kualitas Sarana dan Prasarana]]-data[[#This Row],[Nilai Kepuasan Dimensi Kualitas Sarana dan Prasarana]]</f>
        <v>0</v>
      </c>
      <c r="AP303" s="1">
        <v>0</v>
      </c>
      <c r="AQ303" s="1" t="s">
        <v>75</v>
      </c>
      <c r="AR303" s="1">
        <v>0</v>
      </c>
      <c r="AS303" s="1" t="s">
        <v>69</v>
      </c>
      <c r="AT303" s="1">
        <v>0</v>
      </c>
      <c r="AU303" s="1" t="s">
        <v>69</v>
      </c>
      <c r="AV303" s="1" t="s">
        <v>144</v>
      </c>
      <c r="AW303" s="1" t="s">
        <v>144</v>
      </c>
      <c r="AX303" s="1">
        <v>2</v>
      </c>
      <c r="AY303" s="1">
        <v>3</v>
      </c>
      <c r="AZ303" s="1" t="s">
        <v>248</v>
      </c>
      <c r="BA303" s="1" t="s">
        <v>79</v>
      </c>
      <c r="BB303" s="1" t="s">
        <v>1886</v>
      </c>
      <c r="BC303" s="1" t="s">
        <v>157</v>
      </c>
      <c r="BD303" s="1" t="s">
        <v>248</v>
      </c>
      <c r="BE303" s="1" t="s">
        <v>79</v>
      </c>
      <c r="BF303" s="5" t="s">
        <v>1857</v>
      </c>
    </row>
    <row r="304" spans="1:58" x14ac:dyDescent="0.35">
      <c r="A304" s="4">
        <v>303</v>
      </c>
      <c r="B304" s="1" t="s">
        <v>1887</v>
      </c>
      <c r="C304" s="1" t="s">
        <v>63</v>
      </c>
      <c r="D304" s="1" t="s">
        <v>338</v>
      </c>
      <c r="E304" s="1" t="s">
        <v>69</v>
      </c>
      <c r="F304" s="1" t="s">
        <v>69</v>
      </c>
      <c r="G304" s="1" t="s">
        <v>69</v>
      </c>
      <c r="H304" s="1" t="s">
        <v>69</v>
      </c>
      <c r="I304" s="1" t="s">
        <v>70</v>
      </c>
      <c r="J304" s="1" t="s">
        <v>1168</v>
      </c>
      <c r="K304" s="1">
        <v>43</v>
      </c>
      <c r="L304" s="1" t="s">
        <v>197</v>
      </c>
      <c r="M304" s="1" t="s">
        <v>73</v>
      </c>
      <c r="N304" s="1" t="s">
        <v>110</v>
      </c>
      <c r="O304" s="1">
        <v>3</v>
      </c>
      <c r="P304" s="1">
        <v>4</v>
      </c>
      <c r="Q304" s="1">
        <f>data[[#This Row],[Nilai Kepentingan Dimensi Persyaratan]]-data[[#This Row],[Nilai Kepuasan Dimensi Persyaratan]]</f>
        <v>1</v>
      </c>
      <c r="R304" s="1">
        <v>3</v>
      </c>
      <c r="S304" s="1">
        <v>3</v>
      </c>
      <c r="T304" s="1">
        <f>data[[#This Row],[Nilai Kepentingan Dimensi Prosedur]]-data[[#This Row],[Nilai Kepuasan Dimensi Prosedur]]</f>
        <v>0</v>
      </c>
      <c r="U304" s="1">
        <v>3</v>
      </c>
      <c r="V304" s="1">
        <v>4</v>
      </c>
      <c r="W304" s="1">
        <f>data[[#This Row],[Nilai Kepentingan Dimensi Waktu Pelayanan/Penyelesaian]]-data[[#This Row],[Nilai Kepuasan Dimensi Waktu Pelayanan/Penyelesaian]]</f>
        <v>1</v>
      </c>
      <c r="X304" s="1">
        <v>0</v>
      </c>
      <c r="Y304" s="1">
        <v>0</v>
      </c>
      <c r="Z304" s="1">
        <f>data[[#This Row],[Nilai Kepentingan Dimensi Tarif/ Biaya]]-data[[#This Row],[Nilai Kepuasan Dimensi Tarif / Biaya]]</f>
        <v>0</v>
      </c>
      <c r="AA304" s="1">
        <v>3</v>
      </c>
      <c r="AB304" s="1">
        <v>3</v>
      </c>
      <c r="AC304" s="1">
        <f>data[[#This Row],[Nilai Kepentingan Dimensi Produk Spesifikasi Jenis Layanan]]-data[[#This Row],[Nilai Kepuasan Dimensi Produk Spesifikasi Jenis Layanan]]</f>
        <v>0</v>
      </c>
      <c r="AD304" s="1">
        <v>3</v>
      </c>
      <c r="AE304" s="1">
        <v>3</v>
      </c>
      <c r="AF304" s="1">
        <f>data[[#This Row],[Nilai Kepentingan Dimensi Kompetensi Pelaksana]]-data[[#This Row],[Nilai Kepuasan Dimensi Kompetensi Pelaksana]]</f>
        <v>0</v>
      </c>
      <c r="AG304" s="1">
        <v>4</v>
      </c>
      <c r="AH304" s="1">
        <v>3</v>
      </c>
      <c r="AI304" s="1">
        <f>data[[#This Row],[Nilai Kepentingan Dimensi Perilaku Pelaksana]]-data[[#This Row],[Nilai Kepuasan Dimensi Perilaku Pelaksana]]</f>
        <v>-1</v>
      </c>
      <c r="AJ304" s="1">
        <v>3</v>
      </c>
      <c r="AK304" s="1">
        <v>3</v>
      </c>
      <c r="AL304" s="1">
        <f>data[[#This Row],[Nilai Kepentingan Dimensi Penanganan Pengaduan, Saran &amp; Masukan]]-data[[#This Row],[Nilai Kepuasan Dimensi Penanganan Pengaduan, Saran &amp; Masukan]]</f>
        <v>0</v>
      </c>
      <c r="AM304" s="1">
        <v>3</v>
      </c>
      <c r="AN304" s="1">
        <v>3</v>
      </c>
      <c r="AO304" s="1">
        <f>data[[#This Row],[Nilai Kepentingan Dimensi Kualitas Sarana dan Prasarana]]-data[[#This Row],[Nilai Kepuasan Dimensi Kualitas Sarana dan Prasarana]]</f>
        <v>0</v>
      </c>
      <c r="AP304" s="1">
        <v>0</v>
      </c>
      <c r="AQ304" s="1" t="s">
        <v>69</v>
      </c>
      <c r="AR304" s="1">
        <v>0</v>
      </c>
      <c r="AS304" s="1" t="s">
        <v>69</v>
      </c>
      <c r="AT304" s="1">
        <v>3</v>
      </c>
      <c r="AU304" s="1" t="s">
        <v>69</v>
      </c>
      <c r="AV304" s="1" t="s">
        <v>83</v>
      </c>
      <c r="AW304" s="1" t="s">
        <v>96</v>
      </c>
      <c r="AX304" s="1">
        <v>0</v>
      </c>
      <c r="AY304" s="1">
        <v>0</v>
      </c>
      <c r="AZ304" s="1" t="s">
        <v>248</v>
      </c>
      <c r="BA304" s="1" t="s">
        <v>79</v>
      </c>
      <c r="BB304" s="1" t="s">
        <v>248</v>
      </c>
      <c r="BC304" s="1" t="s">
        <v>79</v>
      </c>
      <c r="BD304" s="1" t="s">
        <v>248</v>
      </c>
      <c r="BE304" s="1" t="s">
        <v>79</v>
      </c>
      <c r="BF304" s="5" t="s">
        <v>1857</v>
      </c>
    </row>
    <row r="305" spans="1:58" x14ac:dyDescent="0.35">
      <c r="A305" s="4">
        <v>304</v>
      </c>
      <c r="B305" s="1" t="s">
        <v>1892</v>
      </c>
      <c r="C305" s="1" t="s">
        <v>63</v>
      </c>
      <c r="D305" s="1" t="s">
        <v>338</v>
      </c>
      <c r="E305" s="1" t="s">
        <v>69</v>
      </c>
      <c r="F305" s="1" t="s">
        <v>69</v>
      </c>
      <c r="G305" s="1" t="s">
        <v>69</v>
      </c>
      <c r="H305" s="1" t="s">
        <v>69</v>
      </c>
      <c r="I305" s="1" t="s">
        <v>70</v>
      </c>
      <c r="J305" s="1" t="s">
        <v>1168</v>
      </c>
      <c r="K305" s="1">
        <v>29</v>
      </c>
      <c r="L305" s="1" t="s">
        <v>92</v>
      </c>
      <c r="M305" s="1" t="s">
        <v>93</v>
      </c>
      <c r="N305" s="1" t="s">
        <v>74</v>
      </c>
      <c r="O305" s="1">
        <v>3</v>
      </c>
      <c r="P305" s="1">
        <v>3</v>
      </c>
      <c r="Q305" s="1">
        <f>data[[#This Row],[Nilai Kepentingan Dimensi Persyaratan]]-data[[#This Row],[Nilai Kepuasan Dimensi Persyaratan]]</f>
        <v>0</v>
      </c>
      <c r="R305" s="1">
        <v>3</v>
      </c>
      <c r="S305" s="1">
        <v>3</v>
      </c>
      <c r="T305" s="1">
        <f>data[[#This Row],[Nilai Kepentingan Dimensi Prosedur]]-data[[#This Row],[Nilai Kepuasan Dimensi Prosedur]]</f>
        <v>0</v>
      </c>
      <c r="U305" s="1">
        <v>2</v>
      </c>
      <c r="V305" s="1">
        <v>3</v>
      </c>
      <c r="W305" s="1">
        <f>data[[#This Row],[Nilai Kepentingan Dimensi Waktu Pelayanan/Penyelesaian]]-data[[#This Row],[Nilai Kepuasan Dimensi Waktu Pelayanan/Penyelesaian]]</f>
        <v>1</v>
      </c>
      <c r="X305" s="1">
        <v>0</v>
      </c>
      <c r="Y305" s="1">
        <v>0</v>
      </c>
      <c r="Z305" s="1">
        <f>data[[#This Row],[Nilai Kepentingan Dimensi Tarif/ Biaya]]-data[[#This Row],[Nilai Kepuasan Dimensi Tarif / Biaya]]</f>
        <v>0</v>
      </c>
      <c r="AA305" s="1">
        <v>3</v>
      </c>
      <c r="AB305" s="1">
        <v>3</v>
      </c>
      <c r="AC305" s="1">
        <f>data[[#This Row],[Nilai Kepentingan Dimensi Produk Spesifikasi Jenis Layanan]]-data[[#This Row],[Nilai Kepuasan Dimensi Produk Spesifikasi Jenis Layanan]]</f>
        <v>0</v>
      </c>
      <c r="AD305" s="1">
        <v>3</v>
      </c>
      <c r="AE305" s="1">
        <v>3</v>
      </c>
      <c r="AF305" s="1">
        <f>data[[#This Row],[Nilai Kepentingan Dimensi Kompetensi Pelaksana]]-data[[#This Row],[Nilai Kepuasan Dimensi Kompetensi Pelaksana]]</f>
        <v>0</v>
      </c>
      <c r="AG305" s="1">
        <v>4</v>
      </c>
      <c r="AH305" s="1">
        <v>4</v>
      </c>
      <c r="AI305" s="1">
        <f>data[[#This Row],[Nilai Kepentingan Dimensi Perilaku Pelaksana]]-data[[#This Row],[Nilai Kepuasan Dimensi Perilaku Pelaksana]]</f>
        <v>0</v>
      </c>
      <c r="AJ305" s="1">
        <v>3</v>
      </c>
      <c r="AK305" s="1">
        <v>4</v>
      </c>
      <c r="AL305" s="1">
        <f>data[[#This Row],[Nilai Kepentingan Dimensi Penanganan Pengaduan, Saran &amp; Masukan]]-data[[#This Row],[Nilai Kepuasan Dimensi Penanganan Pengaduan, Saran &amp; Masukan]]</f>
        <v>1</v>
      </c>
      <c r="AM305" s="1">
        <v>3</v>
      </c>
      <c r="AN305" s="1">
        <v>4</v>
      </c>
      <c r="AO305" s="1">
        <f>data[[#This Row],[Nilai Kepentingan Dimensi Kualitas Sarana dan Prasarana]]-data[[#This Row],[Nilai Kepuasan Dimensi Kualitas Sarana dan Prasarana]]</f>
        <v>1</v>
      </c>
      <c r="AP305" s="1">
        <v>0</v>
      </c>
      <c r="AQ305" s="1" t="s">
        <v>69</v>
      </c>
      <c r="AR305" s="1">
        <v>3</v>
      </c>
      <c r="AS305" s="1" t="s">
        <v>69</v>
      </c>
      <c r="AT305" s="1">
        <v>0</v>
      </c>
      <c r="AU305" s="1" t="s">
        <v>69</v>
      </c>
      <c r="AV305" s="1" t="s">
        <v>83</v>
      </c>
      <c r="AW305" s="1" t="s">
        <v>96</v>
      </c>
      <c r="AX305" s="1">
        <v>0</v>
      </c>
      <c r="AY305" s="1">
        <v>0</v>
      </c>
      <c r="AZ305" s="1" t="s">
        <v>1896</v>
      </c>
      <c r="BA305" s="1" t="s">
        <v>433</v>
      </c>
      <c r="BB305" s="1" t="s">
        <v>1897</v>
      </c>
      <c r="BC305" s="1" t="s">
        <v>502</v>
      </c>
      <c r="BD305" s="1" t="s">
        <v>248</v>
      </c>
      <c r="BE305" s="1" t="s">
        <v>79</v>
      </c>
      <c r="BF305" s="5" t="s">
        <v>1898</v>
      </c>
    </row>
    <row r="306" spans="1:58" x14ac:dyDescent="0.35">
      <c r="A306" s="4">
        <v>305</v>
      </c>
      <c r="B306" s="1" t="s">
        <v>1899</v>
      </c>
      <c r="C306" s="1" t="s">
        <v>63</v>
      </c>
      <c r="D306" s="1" t="s">
        <v>149</v>
      </c>
      <c r="E306" s="1" t="s">
        <v>69</v>
      </c>
      <c r="F306" s="1" t="s">
        <v>69</v>
      </c>
      <c r="G306" s="1" t="s">
        <v>69</v>
      </c>
      <c r="H306" s="1" t="s">
        <v>69</v>
      </c>
      <c r="I306" s="1" t="s">
        <v>70</v>
      </c>
      <c r="J306" s="1" t="s">
        <v>1168</v>
      </c>
      <c r="K306" s="1">
        <v>45</v>
      </c>
      <c r="L306" s="1" t="s">
        <v>197</v>
      </c>
      <c r="M306" s="1" t="s">
        <v>73</v>
      </c>
      <c r="N306" s="1" t="s">
        <v>232</v>
      </c>
      <c r="O306" s="1">
        <v>3</v>
      </c>
      <c r="P306" s="1">
        <v>3</v>
      </c>
      <c r="Q306" s="1">
        <f>data[[#This Row],[Nilai Kepentingan Dimensi Persyaratan]]-data[[#This Row],[Nilai Kepuasan Dimensi Persyaratan]]</f>
        <v>0</v>
      </c>
      <c r="R306" s="1">
        <v>3</v>
      </c>
      <c r="S306" s="1">
        <v>3</v>
      </c>
      <c r="T306" s="1">
        <f>data[[#This Row],[Nilai Kepentingan Dimensi Prosedur]]-data[[#This Row],[Nilai Kepuasan Dimensi Prosedur]]</f>
        <v>0</v>
      </c>
      <c r="U306" s="1">
        <v>3</v>
      </c>
      <c r="V306" s="1">
        <v>3</v>
      </c>
      <c r="W306" s="1">
        <f>data[[#This Row],[Nilai Kepentingan Dimensi Waktu Pelayanan/Penyelesaian]]-data[[#This Row],[Nilai Kepuasan Dimensi Waktu Pelayanan/Penyelesaian]]</f>
        <v>0</v>
      </c>
      <c r="X306" s="1">
        <v>0</v>
      </c>
      <c r="Y306" s="1">
        <v>0</v>
      </c>
      <c r="Z306" s="1">
        <f>data[[#This Row],[Nilai Kepentingan Dimensi Tarif/ Biaya]]-data[[#This Row],[Nilai Kepuasan Dimensi Tarif / Biaya]]</f>
        <v>0</v>
      </c>
      <c r="AA306" s="1">
        <v>3</v>
      </c>
      <c r="AB306" s="1">
        <v>3</v>
      </c>
      <c r="AC306" s="1">
        <f>data[[#This Row],[Nilai Kepentingan Dimensi Produk Spesifikasi Jenis Layanan]]-data[[#This Row],[Nilai Kepuasan Dimensi Produk Spesifikasi Jenis Layanan]]</f>
        <v>0</v>
      </c>
      <c r="AD306" s="1">
        <v>3</v>
      </c>
      <c r="AE306" s="1">
        <v>4</v>
      </c>
      <c r="AF306" s="1">
        <f>data[[#This Row],[Nilai Kepentingan Dimensi Kompetensi Pelaksana]]-data[[#This Row],[Nilai Kepuasan Dimensi Kompetensi Pelaksana]]</f>
        <v>1</v>
      </c>
      <c r="AG306" s="1">
        <v>4</v>
      </c>
      <c r="AH306" s="1">
        <v>4</v>
      </c>
      <c r="AI306" s="1">
        <f>data[[#This Row],[Nilai Kepentingan Dimensi Perilaku Pelaksana]]-data[[#This Row],[Nilai Kepuasan Dimensi Perilaku Pelaksana]]</f>
        <v>0</v>
      </c>
      <c r="AJ306" s="1">
        <v>3</v>
      </c>
      <c r="AK306" s="1">
        <v>4</v>
      </c>
      <c r="AL306" s="1">
        <f>data[[#This Row],[Nilai Kepentingan Dimensi Penanganan Pengaduan, Saran &amp; Masukan]]-data[[#This Row],[Nilai Kepuasan Dimensi Penanganan Pengaduan, Saran &amp; Masukan]]</f>
        <v>1</v>
      </c>
      <c r="AM306" s="1">
        <v>3</v>
      </c>
      <c r="AN306" s="1">
        <v>4</v>
      </c>
      <c r="AO306" s="1">
        <f>data[[#This Row],[Nilai Kepentingan Dimensi Kualitas Sarana dan Prasarana]]-data[[#This Row],[Nilai Kepuasan Dimensi Kualitas Sarana dan Prasarana]]</f>
        <v>1</v>
      </c>
      <c r="AP306" s="1">
        <v>0</v>
      </c>
      <c r="AQ306" s="1" t="s">
        <v>69</v>
      </c>
      <c r="AR306" s="1">
        <v>0</v>
      </c>
      <c r="AS306" s="1" t="s">
        <v>69</v>
      </c>
      <c r="AT306" s="1">
        <v>3</v>
      </c>
      <c r="AU306" s="1" t="s">
        <v>69</v>
      </c>
      <c r="AV306" s="1" t="s">
        <v>83</v>
      </c>
      <c r="AW306" s="1" t="s">
        <v>96</v>
      </c>
      <c r="AX306" s="1">
        <v>0</v>
      </c>
      <c r="AY306" s="1">
        <v>0</v>
      </c>
      <c r="AZ306" s="1" t="s">
        <v>248</v>
      </c>
      <c r="BA306" s="1" t="s">
        <v>79</v>
      </c>
      <c r="BB306" s="1" t="s">
        <v>248</v>
      </c>
      <c r="BC306" s="1" t="s">
        <v>79</v>
      </c>
      <c r="BD306" s="1" t="s">
        <v>1903</v>
      </c>
      <c r="BE306" s="1" t="s">
        <v>237</v>
      </c>
      <c r="BF306" s="5" t="s">
        <v>1857</v>
      </c>
    </row>
    <row r="307" spans="1:58" x14ac:dyDescent="0.35">
      <c r="A307" s="4">
        <v>306</v>
      </c>
      <c r="B307" s="1" t="s">
        <v>1904</v>
      </c>
      <c r="C307" s="1" t="s">
        <v>772</v>
      </c>
      <c r="D307" s="1" t="s">
        <v>1906</v>
      </c>
      <c r="E307" s="1" t="s">
        <v>69</v>
      </c>
      <c r="F307" s="1" t="s">
        <v>69</v>
      </c>
      <c r="G307" s="1" t="s">
        <v>69</v>
      </c>
      <c r="H307" s="1" t="s">
        <v>69</v>
      </c>
      <c r="I307" s="1" t="s">
        <v>70</v>
      </c>
      <c r="J307" s="1" t="s">
        <v>1168</v>
      </c>
      <c r="K307" s="1">
        <v>43</v>
      </c>
      <c r="L307" s="1" t="s">
        <v>197</v>
      </c>
      <c r="M307" s="1" t="s">
        <v>73</v>
      </c>
      <c r="N307" s="1" t="s">
        <v>232</v>
      </c>
      <c r="O307" s="1">
        <v>3</v>
      </c>
      <c r="P307" s="1">
        <v>3</v>
      </c>
      <c r="Q307" s="1">
        <f>data[[#This Row],[Nilai Kepentingan Dimensi Persyaratan]]-data[[#This Row],[Nilai Kepuasan Dimensi Persyaratan]]</f>
        <v>0</v>
      </c>
      <c r="R307" s="1">
        <v>3</v>
      </c>
      <c r="S307" s="1">
        <v>3</v>
      </c>
      <c r="T307" s="1">
        <f>data[[#This Row],[Nilai Kepentingan Dimensi Prosedur]]-data[[#This Row],[Nilai Kepuasan Dimensi Prosedur]]</f>
        <v>0</v>
      </c>
      <c r="U307" s="1">
        <v>2</v>
      </c>
      <c r="V307" s="1">
        <v>4</v>
      </c>
      <c r="W307" s="1">
        <f>data[[#This Row],[Nilai Kepentingan Dimensi Waktu Pelayanan/Penyelesaian]]-data[[#This Row],[Nilai Kepuasan Dimensi Waktu Pelayanan/Penyelesaian]]</f>
        <v>2</v>
      </c>
      <c r="X307" s="1">
        <v>0</v>
      </c>
      <c r="Y307" s="1">
        <v>0</v>
      </c>
      <c r="Z307" s="1">
        <f>data[[#This Row],[Nilai Kepentingan Dimensi Tarif/ Biaya]]-data[[#This Row],[Nilai Kepuasan Dimensi Tarif / Biaya]]</f>
        <v>0</v>
      </c>
      <c r="AA307" s="1">
        <v>3</v>
      </c>
      <c r="AB307" s="1">
        <v>3</v>
      </c>
      <c r="AC307" s="1">
        <f>data[[#This Row],[Nilai Kepentingan Dimensi Produk Spesifikasi Jenis Layanan]]-data[[#This Row],[Nilai Kepuasan Dimensi Produk Spesifikasi Jenis Layanan]]</f>
        <v>0</v>
      </c>
      <c r="AD307" s="1">
        <v>4</v>
      </c>
      <c r="AE307" s="1">
        <v>3</v>
      </c>
      <c r="AF307" s="1">
        <f>data[[#This Row],[Nilai Kepentingan Dimensi Kompetensi Pelaksana]]-data[[#This Row],[Nilai Kepuasan Dimensi Kompetensi Pelaksana]]</f>
        <v>-1</v>
      </c>
      <c r="AG307" s="1">
        <v>4</v>
      </c>
      <c r="AH307" s="1">
        <v>4</v>
      </c>
      <c r="AI307" s="1">
        <f>data[[#This Row],[Nilai Kepentingan Dimensi Perilaku Pelaksana]]-data[[#This Row],[Nilai Kepuasan Dimensi Perilaku Pelaksana]]</f>
        <v>0</v>
      </c>
      <c r="AJ307" s="1">
        <v>3</v>
      </c>
      <c r="AK307" s="1">
        <v>4</v>
      </c>
      <c r="AL307" s="1">
        <f>data[[#This Row],[Nilai Kepentingan Dimensi Penanganan Pengaduan, Saran &amp; Masukan]]-data[[#This Row],[Nilai Kepuasan Dimensi Penanganan Pengaduan, Saran &amp; Masukan]]</f>
        <v>1</v>
      </c>
      <c r="AM307" s="1">
        <v>3</v>
      </c>
      <c r="AN307" s="1">
        <v>4</v>
      </c>
      <c r="AO307" s="1">
        <f>data[[#This Row],[Nilai Kepentingan Dimensi Kualitas Sarana dan Prasarana]]-data[[#This Row],[Nilai Kepuasan Dimensi Kualitas Sarana dan Prasarana]]</f>
        <v>1</v>
      </c>
      <c r="AP307" s="1">
        <v>0</v>
      </c>
      <c r="AQ307" s="1" t="s">
        <v>69</v>
      </c>
      <c r="AR307" s="1">
        <v>0</v>
      </c>
      <c r="AS307" s="1" t="s">
        <v>69</v>
      </c>
      <c r="AT307" s="1">
        <v>0</v>
      </c>
      <c r="AU307" s="1" t="s">
        <v>69</v>
      </c>
      <c r="AV307" s="1" t="s">
        <v>1908</v>
      </c>
      <c r="AW307" s="1" t="s">
        <v>77</v>
      </c>
      <c r="AX307" s="1">
        <v>2</v>
      </c>
      <c r="AY307" s="1">
        <v>3</v>
      </c>
      <c r="AZ307" s="1" t="s">
        <v>278</v>
      </c>
      <c r="BA307" s="1" t="s">
        <v>79</v>
      </c>
      <c r="BB307" s="1" t="s">
        <v>1909</v>
      </c>
      <c r="BC307" s="1" t="s">
        <v>502</v>
      </c>
      <c r="BD307" s="1" t="s">
        <v>248</v>
      </c>
      <c r="BE307" s="1" t="s">
        <v>79</v>
      </c>
      <c r="BF307" s="5" t="s">
        <v>1910</v>
      </c>
    </row>
    <row r="308" spans="1:58" x14ac:dyDescent="0.35">
      <c r="A308" s="4">
        <v>307</v>
      </c>
      <c r="B308" s="1" t="s">
        <v>1911</v>
      </c>
      <c r="C308" s="1" t="s">
        <v>63</v>
      </c>
      <c r="D308" s="1" t="s">
        <v>63</v>
      </c>
      <c r="E308" s="1" t="s">
        <v>69</v>
      </c>
      <c r="F308" s="1" t="s">
        <v>69</v>
      </c>
      <c r="G308" s="1" t="s">
        <v>69</v>
      </c>
      <c r="H308" s="1" t="s">
        <v>69</v>
      </c>
      <c r="I308" s="1" t="s">
        <v>70</v>
      </c>
      <c r="J308" s="1" t="s">
        <v>1168</v>
      </c>
      <c r="K308" s="1">
        <v>56</v>
      </c>
      <c r="L308" s="1" t="s">
        <v>182</v>
      </c>
      <c r="M308" s="1" t="s">
        <v>93</v>
      </c>
      <c r="N308" s="1" t="s">
        <v>232</v>
      </c>
      <c r="O308" s="1">
        <v>3</v>
      </c>
      <c r="P308" s="1">
        <v>4</v>
      </c>
      <c r="Q308" s="1">
        <f>data[[#This Row],[Nilai Kepentingan Dimensi Persyaratan]]-data[[#This Row],[Nilai Kepuasan Dimensi Persyaratan]]</f>
        <v>1</v>
      </c>
      <c r="R308" s="1">
        <v>3</v>
      </c>
      <c r="S308" s="1">
        <v>3</v>
      </c>
      <c r="T308" s="1">
        <f>data[[#This Row],[Nilai Kepentingan Dimensi Prosedur]]-data[[#This Row],[Nilai Kepuasan Dimensi Prosedur]]</f>
        <v>0</v>
      </c>
      <c r="U308" s="1">
        <v>3</v>
      </c>
      <c r="V308" s="1">
        <v>3</v>
      </c>
      <c r="W308" s="1">
        <f>data[[#This Row],[Nilai Kepentingan Dimensi Waktu Pelayanan/Penyelesaian]]-data[[#This Row],[Nilai Kepuasan Dimensi Waktu Pelayanan/Penyelesaian]]</f>
        <v>0</v>
      </c>
      <c r="X308" s="1">
        <v>0</v>
      </c>
      <c r="Y308" s="1">
        <v>0</v>
      </c>
      <c r="Z308" s="1">
        <f>data[[#This Row],[Nilai Kepentingan Dimensi Tarif/ Biaya]]-data[[#This Row],[Nilai Kepuasan Dimensi Tarif / Biaya]]</f>
        <v>0</v>
      </c>
      <c r="AA308" s="1">
        <v>2</v>
      </c>
      <c r="AB308" s="1">
        <v>3</v>
      </c>
      <c r="AC308" s="1">
        <f>data[[#This Row],[Nilai Kepentingan Dimensi Produk Spesifikasi Jenis Layanan]]-data[[#This Row],[Nilai Kepuasan Dimensi Produk Spesifikasi Jenis Layanan]]</f>
        <v>1</v>
      </c>
      <c r="AD308" s="1">
        <v>1</v>
      </c>
      <c r="AE308" s="1">
        <v>4</v>
      </c>
      <c r="AF308" s="1">
        <f>data[[#This Row],[Nilai Kepentingan Dimensi Kompetensi Pelaksana]]-data[[#This Row],[Nilai Kepuasan Dimensi Kompetensi Pelaksana]]</f>
        <v>3</v>
      </c>
      <c r="AG308" s="1">
        <v>2</v>
      </c>
      <c r="AH308" s="1">
        <v>4</v>
      </c>
      <c r="AI308" s="1">
        <f>data[[#This Row],[Nilai Kepentingan Dimensi Perilaku Pelaksana]]-data[[#This Row],[Nilai Kepuasan Dimensi Perilaku Pelaksana]]</f>
        <v>2</v>
      </c>
      <c r="AJ308" s="1">
        <v>2</v>
      </c>
      <c r="AK308" s="1">
        <v>4</v>
      </c>
      <c r="AL308" s="1">
        <f>data[[#This Row],[Nilai Kepentingan Dimensi Penanganan Pengaduan, Saran &amp; Masukan]]-data[[#This Row],[Nilai Kepuasan Dimensi Penanganan Pengaduan, Saran &amp; Masukan]]</f>
        <v>2</v>
      </c>
      <c r="AM308" s="1">
        <v>3</v>
      </c>
      <c r="AN308" s="1">
        <v>3</v>
      </c>
      <c r="AO308" s="1">
        <f>data[[#This Row],[Nilai Kepentingan Dimensi Kualitas Sarana dan Prasarana]]-data[[#This Row],[Nilai Kepuasan Dimensi Kualitas Sarana dan Prasarana]]</f>
        <v>0</v>
      </c>
      <c r="AP308" s="1">
        <v>0</v>
      </c>
      <c r="AQ308" s="1" t="s">
        <v>69</v>
      </c>
      <c r="AR308" s="1">
        <v>0</v>
      </c>
      <c r="AS308" s="1" t="s">
        <v>69</v>
      </c>
      <c r="AT308" s="1">
        <v>0</v>
      </c>
      <c r="AU308" s="1" t="s">
        <v>69</v>
      </c>
      <c r="AV308" s="1" t="s">
        <v>1915</v>
      </c>
      <c r="AW308" s="1" t="s">
        <v>77</v>
      </c>
      <c r="AX308" s="1">
        <v>2</v>
      </c>
      <c r="AY308" s="1">
        <v>3</v>
      </c>
      <c r="AZ308" s="1" t="s">
        <v>1916</v>
      </c>
      <c r="BA308" s="1" t="s">
        <v>235</v>
      </c>
      <c r="BB308" s="1" t="s">
        <v>1917</v>
      </c>
      <c r="BC308" s="1" t="s">
        <v>112</v>
      </c>
      <c r="BD308" s="1" t="s">
        <v>278</v>
      </c>
      <c r="BE308" s="1" t="s">
        <v>79</v>
      </c>
      <c r="BF308" s="5" t="s">
        <v>1857</v>
      </c>
    </row>
    <row r="309" spans="1:58" x14ac:dyDescent="0.35">
      <c r="A309" s="4">
        <v>308</v>
      </c>
      <c r="B309" s="1" t="s">
        <v>1918</v>
      </c>
      <c r="C309" s="1" t="s">
        <v>63</v>
      </c>
      <c r="D309" s="1" t="s">
        <v>63</v>
      </c>
      <c r="E309" s="1" t="s">
        <v>69</v>
      </c>
      <c r="F309" s="1" t="s">
        <v>69</v>
      </c>
      <c r="G309" s="1" t="s">
        <v>69</v>
      </c>
      <c r="H309" s="1" t="s">
        <v>69</v>
      </c>
      <c r="I309" s="1" t="s">
        <v>106</v>
      </c>
      <c r="J309" s="1" t="s">
        <v>1168</v>
      </c>
      <c r="K309" s="1">
        <v>38</v>
      </c>
      <c r="L309" s="1" t="s">
        <v>153</v>
      </c>
      <c r="M309" s="1" t="s">
        <v>73</v>
      </c>
      <c r="N309" s="1" t="s">
        <v>74</v>
      </c>
      <c r="O309" s="1">
        <v>3</v>
      </c>
      <c r="P309" s="1">
        <v>3</v>
      </c>
      <c r="Q309" s="1">
        <f>data[[#This Row],[Nilai Kepentingan Dimensi Persyaratan]]-data[[#This Row],[Nilai Kepuasan Dimensi Persyaratan]]</f>
        <v>0</v>
      </c>
      <c r="R309" s="1">
        <v>3</v>
      </c>
      <c r="S309" s="1">
        <v>3</v>
      </c>
      <c r="T309" s="1">
        <f>data[[#This Row],[Nilai Kepentingan Dimensi Prosedur]]-data[[#This Row],[Nilai Kepuasan Dimensi Prosedur]]</f>
        <v>0</v>
      </c>
      <c r="U309" s="1">
        <v>4</v>
      </c>
      <c r="V309" s="1">
        <v>4</v>
      </c>
      <c r="W309" s="1">
        <f>data[[#This Row],[Nilai Kepentingan Dimensi Waktu Pelayanan/Penyelesaian]]-data[[#This Row],[Nilai Kepuasan Dimensi Waktu Pelayanan/Penyelesaian]]</f>
        <v>0</v>
      </c>
      <c r="X309" s="1">
        <v>0</v>
      </c>
      <c r="Y309" s="1">
        <v>0</v>
      </c>
      <c r="Z309" s="1">
        <f>data[[#This Row],[Nilai Kepentingan Dimensi Tarif/ Biaya]]-data[[#This Row],[Nilai Kepuasan Dimensi Tarif / Biaya]]</f>
        <v>0</v>
      </c>
      <c r="AA309" s="1">
        <v>4</v>
      </c>
      <c r="AB309" s="1">
        <v>4</v>
      </c>
      <c r="AC309" s="1">
        <f>data[[#This Row],[Nilai Kepentingan Dimensi Produk Spesifikasi Jenis Layanan]]-data[[#This Row],[Nilai Kepuasan Dimensi Produk Spesifikasi Jenis Layanan]]</f>
        <v>0</v>
      </c>
      <c r="AD309" s="1">
        <v>3</v>
      </c>
      <c r="AE309" s="1">
        <v>4</v>
      </c>
      <c r="AF309" s="1">
        <f>data[[#This Row],[Nilai Kepentingan Dimensi Kompetensi Pelaksana]]-data[[#This Row],[Nilai Kepuasan Dimensi Kompetensi Pelaksana]]</f>
        <v>1</v>
      </c>
      <c r="AG309" s="1">
        <v>3</v>
      </c>
      <c r="AH309" s="1">
        <v>4</v>
      </c>
      <c r="AI309" s="1">
        <f>data[[#This Row],[Nilai Kepentingan Dimensi Perilaku Pelaksana]]-data[[#This Row],[Nilai Kepuasan Dimensi Perilaku Pelaksana]]</f>
        <v>1</v>
      </c>
      <c r="AJ309" s="1">
        <v>3</v>
      </c>
      <c r="AK309" s="1">
        <v>4</v>
      </c>
      <c r="AL309" s="1">
        <f>data[[#This Row],[Nilai Kepentingan Dimensi Penanganan Pengaduan, Saran &amp; Masukan]]-data[[#This Row],[Nilai Kepuasan Dimensi Penanganan Pengaduan, Saran &amp; Masukan]]</f>
        <v>1</v>
      </c>
      <c r="AM309" s="1">
        <v>4</v>
      </c>
      <c r="AN309" s="1">
        <v>3</v>
      </c>
      <c r="AO309" s="1">
        <f>data[[#This Row],[Nilai Kepentingan Dimensi Kualitas Sarana dan Prasarana]]-data[[#This Row],[Nilai Kepuasan Dimensi Kualitas Sarana dan Prasarana]]</f>
        <v>-1</v>
      </c>
      <c r="AP309" s="1">
        <v>0</v>
      </c>
      <c r="AQ309" s="1" t="s">
        <v>69</v>
      </c>
      <c r="AR309" s="1">
        <v>0</v>
      </c>
      <c r="AS309" s="1" t="s">
        <v>69</v>
      </c>
      <c r="AT309" s="1">
        <v>3</v>
      </c>
      <c r="AU309" s="1" t="s">
        <v>75</v>
      </c>
      <c r="AV309" s="1" t="s">
        <v>83</v>
      </c>
      <c r="AW309" s="1" t="s">
        <v>96</v>
      </c>
      <c r="AX309" s="1">
        <v>0</v>
      </c>
      <c r="AY309" s="1">
        <v>0</v>
      </c>
      <c r="AZ309" s="1" t="s">
        <v>248</v>
      </c>
      <c r="BA309" s="1" t="s">
        <v>79</v>
      </c>
      <c r="BB309" s="1" t="s">
        <v>248</v>
      </c>
      <c r="BC309" s="1" t="s">
        <v>79</v>
      </c>
      <c r="BD309" s="1" t="s">
        <v>248</v>
      </c>
      <c r="BE309" s="1" t="s">
        <v>79</v>
      </c>
      <c r="BF309" s="5" t="s">
        <v>1857</v>
      </c>
    </row>
    <row r="310" spans="1:58" x14ac:dyDescent="0.35">
      <c r="A310" s="4">
        <v>309</v>
      </c>
      <c r="B310" s="1" t="s">
        <v>1922</v>
      </c>
      <c r="C310" s="1" t="s">
        <v>772</v>
      </c>
      <c r="D310" s="1" t="s">
        <v>1924</v>
      </c>
      <c r="E310" s="1" t="s">
        <v>69</v>
      </c>
      <c r="F310" s="1" t="s">
        <v>69</v>
      </c>
      <c r="G310" s="1" t="s">
        <v>69</v>
      </c>
      <c r="H310" s="1" t="s">
        <v>69</v>
      </c>
      <c r="I310" s="1" t="s">
        <v>106</v>
      </c>
      <c r="J310" s="1" t="s">
        <v>1168</v>
      </c>
      <c r="K310" s="1">
        <v>42</v>
      </c>
      <c r="L310" s="1" t="s">
        <v>197</v>
      </c>
      <c r="M310" s="1" t="s">
        <v>73</v>
      </c>
      <c r="N310" s="1" t="s">
        <v>110</v>
      </c>
      <c r="O310" s="1">
        <v>3</v>
      </c>
      <c r="P310" s="1">
        <v>3</v>
      </c>
      <c r="Q310" s="1">
        <f>data[[#This Row],[Nilai Kepentingan Dimensi Persyaratan]]-data[[#This Row],[Nilai Kepuasan Dimensi Persyaratan]]</f>
        <v>0</v>
      </c>
      <c r="R310" s="1">
        <v>3</v>
      </c>
      <c r="S310" s="1">
        <v>3</v>
      </c>
      <c r="T310" s="1">
        <f>data[[#This Row],[Nilai Kepentingan Dimensi Prosedur]]-data[[#This Row],[Nilai Kepuasan Dimensi Prosedur]]</f>
        <v>0</v>
      </c>
      <c r="U310" s="1">
        <v>3</v>
      </c>
      <c r="V310" s="1">
        <v>3</v>
      </c>
      <c r="W310" s="1">
        <f>data[[#This Row],[Nilai Kepentingan Dimensi Waktu Pelayanan/Penyelesaian]]-data[[#This Row],[Nilai Kepuasan Dimensi Waktu Pelayanan/Penyelesaian]]</f>
        <v>0</v>
      </c>
      <c r="X310" s="1">
        <v>0</v>
      </c>
      <c r="Y310" s="1">
        <v>0</v>
      </c>
      <c r="Z310" s="1">
        <f>data[[#This Row],[Nilai Kepentingan Dimensi Tarif/ Biaya]]-data[[#This Row],[Nilai Kepuasan Dimensi Tarif / Biaya]]</f>
        <v>0</v>
      </c>
      <c r="AA310" s="1">
        <v>3</v>
      </c>
      <c r="AB310" s="1">
        <v>4</v>
      </c>
      <c r="AC310" s="1">
        <f>data[[#This Row],[Nilai Kepentingan Dimensi Produk Spesifikasi Jenis Layanan]]-data[[#This Row],[Nilai Kepuasan Dimensi Produk Spesifikasi Jenis Layanan]]</f>
        <v>1</v>
      </c>
      <c r="AD310" s="1">
        <v>3</v>
      </c>
      <c r="AE310" s="1">
        <v>3</v>
      </c>
      <c r="AF310" s="1">
        <f>data[[#This Row],[Nilai Kepentingan Dimensi Kompetensi Pelaksana]]-data[[#This Row],[Nilai Kepuasan Dimensi Kompetensi Pelaksana]]</f>
        <v>0</v>
      </c>
      <c r="AG310" s="1">
        <v>3</v>
      </c>
      <c r="AH310" s="1">
        <v>3</v>
      </c>
      <c r="AI310" s="1">
        <f>data[[#This Row],[Nilai Kepentingan Dimensi Perilaku Pelaksana]]-data[[#This Row],[Nilai Kepuasan Dimensi Perilaku Pelaksana]]</f>
        <v>0</v>
      </c>
      <c r="AJ310" s="1">
        <v>3</v>
      </c>
      <c r="AK310" s="1">
        <v>3</v>
      </c>
      <c r="AL310" s="1">
        <f>data[[#This Row],[Nilai Kepentingan Dimensi Penanganan Pengaduan, Saran &amp; Masukan]]-data[[#This Row],[Nilai Kepuasan Dimensi Penanganan Pengaduan, Saran &amp; Masukan]]</f>
        <v>0</v>
      </c>
      <c r="AM310" s="1">
        <v>3</v>
      </c>
      <c r="AN310" s="1">
        <v>3</v>
      </c>
      <c r="AO310" s="1">
        <f>data[[#This Row],[Nilai Kepentingan Dimensi Kualitas Sarana dan Prasarana]]-data[[#This Row],[Nilai Kepuasan Dimensi Kualitas Sarana dan Prasarana]]</f>
        <v>0</v>
      </c>
      <c r="AP310" s="1">
        <v>0</v>
      </c>
      <c r="AQ310" s="1" t="s">
        <v>69</v>
      </c>
      <c r="AR310" s="1">
        <v>0</v>
      </c>
      <c r="AS310" s="1" t="s">
        <v>69</v>
      </c>
      <c r="AT310" s="1">
        <v>0</v>
      </c>
      <c r="AU310" s="1" t="s">
        <v>69</v>
      </c>
      <c r="AV310" s="1" t="s">
        <v>144</v>
      </c>
      <c r="AW310" s="1" t="s">
        <v>144</v>
      </c>
      <c r="AX310" s="1">
        <v>1</v>
      </c>
      <c r="AY310" s="1">
        <v>4</v>
      </c>
      <c r="AZ310" s="1" t="s">
        <v>248</v>
      </c>
      <c r="BA310" s="1" t="s">
        <v>79</v>
      </c>
      <c r="BB310" s="1" t="s">
        <v>1926</v>
      </c>
      <c r="BC310" s="1" t="s">
        <v>157</v>
      </c>
      <c r="BD310" s="1" t="s">
        <v>802</v>
      </c>
      <c r="BE310" s="1" t="s">
        <v>79</v>
      </c>
      <c r="BF310" s="5" t="s">
        <v>1857</v>
      </c>
    </row>
    <row r="311" spans="1:58" x14ac:dyDescent="0.35">
      <c r="A311" s="4">
        <v>310</v>
      </c>
      <c r="B311" s="1" t="s">
        <v>1927</v>
      </c>
      <c r="C311" s="1" t="s">
        <v>63</v>
      </c>
      <c r="D311" s="1" t="s">
        <v>136</v>
      </c>
      <c r="E311" s="1" t="s">
        <v>69</v>
      </c>
      <c r="F311" s="1" t="s">
        <v>69</v>
      </c>
      <c r="G311" s="1" t="s">
        <v>69</v>
      </c>
      <c r="H311" s="1" t="s">
        <v>69</v>
      </c>
      <c r="I311" s="1" t="s">
        <v>70</v>
      </c>
      <c r="J311" s="1" t="s">
        <v>1168</v>
      </c>
      <c r="K311" s="1">
        <v>32</v>
      </c>
      <c r="L311" s="1" t="s">
        <v>109</v>
      </c>
      <c r="M311" s="1" t="s">
        <v>73</v>
      </c>
      <c r="N311" s="1" t="s">
        <v>232</v>
      </c>
      <c r="O311" s="1">
        <v>3</v>
      </c>
      <c r="P311" s="1">
        <v>3</v>
      </c>
      <c r="Q311" s="1">
        <f>data[[#This Row],[Nilai Kepentingan Dimensi Persyaratan]]-data[[#This Row],[Nilai Kepuasan Dimensi Persyaratan]]</f>
        <v>0</v>
      </c>
      <c r="R311" s="1">
        <v>3</v>
      </c>
      <c r="S311" s="1">
        <v>3</v>
      </c>
      <c r="T311" s="1">
        <f>data[[#This Row],[Nilai Kepentingan Dimensi Prosedur]]-data[[#This Row],[Nilai Kepuasan Dimensi Prosedur]]</f>
        <v>0</v>
      </c>
      <c r="U311" s="1">
        <v>3</v>
      </c>
      <c r="V311" s="1">
        <v>4</v>
      </c>
      <c r="W311" s="1">
        <f>data[[#This Row],[Nilai Kepentingan Dimensi Waktu Pelayanan/Penyelesaian]]-data[[#This Row],[Nilai Kepuasan Dimensi Waktu Pelayanan/Penyelesaian]]</f>
        <v>1</v>
      </c>
      <c r="X311" s="1">
        <v>0</v>
      </c>
      <c r="Y311" s="1">
        <v>0</v>
      </c>
      <c r="Z311" s="1">
        <f>data[[#This Row],[Nilai Kepentingan Dimensi Tarif/ Biaya]]-data[[#This Row],[Nilai Kepuasan Dimensi Tarif / Biaya]]</f>
        <v>0</v>
      </c>
      <c r="AA311" s="1">
        <v>3</v>
      </c>
      <c r="AB311" s="1">
        <v>4</v>
      </c>
      <c r="AC311" s="1">
        <f>data[[#This Row],[Nilai Kepentingan Dimensi Produk Spesifikasi Jenis Layanan]]-data[[#This Row],[Nilai Kepuasan Dimensi Produk Spesifikasi Jenis Layanan]]</f>
        <v>1</v>
      </c>
      <c r="AD311" s="1">
        <v>3</v>
      </c>
      <c r="AE311" s="1">
        <v>4</v>
      </c>
      <c r="AF311" s="1">
        <f>data[[#This Row],[Nilai Kepentingan Dimensi Kompetensi Pelaksana]]-data[[#This Row],[Nilai Kepuasan Dimensi Kompetensi Pelaksana]]</f>
        <v>1</v>
      </c>
      <c r="AG311" s="1">
        <v>3</v>
      </c>
      <c r="AH311" s="1">
        <v>4</v>
      </c>
      <c r="AI311" s="1">
        <f>data[[#This Row],[Nilai Kepentingan Dimensi Perilaku Pelaksana]]-data[[#This Row],[Nilai Kepuasan Dimensi Perilaku Pelaksana]]</f>
        <v>1</v>
      </c>
      <c r="AJ311" s="1">
        <v>3</v>
      </c>
      <c r="AK311" s="1">
        <v>4</v>
      </c>
      <c r="AL311" s="1">
        <f>data[[#This Row],[Nilai Kepentingan Dimensi Penanganan Pengaduan, Saran &amp; Masukan]]-data[[#This Row],[Nilai Kepuasan Dimensi Penanganan Pengaduan, Saran &amp; Masukan]]</f>
        <v>1</v>
      </c>
      <c r="AM311" s="1">
        <v>3</v>
      </c>
      <c r="AN311" s="1">
        <v>4</v>
      </c>
      <c r="AO311" s="1">
        <f>data[[#This Row],[Nilai Kepentingan Dimensi Kualitas Sarana dan Prasarana]]-data[[#This Row],[Nilai Kepuasan Dimensi Kualitas Sarana dan Prasarana]]</f>
        <v>1</v>
      </c>
      <c r="AP311" s="1">
        <v>0</v>
      </c>
      <c r="AQ311" s="1" t="s">
        <v>69</v>
      </c>
      <c r="AR311" s="1">
        <v>0</v>
      </c>
      <c r="AS311" s="1" t="s">
        <v>69</v>
      </c>
      <c r="AT311" s="1">
        <v>0</v>
      </c>
      <c r="AU311" s="1" t="s">
        <v>69</v>
      </c>
      <c r="AV311" s="1" t="s">
        <v>144</v>
      </c>
      <c r="AW311" s="1" t="s">
        <v>144</v>
      </c>
      <c r="AX311" s="1">
        <v>2</v>
      </c>
      <c r="AY311" s="1">
        <v>3</v>
      </c>
      <c r="AZ311" s="1" t="s">
        <v>248</v>
      </c>
      <c r="BA311" s="1" t="s">
        <v>79</v>
      </c>
      <c r="BB311" s="1" t="s">
        <v>1931</v>
      </c>
      <c r="BC311" s="1" t="s">
        <v>112</v>
      </c>
      <c r="BD311" s="1" t="s">
        <v>248</v>
      </c>
      <c r="BE311" s="1" t="s">
        <v>79</v>
      </c>
      <c r="BF311" s="5" t="s">
        <v>1898</v>
      </c>
    </row>
    <row r="312" spans="1:58" x14ac:dyDescent="0.35">
      <c r="A312" s="4">
        <v>311</v>
      </c>
      <c r="B312" s="1" t="s">
        <v>1932</v>
      </c>
      <c r="C312" s="1" t="s">
        <v>63</v>
      </c>
      <c r="D312" s="1" t="s">
        <v>397</v>
      </c>
      <c r="E312" s="1" t="s">
        <v>69</v>
      </c>
      <c r="F312" s="1" t="s">
        <v>69</v>
      </c>
      <c r="G312" s="1" t="s">
        <v>69</v>
      </c>
      <c r="H312" s="1" t="s">
        <v>69</v>
      </c>
      <c r="I312" s="1" t="s">
        <v>70</v>
      </c>
      <c r="J312" s="1" t="s">
        <v>1168</v>
      </c>
      <c r="K312" s="1">
        <v>55</v>
      </c>
      <c r="L312" s="1" t="s">
        <v>383</v>
      </c>
      <c r="M312" s="1" t="s">
        <v>273</v>
      </c>
      <c r="N312" s="1" t="s">
        <v>74</v>
      </c>
      <c r="O312" s="1">
        <v>3</v>
      </c>
      <c r="P312" s="1">
        <v>3</v>
      </c>
      <c r="Q312" s="1">
        <f>data[[#This Row],[Nilai Kepentingan Dimensi Persyaratan]]-data[[#This Row],[Nilai Kepuasan Dimensi Persyaratan]]</f>
        <v>0</v>
      </c>
      <c r="R312" s="1">
        <v>3</v>
      </c>
      <c r="S312" s="1">
        <v>3</v>
      </c>
      <c r="T312" s="1">
        <f>data[[#This Row],[Nilai Kepentingan Dimensi Prosedur]]-data[[#This Row],[Nilai Kepuasan Dimensi Prosedur]]</f>
        <v>0</v>
      </c>
      <c r="U312" s="1">
        <v>3</v>
      </c>
      <c r="V312" s="1">
        <v>3</v>
      </c>
      <c r="W312" s="1">
        <f>data[[#This Row],[Nilai Kepentingan Dimensi Waktu Pelayanan/Penyelesaian]]-data[[#This Row],[Nilai Kepuasan Dimensi Waktu Pelayanan/Penyelesaian]]</f>
        <v>0</v>
      </c>
      <c r="X312" s="1">
        <v>0</v>
      </c>
      <c r="Y312" s="1">
        <v>0</v>
      </c>
      <c r="Z312" s="1">
        <f>data[[#This Row],[Nilai Kepentingan Dimensi Tarif/ Biaya]]-data[[#This Row],[Nilai Kepuasan Dimensi Tarif / Biaya]]</f>
        <v>0</v>
      </c>
      <c r="AA312" s="1">
        <v>3</v>
      </c>
      <c r="AB312" s="1">
        <v>3</v>
      </c>
      <c r="AC312" s="1">
        <f>data[[#This Row],[Nilai Kepentingan Dimensi Produk Spesifikasi Jenis Layanan]]-data[[#This Row],[Nilai Kepuasan Dimensi Produk Spesifikasi Jenis Layanan]]</f>
        <v>0</v>
      </c>
      <c r="AD312" s="1">
        <v>3</v>
      </c>
      <c r="AE312" s="1">
        <v>3</v>
      </c>
      <c r="AF312" s="1">
        <f>data[[#This Row],[Nilai Kepentingan Dimensi Kompetensi Pelaksana]]-data[[#This Row],[Nilai Kepuasan Dimensi Kompetensi Pelaksana]]</f>
        <v>0</v>
      </c>
      <c r="AG312" s="1">
        <v>3</v>
      </c>
      <c r="AH312" s="1">
        <v>3</v>
      </c>
      <c r="AI312" s="1">
        <f>data[[#This Row],[Nilai Kepentingan Dimensi Perilaku Pelaksana]]-data[[#This Row],[Nilai Kepuasan Dimensi Perilaku Pelaksana]]</f>
        <v>0</v>
      </c>
      <c r="AJ312" s="1">
        <v>3</v>
      </c>
      <c r="AK312" s="1">
        <v>3</v>
      </c>
      <c r="AL312" s="1">
        <f>data[[#This Row],[Nilai Kepentingan Dimensi Penanganan Pengaduan, Saran &amp; Masukan]]-data[[#This Row],[Nilai Kepuasan Dimensi Penanganan Pengaduan, Saran &amp; Masukan]]</f>
        <v>0</v>
      </c>
      <c r="AM312" s="1">
        <v>3</v>
      </c>
      <c r="AN312" s="1">
        <v>4</v>
      </c>
      <c r="AO312" s="1">
        <f>data[[#This Row],[Nilai Kepentingan Dimensi Kualitas Sarana dan Prasarana]]-data[[#This Row],[Nilai Kepuasan Dimensi Kualitas Sarana dan Prasarana]]</f>
        <v>1</v>
      </c>
      <c r="AP312" s="1">
        <v>0</v>
      </c>
      <c r="AQ312" s="1" t="s">
        <v>69</v>
      </c>
      <c r="AR312" s="1">
        <v>0</v>
      </c>
      <c r="AS312" s="1" t="s">
        <v>69</v>
      </c>
      <c r="AT312" s="1">
        <v>0</v>
      </c>
      <c r="AU312" s="1" t="s">
        <v>69</v>
      </c>
      <c r="AV312" s="1" t="s">
        <v>379</v>
      </c>
      <c r="AW312" s="1" t="s">
        <v>77</v>
      </c>
      <c r="AX312" s="1">
        <v>2</v>
      </c>
      <c r="AY312" s="1">
        <v>3</v>
      </c>
      <c r="AZ312" s="1" t="s">
        <v>248</v>
      </c>
      <c r="BA312" s="1" t="s">
        <v>79</v>
      </c>
      <c r="BB312" s="1" t="s">
        <v>248</v>
      </c>
      <c r="BC312" s="1" t="s">
        <v>79</v>
      </c>
      <c r="BD312" s="1" t="s">
        <v>248</v>
      </c>
      <c r="BE312" s="1" t="s">
        <v>79</v>
      </c>
      <c r="BF312" s="5" t="s">
        <v>1898</v>
      </c>
    </row>
    <row r="313" spans="1:58" x14ac:dyDescent="0.35">
      <c r="A313" s="4">
        <v>312</v>
      </c>
      <c r="B313" s="1" t="s">
        <v>1936</v>
      </c>
      <c r="C313" s="1" t="s">
        <v>63</v>
      </c>
      <c r="D313" s="1" t="s">
        <v>136</v>
      </c>
      <c r="E313" s="1" t="s">
        <v>69</v>
      </c>
      <c r="F313" s="1" t="s">
        <v>69</v>
      </c>
      <c r="G313" s="1" t="s">
        <v>69</v>
      </c>
      <c r="H313" s="1" t="s">
        <v>69</v>
      </c>
      <c r="I313" s="1" t="s">
        <v>106</v>
      </c>
      <c r="J313" s="1" t="s">
        <v>1168</v>
      </c>
      <c r="K313" s="1">
        <v>26</v>
      </c>
      <c r="L313" s="1" t="s">
        <v>92</v>
      </c>
      <c r="M313" s="1" t="s">
        <v>73</v>
      </c>
      <c r="N313" s="1" t="s">
        <v>1853</v>
      </c>
      <c r="O313" s="1">
        <v>3</v>
      </c>
      <c r="P313" s="1">
        <v>4</v>
      </c>
      <c r="Q313" s="1">
        <f>data[[#This Row],[Nilai Kepentingan Dimensi Persyaratan]]-data[[#This Row],[Nilai Kepuasan Dimensi Persyaratan]]</f>
        <v>1</v>
      </c>
      <c r="R313" s="1">
        <v>3</v>
      </c>
      <c r="S313" s="1">
        <v>3</v>
      </c>
      <c r="T313" s="1">
        <f>data[[#This Row],[Nilai Kepentingan Dimensi Prosedur]]-data[[#This Row],[Nilai Kepuasan Dimensi Prosedur]]</f>
        <v>0</v>
      </c>
      <c r="U313" s="1">
        <v>3</v>
      </c>
      <c r="V313" s="1">
        <v>3</v>
      </c>
      <c r="W313" s="1">
        <f>data[[#This Row],[Nilai Kepentingan Dimensi Waktu Pelayanan/Penyelesaian]]-data[[#This Row],[Nilai Kepuasan Dimensi Waktu Pelayanan/Penyelesaian]]</f>
        <v>0</v>
      </c>
      <c r="X313" s="1">
        <v>0</v>
      </c>
      <c r="Y313" s="1">
        <v>0</v>
      </c>
      <c r="Z313" s="1">
        <f>data[[#This Row],[Nilai Kepentingan Dimensi Tarif/ Biaya]]-data[[#This Row],[Nilai Kepuasan Dimensi Tarif / Biaya]]</f>
        <v>0</v>
      </c>
      <c r="AA313" s="1">
        <v>3</v>
      </c>
      <c r="AB313" s="1">
        <v>3</v>
      </c>
      <c r="AC313" s="1">
        <f>data[[#This Row],[Nilai Kepentingan Dimensi Produk Spesifikasi Jenis Layanan]]-data[[#This Row],[Nilai Kepuasan Dimensi Produk Spesifikasi Jenis Layanan]]</f>
        <v>0</v>
      </c>
      <c r="AD313" s="1">
        <v>3</v>
      </c>
      <c r="AE313" s="1">
        <v>3</v>
      </c>
      <c r="AF313" s="1">
        <f>data[[#This Row],[Nilai Kepentingan Dimensi Kompetensi Pelaksana]]-data[[#This Row],[Nilai Kepuasan Dimensi Kompetensi Pelaksana]]</f>
        <v>0</v>
      </c>
      <c r="AG313" s="1">
        <v>3</v>
      </c>
      <c r="AH313" s="1">
        <v>3</v>
      </c>
      <c r="AI313" s="1">
        <f>data[[#This Row],[Nilai Kepentingan Dimensi Perilaku Pelaksana]]-data[[#This Row],[Nilai Kepuasan Dimensi Perilaku Pelaksana]]</f>
        <v>0</v>
      </c>
      <c r="AJ313" s="1">
        <v>3</v>
      </c>
      <c r="AK313" s="1">
        <v>3</v>
      </c>
      <c r="AL313" s="1">
        <f>data[[#This Row],[Nilai Kepentingan Dimensi Penanganan Pengaduan, Saran &amp; Masukan]]-data[[#This Row],[Nilai Kepuasan Dimensi Penanganan Pengaduan, Saran &amp; Masukan]]</f>
        <v>0</v>
      </c>
      <c r="AM313" s="1">
        <v>3</v>
      </c>
      <c r="AN313" s="1">
        <v>4</v>
      </c>
      <c r="AO313" s="1">
        <f>data[[#This Row],[Nilai Kepentingan Dimensi Kualitas Sarana dan Prasarana]]-data[[#This Row],[Nilai Kepuasan Dimensi Kualitas Sarana dan Prasarana]]</f>
        <v>1</v>
      </c>
      <c r="AP313" s="1">
        <v>0</v>
      </c>
      <c r="AQ313" s="1" t="s">
        <v>69</v>
      </c>
      <c r="AR313" s="1">
        <v>0</v>
      </c>
      <c r="AS313" s="1" t="s">
        <v>69</v>
      </c>
      <c r="AT313" s="1">
        <v>0</v>
      </c>
      <c r="AU313" s="1" t="s">
        <v>69</v>
      </c>
      <c r="AV313" s="1" t="s">
        <v>1499</v>
      </c>
      <c r="AW313" s="1" t="s">
        <v>450</v>
      </c>
      <c r="AX313" s="1">
        <v>2</v>
      </c>
      <c r="AY313" s="1">
        <v>3</v>
      </c>
      <c r="AZ313" s="1" t="s">
        <v>278</v>
      </c>
      <c r="BA313" s="1" t="s">
        <v>79</v>
      </c>
      <c r="BB313" s="1" t="s">
        <v>1940</v>
      </c>
      <c r="BC313" s="1" t="s">
        <v>157</v>
      </c>
      <c r="BD313" s="1" t="s">
        <v>278</v>
      </c>
      <c r="BE313" s="1" t="s">
        <v>79</v>
      </c>
      <c r="BF313" s="5" t="s">
        <v>1857</v>
      </c>
    </row>
    <row r="314" spans="1:58" x14ac:dyDescent="0.35">
      <c r="A314" s="4">
        <v>313</v>
      </c>
      <c r="B314" s="1" t="s">
        <v>1941</v>
      </c>
      <c r="C314" s="1" t="s">
        <v>63</v>
      </c>
      <c r="D314" s="1" t="s">
        <v>480</v>
      </c>
      <c r="E314" s="1" t="s">
        <v>69</v>
      </c>
      <c r="F314" s="1" t="s">
        <v>69</v>
      </c>
      <c r="G314" s="1" t="s">
        <v>69</v>
      </c>
      <c r="H314" s="1" t="s">
        <v>69</v>
      </c>
      <c r="I314" s="1" t="s">
        <v>106</v>
      </c>
      <c r="J314" s="1" t="s">
        <v>1168</v>
      </c>
      <c r="K314" s="1">
        <v>38</v>
      </c>
      <c r="L314" s="1" t="s">
        <v>153</v>
      </c>
      <c r="M314" s="1" t="s">
        <v>73</v>
      </c>
      <c r="N314" s="1" t="s">
        <v>74</v>
      </c>
      <c r="O314" s="1">
        <v>4</v>
      </c>
      <c r="P314" s="1">
        <v>3</v>
      </c>
      <c r="Q314" s="1">
        <f>data[[#This Row],[Nilai Kepentingan Dimensi Persyaratan]]-data[[#This Row],[Nilai Kepuasan Dimensi Persyaratan]]</f>
        <v>-1</v>
      </c>
      <c r="R314" s="1">
        <v>4</v>
      </c>
      <c r="S314" s="1">
        <v>3</v>
      </c>
      <c r="T314" s="1">
        <f>data[[#This Row],[Nilai Kepentingan Dimensi Prosedur]]-data[[#This Row],[Nilai Kepuasan Dimensi Prosedur]]</f>
        <v>-1</v>
      </c>
      <c r="U314" s="1">
        <v>3</v>
      </c>
      <c r="V314" s="1">
        <v>4</v>
      </c>
      <c r="W314" s="1">
        <f>data[[#This Row],[Nilai Kepentingan Dimensi Waktu Pelayanan/Penyelesaian]]-data[[#This Row],[Nilai Kepuasan Dimensi Waktu Pelayanan/Penyelesaian]]</f>
        <v>1</v>
      </c>
      <c r="X314" s="1">
        <v>0</v>
      </c>
      <c r="Y314" s="1">
        <v>0</v>
      </c>
      <c r="Z314" s="1">
        <f>data[[#This Row],[Nilai Kepentingan Dimensi Tarif/ Biaya]]-data[[#This Row],[Nilai Kepuasan Dimensi Tarif / Biaya]]</f>
        <v>0</v>
      </c>
      <c r="AA314" s="1">
        <v>4</v>
      </c>
      <c r="AB314" s="1">
        <v>4</v>
      </c>
      <c r="AC314" s="1">
        <f>data[[#This Row],[Nilai Kepentingan Dimensi Produk Spesifikasi Jenis Layanan]]-data[[#This Row],[Nilai Kepuasan Dimensi Produk Spesifikasi Jenis Layanan]]</f>
        <v>0</v>
      </c>
      <c r="AD314" s="1">
        <v>4</v>
      </c>
      <c r="AE314" s="1">
        <v>4</v>
      </c>
      <c r="AF314" s="1">
        <f>data[[#This Row],[Nilai Kepentingan Dimensi Kompetensi Pelaksana]]-data[[#This Row],[Nilai Kepuasan Dimensi Kompetensi Pelaksana]]</f>
        <v>0</v>
      </c>
      <c r="AG314" s="1">
        <v>4</v>
      </c>
      <c r="AH314" s="1">
        <v>3</v>
      </c>
      <c r="AI314" s="1">
        <f>data[[#This Row],[Nilai Kepentingan Dimensi Perilaku Pelaksana]]-data[[#This Row],[Nilai Kepuasan Dimensi Perilaku Pelaksana]]</f>
        <v>-1</v>
      </c>
      <c r="AJ314" s="1">
        <v>4</v>
      </c>
      <c r="AK314" s="1">
        <v>4</v>
      </c>
      <c r="AL314" s="1">
        <f>data[[#This Row],[Nilai Kepentingan Dimensi Penanganan Pengaduan, Saran &amp; Masukan]]-data[[#This Row],[Nilai Kepuasan Dimensi Penanganan Pengaduan, Saran &amp; Masukan]]</f>
        <v>0</v>
      </c>
      <c r="AM314" s="1">
        <v>4</v>
      </c>
      <c r="AN314" s="1">
        <v>3</v>
      </c>
      <c r="AO314" s="1">
        <f>data[[#This Row],[Nilai Kepentingan Dimensi Kualitas Sarana dan Prasarana]]-data[[#This Row],[Nilai Kepuasan Dimensi Kualitas Sarana dan Prasarana]]</f>
        <v>-1</v>
      </c>
      <c r="AP314" s="1">
        <v>0</v>
      </c>
      <c r="AQ314" s="1" t="s">
        <v>69</v>
      </c>
      <c r="AR314" s="1">
        <v>0</v>
      </c>
      <c r="AS314" s="1" t="s">
        <v>69</v>
      </c>
      <c r="AT314" s="1">
        <v>4</v>
      </c>
      <c r="AU314" s="1" t="s">
        <v>75</v>
      </c>
      <c r="AV314" s="1" t="s">
        <v>83</v>
      </c>
      <c r="AW314" s="1" t="s">
        <v>96</v>
      </c>
      <c r="AX314" s="1">
        <v>0</v>
      </c>
      <c r="AY314" s="1">
        <v>0</v>
      </c>
      <c r="AZ314" s="1" t="s">
        <v>985</v>
      </c>
      <c r="BA314" s="1" t="s">
        <v>79</v>
      </c>
      <c r="BB314" s="1" t="s">
        <v>1946</v>
      </c>
      <c r="BC314" s="1" t="s">
        <v>157</v>
      </c>
      <c r="BD314" s="1" t="s">
        <v>985</v>
      </c>
      <c r="BE314" s="1" t="s">
        <v>79</v>
      </c>
      <c r="BF314" s="5" t="s">
        <v>83</v>
      </c>
    </row>
    <row r="315" spans="1:58" x14ac:dyDescent="0.35">
      <c r="A315" s="4">
        <v>314</v>
      </c>
      <c r="B315" s="1" t="s">
        <v>1947</v>
      </c>
      <c r="C315" s="1" t="s">
        <v>63</v>
      </c>
      <c r="D315" s="1" t="s">
        <v>480</v>
      </c>
      <c r="E315" s="1" t="s">
        <v>69</v>
      </c>
      <c r="F315" s="1" t="s">
        <v>69</v>
      </c>
      <c r="G315" s="1" t="s">
        <v>69</v>
      </c>
      <c r="H315" s="1" t="s">
        <v>69</v>
      </c>
      <c r="I315" s="1" t="s">
        <v>106</v>
      </c>
      <c r="J315" s="1" t="s">
        <v>1168</v>
      </c>
      <c r="K315" s="1">
        <v>56</v>
      </c>
      <c r="L315" s="1" t="s">
        <v>182</v>
      </c>
      <c r="M315" s="1" t="s">
        <v>93</v>
      </c>
      <c r="N315" s="1" t="s">
        <v>110</v>
      </c>
      <c r="O315" s="1">
        <v>3</v>
      </c>
      <c r="P315" s="1">
        <v>3</v>
      </c>
      <c r="Q315" s="1">
        <f>data[[#This Row],[Nilai Kepentingan Dimensi Persyaratan]]-data[[#This Row],[Nilai Kepuasan Dimensi Persyaratan]]</f>
        <v>0</v>
      </c>
      <c r="R315" s="1">
        <v>2</v>
      </c>
      <c r="S315" s="1">
        <v>3</v>
      </c>
      <c r="T315" s="1">
        <f>data[[#This Row],[Nilai Kepentingan Dimensi Prosedur]]-data[[#This Row],[Nilai Kepuasan Dimensi Prosedur]]</f>
        <v>1</v>
      </c>
      <c r="U315" s="1">
        <v>2</v>
      </c>
      <c r="V315" s="1">
        <v>4</v>
      </c>
      <c r="W315" s="1">
        <f>data[[#This Row],[Nilai Kepentingan Dimensi Waktu Pelayanan/Penyelesaian]]-data[[#This Row],[Nilai Kepuasan Dimensi Waktu Pelayanan/Penyelesaian]]</f>
        <v>2</v>
      </c>
      <c r="X315" s="1">
        <v>0</v>
      </c>
      <c r="Y315" s="1">
        <v>0</v>
      </c>
      <c r="Z315" s="1">
        <f>data[[#This Row],[Nilai Kepentingan Dimensi Tarif/ Biaya]]-data[[#This Row],[Nilai Kepuasan Dimensi Tarif / Biaya]]</f>
        <v>0</v>
      </c>
      <c r="AA315" s="1">
        <v>3</v>
      </c>
      <c r="AB315" s="1">
        <v>4</v>
      </c>
      <c r="AC315" s="1">
        <f>data[[#This Row],[Nilai Kepentingan Dimensi Produk Spesifikasi Jenis Layanan]]-data[[#This Row],[Nilai Kepuasan Dimensi Produk Spesifikasi Jenis Layanan]]</f>
        <v>1</v>
      </c>
      <c r="AD315" s="1">
        <v>3</v>
      </c>
      <c r="AE315" s="1">
        <v>4</v>
      </c>
      <c r="AF315" s="1">
        <f>data[[#This Row],[Nilai Kepentingan Dimensi Kompetensi Pelaksana]]-data[[#This Row],[Nilai Kepuasan Dimensi Kompetensi Pelaksana]]</f>
        <v>1</v>
      </c>
      <c r="AG315" s="1">
        <v>4</v>
      </c>
      <c r="AH315" s="1">
        <v>3</v>
      </c>
      <c r="AI315" s="1">
        <f>data[[#This Row],[Nilai Kepentingan Dimensi Perilaku Pelaksana]]-data[[#This Row],[Nilai Kepuasan Dimensi Perilaku Pelaksana]]</f>
        <v>-1</v>
      </c>
      <c r="AJ315" s="1">
        <v>4</v>
      </c>
      <c r="AK315" s="1">
        <v>3</v>
      </c>
      <c r="AL315" s="1">
        <f>data[[#This Row],[Nilai Kepentingan Dimensi Penanganan Pengaduan, Saran &amp; Masukan]]-data[[#This Row],[Nilai Kepuasan Dimensi Penanganan Pengaduan, Saran &amp; Masukan]]</f>
        <v>-1</v>
      </c>
      <c r="AM315" s="1">
        <v>4</v>
      </c>
      <c r="AN315" s="1">
        <v>3</v>
      </c>
      <c r="AO315" s="1">
        <f>data[[#This Row],[Nilai Kepentingan Dimensi Kualitas Sarana dan Prasarana]]-data[[#This Row],[Nilai Kepuasan Dimensi Kualitas Sarana dan Prasarana]]</f>
        <v>-1</v>
      </c>
      <c r="AP315" s="1">
        <v>4</v>
      </c>
      <c r="AQ315" s="1" t="s">
        <v>75</v>
      </c>
      <c r="AR315" s="1">
        <v>0</v>
      </c>
      <c r="AS315" s="1" t="s">
        <v>69</v>
      </c>
      <c r="AT315" s="1">
        <v>0</v>
      </c>
      <c r="AU315" s="1" t="s">
        <v>69</v>
      </c>
      <c r="AV315" s="1" t="s">
        <v>83</v>
      </c>
      <c r="AW315" s="1" t="s">
        <v>96</v>
      </c>
      <c r="AX315" s="1">
        <v>0</v>
      </c>
      <c r="AY315" s="1">
        <v>0</v>
      </c>
      <c r="AZ315" s="1" t="s">
        <v>985</v>
      </c>
      <c r="BA315" s="1" t="s">
        <v>79</v>
      </c>
      <c r="BB315" s="1" t="s">
        <v>1951</v>
      </c>
      <c r="BC315" s="1" t="s">
        <v>157</v>
      </c>
      <c r="BD315" s="1" t="s">
        <v>985</v>
      </c>
      <c r="BE315" s="1" t="s">
        <v>79</v>
      </c>
      <c r="BF315" s="5" t="s">
        <v>83</v>
      </c>
    </row>
    <row r="316" spans="1:58" x14ac:dyDescent="0.35">
      <c r="A316" s="4">
        <v>315</v>
      </c>
      <c r="B316" s="1" t="s">
        <v>1952</v>
      </c>
      <c r="C316" s="1" t="s">
        <v>1954</v>
      </c>
      <c r="D316" s="1" t="s">
        <v>1409</v>
      </c>
      <c r="E316" s="1" t="s">
        <v>69</v>
      </c>
      <c r="F316" s="1" t="s">
        <v>69</v>
      </c>
      <c r="G316" s="1" t="s">
        <v>69</v>
      </c>
      <c r="H316" s="1" t="s">
        <v>69</v>
      </c>
      <c r="I316" s="1" t="s">
        <v>106</v>
      </c>
      <c r="J316" s="1" t="s">
        <v>1168</v>
      </c>
      <c r="K316" s="1">
        <v>46</v>
      </c>
      <c r="L316" s="1" t="s">
        <v>225</v>
      </c>
      <c r="M316" s="1" t="s">
        <v>93</v>
      </c>
      <c r="N316" s="1" t="s">
        <v>154</v>
      </c>
      <c r="O316" s="1">
        <v>3</v>
      </c>
      <c r="P316" s="1">
        <v>3</v>
      </c>
      <c r="Q316" s="1">
        <f>data[[#This Row],[Nilai Kepentingan Dimensi Persyaratan]]-data[[#This Row],[Nilai Kepuasan Dimensi Persyaratan]]</f>
        <v>0</v>
      </c>
      <c r="R316" s="1">
        <v>3</v>
      </c>
      <c r="S316" s="1">
        <v>3</v>
      </c>
      <c r="T316" s="1">
        <f>data[[#This Row],[Nilai Kepentingan Dimensi Prosedur]]-data[[#This Row],[Nilai Kepuasan Dimensi Prosedur]]</f>
        <v>0</v>
      </c>
      <c r="U316" s="1">
        <v>3</v>
      </c>
      <c r="V316" s="1">
        <v>3</v>
      </c>
      <c r="W316" s="1">
        <f>data[[#This Row],[Nilai Kepentingan Dimensi Waktu Pelayanan/Penyelesaian]]-data[[#This Row],[Nilai Kepuasan Dimensi Waktu Pelayanan/Penyelesaian]]</f>
        <v>0</v>
      </c>
      <c r="X316" s="1">
        <v>0</v>
      </c>
      <c r="Y316" s="1">
        <v>0</v>
      </c>
      <c r="Z316" s="1">
        <f>data[[#This Row],[Nilai Kepentingan Dimensi Tarif/ Biaya]]-data[[#This Row],[Nilai Kepuasan Dimensi Tarif / Biaya]]</f>
        <v>0</v>
      </c>
      <c r="AA316" s="1">
        <v>3</v>
      </c>
      <c r="AB316" s="1">
        <v>3</v>
      </c>
      <c r="AC316" s="1">
        <f>data[[#This Row],[Nilai Kepentingan Dimensi Produk Spesifikasi Jenis Layanan]]-data[[#This Row],[Nilai Kepuasan Dimensi Produk Spesifikasi Jenis Layanan]]</f>
        <v>0</v>
      </c>
      <c r="AD316" s="1">
        <v>3</v>
      </c>
      <c r="AE316" s="1">
        <v>3</v>
      </c>
      <c r="AF316" s="1">
        <f>data[[#This Row],[Nilai Kepentingan Dimensi Kompetensi Pelaksana]]-data[[#This Row],[Nilai Kepuasan Dimensi Kompetensi Pelaksana]]</f>
        <v>0</v>
      </c>
      <c r="AG316" s="1">
        <v>3</v>
      </c>
      <c r="AH316" s="1">
        <v>3</v>
      </c>
      <c r="AI316" s="1">
        <f>data[[#This Row],[Nilai Kepentingan Dimensi Perilaku Pelaksana]]-data[[#This Row],[Nilai Kepuasan Dimensi Perilaku Pelaksana]]</f>
        <v>0</v>
      </c>
      <c r="AJ316" s="1">
        <v>3</v>
      </c>
      <c r="AK316" s="1">
        <v>3</v>
      </c>
      <c r="AL316" s="1">
        <f>data[[#This Row],[Nilai Kepentingan Dimensi Penanganan Pengaduan, Saran &amp; Masukan]]-data[[#This Row],[Nilai Kepuasan Dimensi Penanganan Pengaduan, Saran &amp; Masukan]]</f>
        <v>0</v>
      </c>
      <c r="AM316" s="1">
        <v>3</v>
      </c>
      <c r="AN316" s="1">
        <v>3</v>
      </c>
      <c r="AO316" s="1">
        <f>data[[#This Row],[Nilai Kepentingan Dimensi Kualitas Sarana dan Prasarana]]-data[[#This Row],[Nilai Kepuasan Dimensi Kualitas Sarana dan Prasarana]]</f>
        <v>0</v>
      </c>
      <c r="AP316" s="1">
        <v>0</v>
      </c>
      <c r="AQ316" s="1" t="s">
        <v>69</v>
      </c>
      <c r="AR316" s="1">
        <v>0</v>
      </c>
      <c r="AS316" s="1" t="s">
        <v>69</v>
      </c>
      <c r="AT316" s="1">
        <v>3</v>
      </c>
      <c r="AU316" s="1" t="s">
        <v>75</v>
      </c>
      <c r="AV316" s="1" t="s">
        <v>83</v>
      </c>
      <c r="AW316" s="1" t="s">
        <v>96</v>
      </c>
      <c r="AX316" s="1">
        <v>0</v>
      </c>
      <c r="AY316" s="1">
        <v>0</v>
      </c>
      <c r="AZ316" s="1" t="s">
        <v>1958</v>
      </c>
      <c r="BA316" s="1" t="s">
        <v>79</v>
      </c>
      <c r="BB316" s="1" t="s">
        <v>1958</v>
      </c>
      <c r="BC316" s="1" t="s">
        <v>79</v>
      </c>
      <c r="BD316" s="1" t="s">
        <v>1959</v>
      </c>
      <c r="BE316" s="1" t="s">
        <v>190</v>
      </c>
      <c r="BF316" s="5" t="s">
        <v>83</v>
      </c>
    </row>
    <row r="317" spans="1:58" x14ac:dyDescent="0.35">
      <c r="A317" s="4">
        <v>316</v>
      </c>
      <c r="B317" s="1" t="s">
        <v>1960</v>
      </c>
      <c r="C317" s="1" t="s">
        <v>1962</v>
      </c>
      <c r="D317" s="1" t="s">
        <v>1963</v>
      </c>
      <c r="E317" s="1" t="s">
        <v>69</v>
      </c>
      <c r="F317" s="1" t="s">
        <v>69</v>
      </c>
      <c r="G317" s="1" t="s">
        <v>69</v>
      </c>
      <c r="H317" s="1" t="s">
        <v>69</v>
      </c>
      <c r="I317" s="1" t="s">
        <v>106</v>
      </c>
      <c r="J317" s="1" t="s">
        <v>1180</v>
      </c>
      <c r="K317" s="1">
        <v>37</v>
      </c>
      <c r="L317" s="1" t="s">
        <v>153</v>
      </c>
      <c r="M317" s="1" t="s">
        <v>93</v>
      </c>
      <c r="N317" s="1" t="s">
        <v>74</v>
      </c>
      <c r="O317" s="1">
        <v>3</v>
      </c>
      <c r="P317" s="1">
        <v>4</v>
      </c>
      <c r="Q317" s="1">
        <f>data[[#This Row],[Nilai Kepentingan Dimensi Persyaratan]]-data[[#This Row],[Nilai Kepuasan Dimensi Persyaratan]]</f>
        <v>1</v>
      </c>
      <c r="R317" s="1">
        <v>4</v>
      </c>
      <c r="S317" s="1">
        <v>4</v>
      </c>
      <c r="T317" s="1">
        <f>data[[#This Row],[Nilai Kepentingan Dimensi Prosedur]]-data[[#This Row],[Nilai Kepuasan Dimensi Prosedur]]</f>
        <v>0</v>
      </c>
      <c r="U317" s="1">
        <v>3</v>
      </c>
      <c r="V317" s="1">
        <v>3</v>
      </c>
      <c r="W317" s="1">
        <f>data[[#This Row],[Nilai Kepentingan Dimensi Waktu Pelayanan/Penyelesaian]]-data[[#This Row],[Nilai Kepuasan Dimensi Waktu Pelayanan/Penyelesaian]]</f>
        <v>0</v>
      </c>
      <c r="X317" s="1">
        <v>0</v>
      </c>
      <c r="Y317" s="1">
        <v>0</v>
      </c>
      <c r="Z317" s="1">
        <f>data[[#This Row],[Nilai Kepentingan Dimensi Tarif/ Biaya]]-data[[#This Row],[Nilai Kepuasan Dimensi Tarif / Biaya]]</f>
        <v>0</v>
      </c>
      <c r="AA317" s="1">
        <v>4</v>
      </c>
      <c r="AB317" s="1">
        <v>4</v>
      </c>
      <c r="AC317" s="1">
        <f>data[[#This Row],[Nilai Kepentingan Dimensi Produk Spesifikasi Jenis Layanan]]-data[[#This Row],[Nilai Kepuasan Dimensi Produk Spesifikasi Jenis Layanan]]</f>
        <v>0</v>
      </c>
      <c r="AD317" s="1">
        <v>3</v>
      </c>
      <c r="AE317" s="1">
        <v>3</v>
      </c>
      <c r="AF317" s="1">
        <f>data[[#This Row],[Nilai Kepentingan Dimensi Kompetensi Pelaksana]]-data[[#This Row],[Nilai Kepuasan Dimensi Kompetensi Pelaksana]]</f>
        <v>0</v>
      </c>
      <c r="AG317" s="1">
        <v>3</v>
      </c>
      <c r="AH317" s="1">
        <v>3</v>
      </c>
      <c r="AI317" s="1">
        <f>data[[#This Row],[Nilai Kepentingan Dimensi Perilaku Pelaksana]]-data[[#This Row],[Nilai Kepuasan Dimensi Perilaku Pelaksana]]</f>
        <v>0</v>
      </c>
      <c r="AJ317" s="1">
        <v>3</v>
      </c>
      <c r="AK317" s="1">
        <v>3</v>
      </c>
      <c r="AL317" s="1">
        <f>data[[#This Row],[Nilai Kepentingan Dimensi Penanganan Pengaduan, Saran &amp; Masukan]]-data[[#This Row],[Nilai Kepuasan Dimensi Penanganan Pengaduan, Saran &amp; Masukan]]</f>
        <v>0</v>
      </c>
      <c r="AM317" s="1">
        <v>3</v>
      </c>
      <c r="AN317" s="1">
        <v>3</v>
      </c>
      <c r="AO317" s="1">
        <f>data[[#This Row],[Nilai Kepentingan Dimensi Kualitas Sarana dan Prasarana]]-data[[#This Row],[Nilai Kepuasan Dimensi Kualitas Sarana dan Prasarana]]</f>
        <v>0</v>
      </c>
      <c r="AP317" s="1">
        <v>0</v>
      </c>
      <c r="AQ317" s="1" t="s">
        <v>69</v>
      </c>
      <c r="AR317" s="1">
        <v>0</v>
      </c>
      <c r="AS317" s="1" t="s">
        <v>69</v>
      </c>
      <c r="AT317" s="1">
        <v>3</v>
      </c>
      <c r="AU317" s="1" t="s">
        <v>75</v>
      </c>
      <c r="AV317" s="1" t="s">
        <v>83</v>
      </c>
      <c r="AW317" s="1" t="s">
        <v>96</v>
      </c>
      <c r="AX317" s="1">
        <v>0</v>
      </c>
      <c r="AY317" s="1">
        <v>0</v>
      </c>
      <c r="AZ317" s="1" t="s">
        <v>1967</v>
      </c>
      <c r="BA317" s="1" t="s">
        <v>79</v>
      </c>
      <c r="BB317" s="1" t="s">
        <v>1968</v>
      </c>
      <c r="BC317" s="1" t="s">
        <v>112</v>
      </c>
      <c r="BD317" s="1" t="s">
        <v>503</v>
      </c>
      <c r="BE317" s="1" t="s">
        <v>79</v>
      </c>
      <c r="BF317" s="5" t="s">
        <v>83</v>
      </c>
    </row>
    <row r="318" spans="1:58" x14ac:dyDescent="0.35">
      <c r="A318" s="4">
        <v>317</v>
      </c>
      <c r="B318" s="1" t="s">
        <v>1969</v>
      </c>
      <c r="C318" s="1" t="s">
        <v>63</v>
      </c>
      <c r="D318" s="1" t="s">
        <v>125</v>
      </c>
      <c r="E318" s="1" t="s">
        <v>69</v>
      </c>
      <c r="F318" s="1" t="s">
        <v>69</v>
      </c>
      <c r="G318" s="1" t="s">
        <v>69</v>
      </c>
      <c r="H318" s="1" t="s">
        <v>69</v>
      </c>
      <c r="I318" s="1" t="s">
        <v>106</v>
      </c>
      <c r="J318" s="1" t="s">
        <v>1168</v>
      </c>
      <c r="K318" s="1">
        <v>30</v>
      </c>
      <c r="L318" s="1" t="s">
        <v>92</v>
      </c>
      <c r="M318" s="1" t="s">
        <v>73</v>
      </c>
      <c r="N318" s="1" t="s">
        <v>74</v>
      </c>
      <c r="O318" s="1">
        <v>4</v>
      </c>
      <c r="P318" s="1">
        <v>4</v>
      </c>
      <c r="Q318" s="1">
        <f>data[[#This Row],[Nilai Kepentingan Dimensi Persyaratan]]-data[[#This Row],[Nilai Kepuasan Dimensi Persyaratan]]</f>
        <v>0</v>
      </c>
      <c r="R318" s="1">
        <v>4</v>
      </c>
      <c r="S318" s="1">
        <v>4</v>
      </c>
      <c r="T318" s="1">
        <f>data[[#This Row],[Nilai Kepentingan Dimensi Prosedur]]-data[[#This Row],[Nilai Kepuasan Dimensi Prosedur]]</f>
        <v>0</v>
      </c>
      <c r="U318" s="1">
        <v>4</v>
      </c>
      <c r="V318" s="1">
        <v>4</v>
      </c>
      <c r="W318" s="1">
        <f>data[[#This Row],[Nilai Kepentingan Dimensi Waktu Pelayanan/Penyelesaian]]-data[[#This Row],[Nilai Kepuasan Dimensi Waktu Pelayanan/Penyelesaian]]</f>
        <v>0</v>
      </c>
      <c r="X318" s="1">
        <v>0</v>
      </c>
      <c r="Y318" s="1">
        <v>0</v>
      </c>
      <c r="Z318" s="1">
        <f>data[[#This Row],[Nilai Kepentingan Dimensi Tarif/ Biaya]]-data[[#This Row],[Nilai Kepuasan Dimensi Tarif / Biaya]]</f>
        <v>0</v>
      </c>
      <c r="AA318" s="1">
        <v>4</v>
      </c>
      <c r="AB318" s="1">
        <v>4</v>
      </c>
      <c r="AC318" s="1">
        <f>data[[#This Row],[Nilai Kepentingan Dimensi Produk Spesifikasi Jenis Layanan]]-data[[#This Row],[Nilai Kepuasan Dimensi Produk Spesifikasi Jenis Layanan]]</f>
        <v>0</v>
      </c>
      <c r="AD318" s="1">
        <v>4</v>
      </c>
      <c r="AE318" s="1">
        <v>4</v>
      </c>
      <c r="AF318" s="1">
        <f>data[[#This Row],[Nilai Kepentingan Dimensi Kompetensi Pelaksana]]-data[[#This Row],[Nilai Kepuasan Dimensi Kompetensi Pelaksana]]</f>
        <v>0</v>
      </c>
      <c r="AG318" s="1">
        <v>4</v>
      </c>
      <c r="AH318" s="1">
        <v>4</v>
      </c>
      <c r="AI318" s="1">
        <f>data[[#This Row],[Nilai Kepentingan Dimensi Perilaku Pelaksana]]-data[[#This Row],[Nilai Kepuasan Dimensi Perilaku Pelaksana]]</f>
        <v>0</v>
      </c>
      <c r="AJ318" s="1">
        <v>4</v>
      </c>
      <c r="AK318" s="1">
        <v>4</v>
      </c>
      <c r="AL318" s="1">
        <f>data[[#This Row],[Nilai Kepentingan Dimensi Penanganan Pengaduan, Saran &amp; Masukan]]-data[[#This Row],[Nilai Kepuasan Dimensi Penanganan Pengaduan, Saran &amp; Masukan]]</f>
        <v>0</v>
      </c>
      <c r="AM318" s="1">
        <v>3</v>
      </c>
      <c r="AN318" s="1">
        <v>3</v>
      </c>
      <c r="AO318" s="1">
        <f>data[[#This Row],[Nilai Kepentingan Dimensi Kualitas Sarana dan Prasarana]]-data[[#This Row],[Nilai Kepuasan Dimensi Kualitas Sarana dan Prasarana]]</f>
        <v>0</v>
      </c>
      <c r="AP318" s="1">
        <v>0</v>
      </c>
      <c r="AQ318" s="1" t="s">
        <v>69</v>
      </c>
      <c r="AR318" s="1">
        <v>0</v>
      </c>
      <c r="AS318" s="1" t="s">
        <v>69</v>
      </c>
      <c r="AT318" s="1">
        <v>4</v>
      </c>
      <c r="AU318" s="1" t="s">
        <v>69</v>
      </c>
      <c r="AV318" s="1" t="s">
        <v>83</v>
      </c>
      <c r="AW318" s="1" t="s">
        <v>96</v>
      </c>
      <c r="AX318" s="1">
        <v>0</v>
      </c>
      <c r="AY318" s="1">
        <v>0</v>
      </c>
      <c r="AZ318" s="1" t="s">
        <v>1974</v>
      </c>
      <c r="BA318" s="1" t="s">
        <v>112</v>
      </c>
      <c r="BB318" s="1" t="s">
        <v>248</v>
      </c>
      <c r="BC318" s="1" t="s">
        <v>79</v>
      </c>
      <c r="BD318" s="1" t="s">
        <v>528</v>
      </c>
      <c r="BE318" s="1" t="s">
        <v>79</v>
      </c>
      <c r="BF318" s="5" t="s">
        <v>83</v>
      </c>
    </row>
    <row r="319" spans="1:58" x14ac:dyDescent="0.35">
      <c r="A319" s="4">
        <v>318</v>
      </c>
      <c r="B319" s="1" t="s">
        <v>1975</v>
      </c>
      <c r="C319" s="1" t="s">
        <v>352</v>
      </c>
      <c r="D319" s="1" t="s">
        <v>1977</v>
      </c>
      <c r="E319" s="1" t="s">
        <v>69</v>
      </c>
      <c r="F319" s="1" t="s">
        <v>69</v>
      </c>
      <c r="G319" s="1" t="s">
        <v>69</v>
      </c>
      <c r="H319" s="1" t="s">
        <v>69</v>
      </c>
      <c r="I319" s="1" t="s">
        <v>70</v>
      </c>
      <c r="J319" s="1" t="s">
        <v>1168</v>
      </c>
      <c r="K319" s="1">
        <v>55</v>
      </c>
      <c r="L319" s="1" t="s">
        <v>383</v>
      </c>
      <c r="M319" s="1" t="s">
        <v>73</v>
      </c>
      <c r="N319" s="1" t="s">
        <v>74</v>
      </c>
      <c r="O319" s="1">
        <v>3</v>
      </c>
      <c r="P319" s="1">
        <v>3</v>
      </c>
      <c r="Q319" s="1">
        <f>data[[#This Row],[Nilai Kepentingan Dimensi Persyaratan]]-data[[#This Row],[Nilai Kepuasan Dimensi Persyaratan]]</f>
        <v>0</v>
      </c>
      <c r="R319" s="1">
        <v>4</v>
      </c>
      <c r="S319" s="1">
        <v>4</v>
      </c>
      <c r="T319" s="1">
        <f>data[[#This Row],[Nilai Kepentingan Dimensi Prosedur]]-data[[#This Row],[Nilai Kepuasan Dimensi Prosedur]]</f>
        <v>0</v>
      </c>
      <c r="U319" s="1">
        <v>4</v>
      </c>
      <c r="V319" s="1">
        <v>4</v>
      </c>
      <c r="W319" s="1">
        <f>data[[#This Row],[Nilai Kepentingan Dimensi Waktu Pelayanan/Penyelesaian]]-data[[#This Row],[Nilai Kepuasan Dimensi Waktu Pelayanan/Penyelesaian]]</f>
        <v>0</v>
      </c>
      <c r="X319" s="1">
        <v>0</v>
      </c>
      <c r="Y319" s="1">
        <v>0</v>
      </c>
      <c r="Z319" s="1">
        <f>data[[#This Row],[Nilai Kepentingan Dimensi Tarif/ Biaya]]-data[[#This Row],[Nilai Kepuasan Dimensi Tarif / Biaya]]</f>
        <v>0</v>
      </c>
      <c r="AA319" s="1">
        <v>3</v>
      </c>
      <c r="AB319" s="1">
        <v>3</v>
      </c>
      <c r="AC319" s="1">
        <f>data[[#This Row],[Nilai Kepentingan Dimensi Produk Spesifikasi Jenis Layanan]]-data[[#This Row],[Nilai Kepuasan Dimensi Produk Spesifikasi Jenis Layanan]]</f>
        <v>0</v>
      </c>
      <c r="AD319" s="1">
        <v>3</v>
      </c>
      <c r="AE319" s="1">
        <v>3</v>
      </c>
      <c r="AF319" s="1">
        <f>data[[#This Row],[Nilai Kepentingan Dimensi Kompetensi Pelaksana]]-data[[#This Row],[Nilai Kepuasan Dimensi Kompetensi Pelaksana]]</f>
        <v>0</v>
      </c>
      <c r="AG319" s="1">
        <v>3</v>
      </c>
      <c r="AH319" s="1">
        <v>3</v>
      </c>
      <c r="AI319" s="1">
        <f>data[[#This Row],[Nilai Kepentingan Dimensi Perilaku Pelaksana]]-data[[#This Row],[Nilai Kepuasan Dimensi Perilaku Pelaksana]]</f>
        <v>0</v>
      </c>
      <c r="AJ319" s="1">
        <v>3</v>
      </c>
      <c r="AK319" s="1">
        <v>3</v>
      </c>
      <c r="AL319" s="1">
        <f>data[[#This Row],[Nilai Kepentingan Dimensi Penanganan Pengaduan, Saran &amp; Masukan]]-data[[#This Row],[Nilai Kepuasan Dimensi Penanganan Pengaduan, Saran &amp; Masukan]]</f>
        <v>0</v>
      </c>
      <c r="AM319" s="1">
        <v>3</v>
      </c>
      <c r="AN319" s="1">
        <v>3</v>
      </c>
      <c r="AO319" s="1">
        <f>data[[#This Row],[Nilai Kepentingan Dimensi Kualitas Sarana dan Prasarana]]-data[[#This Row],[Nilai Kepuasan Dimensi Kualitas Sarana dan Prasarana]]</f>
        <v>0</v>
      </c>
      <c r="AP319" s="1">
        <v>0</v>
      </c>
      <c r="AQ319" s="1" t="s">
        <v>69</v>
      </c>
      <c r="AR319" s="1">
        <v>0</v>
      </c>
      <c r="AS319" s="1" t="s">
        <v>69</v>
      </c>
      <c r="AT319" s="1">
        <v>4</v>
      </c>
      <c r="AU319" s="1" t="s">
        <v>75</v>
      </c>
      <c r="AV319" s="1" t="s">
        <v>1980</v>
      </c>
      <c r="AW319" s="1" t="s">
        <v>450</v>
      </c>
      <c r="AX319" s="1">
        <v>1</v>
      </c>
      <c r="AY319" s="1">
        <v>4</v>
      </c>
      <c r="AZ319" s="1" t="s">
        <v>1981</v>
      </c>
      <c r="BA319" s="1" t="s">
        <v>99</v>
      </c>
      <c r="BB319" s="1" t="s">
        <v>1305</v>
      </c>
      <c r="BC319" s="1" t="s">
        <v>81</v>
      </c>
      <c r="BD319" s="1" t="s">
        <v>1982</v>
      </c>
      <c r="BE319" s="1" t="s">
        <v>79</v>
      </c>
      <c r="BF319" s="5" t="s">
        <v>83</v>
      </c>
    </row>
    <row r="320" spans="1:58" x14ac:dyDescent="0.35">
      <c r="A320" s="4">
        <v>319</v>
      </c>
      <c r="B320" s="1" t="s">
        <v>1983</v>
      </c>
      <c r="C320" s="1" t="s">
        <v>63</v>
      </c>
      <c r="D320" s="1" t="s">
        <v>1372</v>
      </c>
      <c r="E320" s="1" t="s">
        <v>69</v>
      </c>
      <c r="F320" s="1" t="s">
        <v>69</v>
      </c>
      <c r="G320" s="1" t="s">
        <v>69</v>
      </c>
      <c r="H320" s="1" t="s">
        <v>69</v>
      </c>
      <c r="I320" s="1" t="s">
        <v>70</v>
      </c>
      <c r="J320" s="1" t="s">
        <v>1168</v>
      </c>
      <c r="K320" s="1">
        <v>56</v>
      </c>
      <c r="L320" s="1" t="s">
        <v>182</v>
      </c>
      <c r="M320" s="1" t="s">
        <v>273</v>
      </c>
      <c r="N320" s="1" t="s">
        <v>232</v>
      </c>
      <c r="O320" s="1">
        <v>4</v>
      </c>
      <c r="P320" s="1">
        <v>4</v>
      </c>
      <c r="Q320" s="1">
        <f>data[[#This Row],[Nilai Kepentingan Dimensi Persyaratan]]-data[[#This Row],[Nilai Kepuasan Dimensi Persyaratan]]</f>
        <v>0</v>
      </c>
      <c r="R320" s="1">
        <v>4</v>
      </c>
      <c r="S320" s="1">
        <v>4</v>
      </c>
      <c r="T320" s="1">
        <f>data[[#This Row],[Nilai Kepentingan Dimensi Prosedur]]-data[[#This Row],[Nilai Kepuasan Dimensi Prosedur]]</f>
        <v>0</v>
      </c>
      <c r="U320" s="1">
        <v>4</v>
      </c>
      <c r="V320" s="1">
        <v>4</v>
      </c>
      <c r="W320" s="1">
        <f>data[[#This Row],[Nilai Kepentingan Dimensi Waktu Pelayanan/Penyelesaian]]-data[[#This Row],[Nilai Kepuasan Dimensi Waktu Pelayanan/Penyelesaian]]</f>
        <v>0</v>
      </c>
      <c r="X320" s="1">
        <v>0</v>
      </c>
      <c r="Y320" s="1">
        <v>0</v>
      </c>
      <c r="Z320" s="1">
        <f>data[[#This Row],[Nilai Kepentingan Dimensi Tarif/ Biaya]]-data[[#This Row],[Nilai Kepuasan Dimensi Tarif / Biaya]]</f>
        <v>0</v>
      </c>
      <c r="AA320" s="1">
        <v>3</v>
      </c>
      <c r="AB320" s="1">
        <v>4</v>
      </c>
      <c r="AC320" s="1">
        <f>data[[#This Row],[Nilai Kepentingan Dimensi Produk Spesifikasi Jenis Layanan]]-data[[#This Row],[Nilai Kepuasan Dimensi Produk Spesifikasi Jenis Layanan]]</f>
        <v>1</v>
      </c>
      <c r="AD320" s="1">
        <v>4</v>
      </c>
      <c r="AE320" s="1">
        <v>4</v>
      </c>
      <c r="AF320" s="1">
        <f>data[[#This Row],[Nilai Kepentingan Dimensi Kompetensi Pelaksana]]-data[[#This Row],[Nilai Kepuasan Dimensi Kompetensi Pelaksana]]</f>
        <v>0</v>
      </c>
      <c r="AG320" s="1">
        <v>4</v>
      </c>
      <c r="AH320" s="1">
        <v>4</v>
      </c>
      <c r="AI320" s="1">
        <f>data[[#This Row],[Nilai Kepentingan Dimensi Perilaku Pelaksana]]-data[[#This Row],[Nilai Kepuasan Dimensi Perilaku Pelaksana]]</f>
        <v>0</v>
      </c>
      <c r="AJ320" s="1">
        <v>4</v>
      </c>
      <c r="AK320" s="1">
        <v>4</v>
      </c>
      <c r="AL320" s="1">
        <f>data[[#This Row],[Nilai Kepentingan Dimensi Penanganan Pengaduan, Saran &amp; Masukan]]-data[[#This Row],[Nilai Kepuasan Dimensi Penanganan Pengaduan, Saran &amp; Masukan]]</f>
        <v>0</v>
      </c>
      <c r="AM320" s="1">
        <v>4</v>
      </c>
      <c r="AN320" s="1">
        <v>4</v>
      </c>
      <c r="AO320" s="1">
        <f>data[[#This Row],[Nilai Kepentingan Dimensi Kualitas Sarana dan Prasarana]]-data[[#This Row],[Nilai Kepuasan Dimensi Kualitas Sarana dan Prasarana]]</f>
        <v>0</v>
      </c>
      <c r="AP320" s="1">
        <v>0</v>
      </c>
      <c r="AQ320" s="1" t="s">
        <v>69</v>
      </c>
      <c r="AR320" s="1">
        <v>0</v>
      </c>
      <c r="AS320" s="1" t="s">
        <v>69</v>
      </c>
      <c r="AT320" s="1">
        <v>0</v>
      </c>
      <c r="AU320" s="1" t="s">
        <v>69</v>
      </c>
      <c r="AV320" s="1" t="s">
        <v>1223</v>
      </c>
      <c r="AW320" s="1" t="s">
        <v>186</v>
      </c>
      <c r="AX320" s="1">
        <v>3</v>
      </c>
      <c r="AY320" s="1">
        <v>2</v>
      </c>
      <c r="AZ320" s="1" t="s">
        <v>503</v>
      </c>
      <c r="BA320" s="1" t="s">
        <v>79</v>
      </c>
      <c r="BB320" s="1" t="s">
        <v>503</v>
      </c>
      <c r="BC320" s="1" t="s">
        <v>79</v>
      </c>
      <c r="BD320" s="1" t="s">
        <v>503</v>
      </c>
      <c r="BE320" s="1" t="s">
        <v>79</v>
      </c>
      <c r="BF320" s="5" t="s">
        <v>83</v>
      </c>
    </row>
    <row r="321" spans="1:58" x14ac:dyDescent="0.35">
      <c r="A321" s="4">
        <v>320</v>
      </c>
      <c r="B321" s="1" t="s">
        <v>1987</v>
      </c>
      <c r="C321" s="1" t="s">
        <v>63</v>
      </c>
      <c r="D321" s="1" t="s">
        <v>86</v>
      </c>
      <c r="E321" s="1" t="s">
        <v>69</v>
      </c>
      <c r="F321" s="1" t="s">
        <v>69</v>
      </c>
      <c r="G321" s="1" t="s">
        <v>69</v>
      </c>
      <c r="H321" s="1" t="s">
        <v>69</v>
      </c>
      <c r="I321" s="1" t="s">
        <v>106</v>
      </c>
      <c r="J321" s="1" t="s">
        <v>1168</v>
      </c>
      <c r="K321" s="1">
        <v>33</v>
      </c>
      <c r="L321" s="1" t="s">
        <v>109</v>
      </c>
      <c r="M321" s="1" t="s">
        <v>1343</v>
      </c>
      <c r="N321" s="1" t="s">
        <v>74</v>
      </c>
      <c r="O321" s="1">
        <v>3</v>
      </c>
      <c r="P321" s="1">
        <v>3</v>
      </c>
      <c r="Q321" s="1">
        <f>data[[#This Row],[Nilai Kepentingan Dimensi Persyaratan]]-data[[#This Row],[Nilai Kepuasan Dimensi Persyaratan]]</f>
        <v>0</v>
      </c>
      <c r="R321" s="1">
        <v>3</v>
      </c>
      <c r="S321" s="1">
        <v>3</v>
      </c>
      <c r="T321" s="1">
        <f>data[[#This Row],[Nilai Kepentingan Dimensi Prosedur]]-data[[#This Row],[Nilai Kepuasan Dimensi Prosedur]]</f>
        <v>0</v>
      </c>
      <c r="U321" s="1">
        <v>3</v>
      </c>
      <c r="V321" s="1">
        <v>3</v>
      </c>
      <c r="W321" s="1">
        <f>data[[#This Row],[Nilai Kepentingan Dimensi Waktu Pelayanan/Penyelesaian]]-data[[#This Row],[Nilai Kepuasan Dimensi Waktu Pelayanan/Penyelesaian]]</f>
        <v>0</v>
      </c>
      <c r="X321" s="1">
        <v>3</v>
      </c>
      <c r="Y321" s="1">
        <v>3</v>
      </c>
      <c r="Z321" s="1">
        <f>data[[#This Row],[Nilai Kepentingan Dimensi Tarif/ Biaya]]-data[[#This Row],[Nilai Kepuasan Dimensi Tarif / Biaya]]</f>
        <v>0</v>
      </c>
      <c r="AA321" s="1">
        <v>3</v>
      </c>
      <c r="AB321" s="1">
        <v>3</v>
      </c>
      <c r="AC321" s="1">
        <f>data[[#This Row],[Nilai Kepentingan Dimensi Produk Spesifikasi Jenis Layanan]]-data[[#This Row],[Nilai Kepuasan Dimensi Produk Spesifikasi Jenis Layanan]]</f>
        <v>0</v>
      </c>
      <c r="AD321" s="1">
        <v>3</v>
      </c>
      <c r="AE321" s="1">
        <v>3</v>
      </c>
      <c r="AF321" s="1">
        <f>data[[#This Row],[Nilai Kepentingan Dimensi Kompetensi Pelaksana]]-data[[#This Row],[Nilai Kepuasan Dimensi Kompetensi Pelaksana]]</f>
        <v>0</v>
      </c>
      <c r="AG321" s="1">
        <v>3</v>
      </c>
      <c r="AH321" s="1">
        <v>3</v>
      </c>
      <c r="AI321" s="1">
        <f>data[[#This Row],[Nilai Kepentingan Dimensi Perilaku Pelaksana]]-data[[#This Row],[Nilai Kepuasan Dimensi Perilaku Pelaksana]]</f>
        <v>0</v>
      </c>
      <c r="AJ321" s="1">
        <v>3</v>
      </c>
      <c r="AK321" s="1">
        <v>3</v>
      </c>
      <c r="AL321" s="1">
        <f>data[[#This Row],[Nilai Kepentingan Dimensi Penanganan Pengaduan, Saran &amp; Masukan]]-data[[#This Row],[Nilai Kepuasan Dimensi Penanganan Pengaduan, Saran &amp; Masukan]]</f>
        <v>0</v>
      </c>
      <c r="AM321" s="1">
        <v>3</v>
      </c>
      <c r="AN321" s="1">
        <v>3</v>
      </c>
      <c r="AO321" s="1">
        <f>data[[#This Row],[Nilai Kepentingan Dimensi Kualitas Sarana dan Prasarana]]-data[[#This Row],[Nilai Kepuasan Dimensi Kualitas Sarana dan Prasarana]]</f>
        <v>0</v>
      </c>
      <c r="AP321" s="1">
        <v>0</v>
      </c>
      <c r="AQ321" s="1" t="s">
        <v>69</v>
      </c>
      <c r="AR321" s="1">
        <v>0</v>
      </c>
      <c r="AS321" s="1" t="s">
        <v>69</v>
      </c>
      <c r="AT321" s="1">
        <v>0</v>
      </c>
      <c r="AU321" s="1" t="s">
        <v>69</v>
      </c>
      <c r="AV321" s="1" t="s">
        <v>144</v>
      </c>
      <c r="AW321" s="1" t="s">
        <v>144</v>
      </c>
      <c r="AX321" s="1">
        <v>2</v>
      </c>
      <c r="AY321" s="1">
        <v>3</v>
      </c>
      <c r="AZ321" s="1" t="s">
        <v>98</v>
      </c>
      <c r="BA321" s="1" t="s">
        <v>99</v>
      </c>
      <c r="BB321" s="1" t="s">
        <v>98</v>
      </c>
      <c r="BC321" s="1" t="s">
        <v>99</v>
      </c>
      <c r="BD321" s="1" t="s">
        <v>98</v>
      </c>
      <c r="BE321" s="1" t="s">
        <v>99</v>
      </c>
      <c r="BF321" s="5" t="s">
        <v>1991</v>
      </c>
    </row>
    <row r="322" spans="1:58" x14ac:dyDescent="0.35">
      <c r="A322" s="4">
        <v>321</v>
      </c>
      <c r="B322" s="1" t="s">
        <v>1992</v>
      </c>
      <c r="C322" s="1" t="s">
        <v>772</v>
      </c>
      <c r="D322" s="1" t="s">
        <v>1994</v>
      </c>
      <c r="E322" s="1" t="s">
        <v>69</v>
      </c>
      <c r="F322" s="1" t="s">
        <v>69</v>
      </c>
      <c r="G322" s="1" t="s">
        <v>69</v>
      </c>
      <c r="H322" s="1" t="s">
        <v>69</v>
      </c>
      <c r="I322" s="1" t="s">
        <v>106</v>
      </c>
      <c r="J322" s="1" t="s">
        <v>1180</v>
      </c>
      <c r="K322" s="1">
        <v>30</v>
      </c>
      <c r="L322" s="1" t="s">
        <v>92</v>
      </c>
      <c r="M322" s="1" t="s">
        <v>73</v>
      </c>
      <c r="N322" s="1" t="s">
        <v>133</v>
      </c>
      <c r="O322" s="1">
        <v>3</v>
      </c>
      <c r="P322" s="1">
        <v>4</v>
      </c>
      <c r="Q322" s="1">
        <f>data[[#This Row],[Nilai Kepentingan Dimensi Persyaratan]]-data[[#This Row],[Nilai Kepuasan Dimensi Persyaratan]]</f>
        <v>1</v>
      </c>
      <c r="R322" s="1">
        <v>3</v>
      </c>
      <c r="S322" s="1">
        <v>3</v>
      </c>
      <c r="T322" s="1">
        <f>data[[#This Row],[Nilai Kepentingan Dimensi Prosedur]]-data[[#This Row],[Nilai Kepuasan Dimensi Prosedur]]</f>
        <v>0</v>
      </c>
      <c r="U322" s="1">
        <v>3</v>
      </c>
      <c r="V322" s="1">
        <v>3</v>
      </c>
      <c r="W322" s="1">
        <f>data[[#This Row],[Nilai Kepentingan Dimensi Waktu Pelayanan/Penyelesaian]]-data[[#This Row],[Nilai Kepuasan Dimensi Waktu Pelayanan/Penyelesaian]]</f>
        <v>0</v>
      </c>
      <c r="X322" s="1">
        <v>0</v>
      </c>
      <c r="Y322" s="1">
        <v>0</v>
      </c>
      <c r="Z322" s="1">
        <f>data[[#This Row],[Nilai Kepentingan Dimensi Tarif/ Biaya]]-data[[#This Row],[Nilai Kepuasan Dimensi Tarif / Biaya]]</f>
        <v>0</v>
      </c>
      <c r="AA322" s="1">
        <v>3</v>
      </c>
      <c r="AB322" s="1">
        <v>3</v>
      </c>
      <c r="AC322" s="1">
        <f>data[[#This Row],[Nilai Kepentingan Dimensi Produk Spesifikasi Jenis Layanan]]-data[[#This Row],[Nilai Kepuasan Dimensi Produk Spesifikasi Jenis Layanan]]</f>
        <v>0</v>
      </c>
      <c r="AD322" s="1">
        <v>4</v>
      </c>
      <c r="AE322" s="1">
        <v>3</v>
      </c>
      <c r="AF322" s="1">
        <f>data[[#This Row],[Nilai Kepentingan Dimensi Kompetensi Pelaksana]]-data[[#This Row],[Nilai Kepuasan Dimensi Kompetensi Pelaksana]]</f>
        <v>-1</v>
      </c>
      <c r="AG322" s="1">
        <v>3</v>
      </c>
      <c r="AH322" s="1">
        <v>3</v>
      </c>
      <c r="AI322" s="1">
        <f>data[[#This Row],[Nilai Kepentingan Dimensi Perilaku Pelaksana]]-data[[#This Row],[Nilai Kepuasan Dimensi Perilaku Pelaksana]]</f>
        <v>0</v>
      </c>
      <c r="AJ322" s="1">
        <v>3</v>
      </c>
      <c r="AK322" s="1">
        <v>3</v>
      </c>
      <c r="AL322" s="1">
        <f>data[[#This Row],[Nilai Kepentingan Dimensi Penanganan Pengaduan, Saran &amp; Masukan]]-data[[#This Row],[Nilai Kepuasan Dimensi Penanganan Pengaduan, Saran &amp; Masukan]]</f>
        <v>0</v>
      </c>
      <c r="AM322" s="1">
        <v>3</v>
      </c>
      <c r="AN322" s="1">
        <v>3</v>
      </c>
      <c r="AO322" s="1">
        <f>data[[#This Row],[Nilai Kepentingan Dimensi Kualitas Sarana dan Prasarana]]-data[[#This Row],[Nilai Kepuasan Dimensi Kualitas Sarana dan Prasarana]]</f>
        <v>0</v>
      </c>
      <c r="AP322" s="1">
        <v>0</v>
      </c>
      <c r="AQ322" s="1" t="s">
        <v>69</v>
      </c>
      <c r="AR322" s="1">
        <v>0</v>
      </c>
      <c r="AS322" s="1" t="s">
        <v>69</v>
      </c>
      <c r="AT322" s="1">
        <v>4</v>
      </c>
      <c r="AU322" s="1" t="s">
        <v>75</v>
      </c>
      <c r="AV322" s="1" t="s">
        <v>83</v>
      </c>
      <c r="AW322" s="1" t="s">
        <v>96</v>
      </c>
      <c r="AX322" s="1">
        <v>0</v>
      </c>
      <c r="AY322" s="1">
        <v>0</v>
      </c>
      <c r="AZ322" s="1" t="s">
        <v>985</v>
      </c>
      <c r="BA322" s="1" t="s">
        <v>79</v>
      </c>
      <c r="BB322" s="1" t="s">
        <v>1998</v>
      </c>
      <c r="BC322" s="1" t="s">
        <v>157</v>
      </c>
      <c r="BD322" s="1" t="s">
        <v>985</v>
      </c>
      <c r="BE322" s="1" t="s">
        <v>79</v>
      </c>
      <c r="BF322" s="5" t="s">
        <v>83</v>
      </c>
    </row>
    <row r="323" spans="1:58" x14ac:dyDescent="0.35">
      <c r="A323" s="4">
        <v>322</v>
      </c>
      <c r="B323" s="1" t="s">
        <v>1239</v>
      </c>
      <c r="C323" s="1" t="s">
        <v>63</v>
      </c>
      <c r="D323" s="1" t="s">
        <v>63</v>
      </c>
      <c r="E323" s="1" t="s">
        <v>69</v>
      </c>
      <c r="F323" s="1" t="s">
        <v>69</v>
      </c>
      <c r="G323" s="1" t="s">
        <v>69</v>
      </c>
      <c r="H323" s="1" t="s">
        <v>69</v>
      </c>
      <c r="I323" s="1" t="s">
        <v>70</v>
      </c>
      <c r="J323" s="1" t="s">
        <v>1168</v>
      </c>
      <c r="K323" s="1">
        <v>42</v>
      </c>
      <c r="L323" s="1" t="s">
        <v>197</v>
      </c>
      <c r="M323" s="1" t="s">
        <v>93</v>
      </c>
      <c r="N323" s="1" t="s">
        <v>154</v>
      </c>
      <c r="O323" s="1">
        <v>4</v>
      </c>
      <c r="P323" s="1">
        <v>3</v>
      </c>
      <c r="Q323" s="1">
        <f>data[[#This Row],[Nilai Kepentingan Dimensi Persyaratan]]-data[[#This Row],[Nilai Kepuasan Dimensi Persyaratan]]</f>
        <v>-1</v>
      </c>
      <c r="R323" s="1">
        <v>4</v>
      </c>
      <c r="S323" s="1">
        <v>3</v>
      </c>
      <c r="T323" s="1">
        <f>data[[#This Row],[Nilai Kepentingan Dimensi Prosedur]]-data[[#This Row],[Nilai Kepuasan Dimensi Prosedur]]</f>
        <v>-1</v>
      </c>
      <c r="U323" s="1">
        <v>4</v>
      </c>
      <c r="V323" s="1">
        <v>4</v>
      </c>
      <c r="W323" s="1">
        <f>data[[#This Row],[Nilai Kepentingan Dimensi Waktu Pelayanan/Penyelesaian]]-data[[#This Row],[Nilai Kepuasan Dimensi Waktu Pelayanan/Penyelesaian]]</f>
        <v>0</v>
      </c>
      <c r="X323" s="1">
        <v>0</v>
      </c>
      <c r="Y323" s="1">
        <v>0</v>
      </c>
      <c r="Z323" s="1">
        <f>data[[#This Row],[Nilai Kepentingan Dimensi Tarif/ Biaya]]-data[[#This Row],[Nilai Kepuasan Dimensi Tarif / Biaya]]</f>
        <v>0</v>
      </c>
      <c r="AA323" s="1">
        <v>4</v>
      </c>
      <c r="AB323" s="1">
        <v>4</v>
      </c>
      <c r="AC323" s="1">
        <f>data[[#This Row],[Nilai Kepentingan Dimensi Produk Spesifikasi Jenis Layanan]]-data[[#This Row],[Nilai Kepuasan Dimensi Produk Spesifikasi Jenis Layanan]]</f>
        <v>0</v>
      </c>
      <c r="AD323" s="1">
        <v>4</v>
      </c>
      <c r="AE323" s="1">
        <v>4</v>
      </c>
      <c r="AF323" s="1">
        <f>data[[#This Row],[Nilai Kepentingan Dimensi Kompetensi Pelaksana]]-data[[#This Row],[Nilai Kepuasan Dimensi Kompetensi Pelaksana]]</f>
        <v>0</v>
      </c>
      <c r="AG323" s="1">
        <v>4</v>
      </c>
      <c r="AH323" s="1">
        <v>4</v>
      </c>
      <c r="AI323" s="1">
        <f>data[[#This Row],[Nilai Kepentingan Dimensi Perilaku Pelaksana]]-data[[#This Row],[Nilai Kepuasan Dimensi Perilaku Pelaksana]]</f>
        <v>0</v>
      </c>
      <c r="AJ323" s="1">
        <v>4</v>
      </c>
      <c r="AK323" s="1">
        <v>4</v>
      </c>
      <c r="AL323" s="1">
        <f>data[[#This Row],[Nilai Kepentingan Dimensi Penanganan Pengaduan, Saran &amp; Masukan]]-data[[#This Row],[Nilai Kepuasan Dimensi Penanganan Pengaduan, Saran &amp; Masukan]]</f>
        <v>0</v>
      </c>
      <c r="AM323" s="1">
        <v>4</v>
      </c>
      <c r="AN323" s="1">
        <v>4</v>
      </c>
      <c r="AO323" s="1">
        <f>data[[#This Row],[Nilai Kepentingan Dimensi Kualitas Sarana dan Prasarana]]-data[[#This Row],[Nilai Kepuasan Dimensi Kualitas Sarana dan Prasarana]]</f>
        <v>0</v>
      </c>
      <c r="AP323" s="1">
        <v>4</v>
      </c>
      <c r="AQ323" s="1" t="s">
        <v>75</v>
      </c>
      <c r="AR323" s="1">
        <v>3</v>
      </c>
      <c r="AS323" s="1" t="s">
        <v>75</v>
      </c>
      <c r="AT323" s="1">
        <v>0</v>
      </c>
      <c r="AU323" s="1" t="s">
        <v>69</v>
      </c>
      <c r="AV323" s="1" t="s">
        <v>83</v>
      </c>
      <c r="AW323" s="1" t="s">
        <v>96</v>
      </c>
      <c r="AX323" s="1">
        <v>0</v>
      </c>
      <c r="AY323" s="1">
        <v>0</v>
      </c>
      <c r="AZ323" s="1" t="s">
        <v>2003</v>
      </c>
      <c r="BA323" s="1" t="s">
        <v>79</v>
      </c>
      <c r="BB323" s="1" t="s">
        <v>2004</v>
      </c>
      <c r="BC323" s="1" t="s">
        <v>99</v>
      </c>
      <c r="BD323" s="1" t="s">
        <v>503</v>
      </c>
      <c r="BE323" s="1" t="s">
        <v>79</v>
      </c>
      <c r="BF323" s="5" t="s">
        <v>2005</v>
      </c>
    </row>
    <row r="324" spans="1:58" x14ac:dyDescent="0.35">
      <c r="A324" s="4">
        <v>323</v>
      </c>
      <c r="B324" s="1" t="s">
        <v>2006</v>
      </c>
      <c r="C324" s="1" t="s">
        <v>63</v>
      </c>
      <c r="D324" s="1" t="s">
        <v>416</v>
      </c>
      <c r="E324" s="1" t="s">
        <v>69</v>
      </c>
      <c r="F324" s="1" t="s">
        <v>69</v>
      </c>
      <c r="G324" s="1" t="s">
        <v>69</v>
      </c>
      <c r="H324" s="1" t="s">
        <v>69</v>
      </c>
      <c r="I324" s="1" t="s">
        <v>106</v>
      </c>
      <c r="J324" s="1" t="s">
        <v>1168</v>
      </c>
      <c r="K324" s="1">
        <v>45</v>
      </c>
      <c r="L324" s="1" t="s">
        <v>197</v>
      </c>
      <c r="M324" s="1" t="s">
        <v>1343</v>
      </c>
      <c r="N324" s="1" t="s">
        <v>154</v>
      </c>
      <c r="O324" s="1">
        <v>4</v>
      </c>
      <c r="P324" s="1">
        <v>4</v>
      </c>
      <c r="Q324" s="1">
        <f>data[[#This Row],[Nilai Kepentingan Dimensi Persyaratan]]-data[[#This Row],[Nilai Kepuasan Dimensi Persyaratan]]</f>
        <v>0</v>
      </c>
      <c r="R324" s="1">
        <v>4</v>
      </c>
      <c r="S324" s="1">
        <v>4</v>
      </c>
      <c r="T324" s="1">
        <f>data[[#This Row],[Nilai Kepentingan Dimensi Prosedur]]-data[[#This Row],[Nilai Kepuasan Dimensi Prosedur]]</f>
        <v>0</v>
      </c>
      <c r="U324" s="1">
        <v>4</v>
      </c>
      <c r="V324" s="1">
        <v>4</v>
      </c>
      <c r="W324" s="1">
        <f>data[[#This Row],[Nilai Kepentingan Dimensi Waktu Pelayanan/Penyelesaian]]-data[[#This Row],[Nilai Kepuasan Dimensi Waktu Pelayanan/Penyelesaian]]</f>
        <v>0</v>
      </c>
      <c r="X324" s="1">
        <v>0</v>
      </c>
      <c r="Y324" s="1">
        <v>0</v>
      </c>
      <c r="Z324" s="1">
        <f>data[[#This Row],[Nilai Kepentingan Dimensi Tarif/ Biaya]]-data[[#This Row],[Nilai Kepuasan Dimensi Tarif / Biaya]]</f>
        <v>0</v>
      </c>
      <c r="AA324" s="1">
        <v>4</v>
      </c>
      <c r="AB324" s="1">
        <v>4</v>
      </c>
      <c r="AC324" s="1">
        <f>data[[#This Row],[Nilai Kepentingan Dimensi Produk Spesifikasi Jenis Layanan]]-data[[#This Row],[Nilai Kepuasan Dimensi Produk Spesifikasi Jenis Layanan]]</f>
        <v>0</v>
      </c>
      <c r="AD324" s="1">
        <v>4</v>
      </c>
      <c r="AE324" s="1">
        <v>4</v>
      </c>
      <c r="AF324" s="1">
        <f>data[[#This Row],[Nilai Kepentingan Dimensi Kompetensi Pelaksana]]-data[[#This Row],[Nilai Kepuasan Dimensi Kompetensi Pelaksana]]</f>
        <v>0</v>
      </c>
      <c r="AG324" s="1">
        <v>4</v>
      </c>
      <c r="AH324" s="1">
        <v>4</v>
      </c>
      <c r="AI324" s="1">
        <f>data[[#This Row],[Nilai Kepentingan Dimensi Perilaku Pelaksana]]-data[[#This Row],[Nilai Kepuasan Dimensi Perilaku Pelaksana]]</f>
        <v>0</v>
      </c>
      <c r="AJ324" s="1">
        <v>4</v>
      </c>
      <c r="AK324" s="1">
        <v>4</v>
      </c>
      <c r="AL324" s="1">
        <f>data[[#This Row],[Nilai Kepentingan Dimensi Penanganan Pengaduan, Saran &amp; Masukan]]-data[[#This Row],[Nilai Kepuasan Dimensi Penanganan Pengaduan, Saran &amp; Masukan]]</f>
        <v>0</v>
      </c>
      <c r="AM324" s="1">
        <v>3</v>
      </c>
      <c r="AN324" s="1">
        <v>4</v>
      </c>
      <c r="AO324" s="1">
        <f>data[[#This Row],[Nilai Kepentingan Dimensi Kualitas Sarana dan Prasarana]]-data[[#This Row],[Nilai Kepuasan Dimensi Kualitas Sarana dan Prasarana]]</f>
        <v>1</v>
      </c>
      <c r="AP324" s="1">
        <v>0</v>
      </c>
      <c r="AQ324" s="1" t="s">
        <v>69</v>
      </c>
      <c r="AR324" s="1">
        <v>0</v>
      </c>
      <c r="AS324" s="1" t="s">
        <v>69</v>
      </c>
      <c r="AT324" s="1">
        <v>3</v>
      </c>
      <c r="AU324" s="1" t="s">
        <v>75</v>
      </c>
      <c r="AV324" s="1" t="s">
        <v>83</v>
      </c>
      <c r="AW324" s="1" t="s">
        <v>96</v>
      </c>
      <c r="AX324" s="1">
        <v>0</v>
      </c>
      <c r="AY324" s="1">
        <v>0</v>
      </c>
      <c r="AZ324" s="1" t="s">
        <v>2010</v>
      </c>
      <c r="BA324" s="1" t="s">
        <v>452</v>
      </c>
      <c r="BB324" s="1" t="s">
        <v>503</v>
      </c>
      <c r="BC324" s="1" t="s">
        <v>79</v>
      </c>
      <c r="BD324" s="1" t="s">
        <v>2011</v>
      </c>
      <c r="BE324" s="1" t="s">
        <v>79</v>
      </c>
      <c r="BF324" s="5" t="s">
        <v>2012</v>
      </c>
    </row>
    <row r="325" spans="1:58" x14ac:dyDescent="0.35">
      <c r="A325" s="4">
        <v>324</v>
      </c>
      <c r="B325" s="1" t="s">
        <v>2013</v>
      </c>
      <c r="C325" s="1" t="s">
        <v>63</v>
      </c>
      <c r="D325" s="1" t="s">
        <v>338</v>
      </c>
      <c r="E325" s="1" t="s">
        <v>69</v>
      </c>
      <c r="F325" s="1" t="s">
        <v>69</v>
      </c>
      <c r="G325" s="1" t="s">
        <v>69</v>
      </c>
      <c r="H325" s="1" t="s">
        <v>69</v>
      </c>
      <c r="I325" s="1" t="s">
        <v>70</v>
      </c>
      <c r="J325" s="1" t="s">
        <v>1168</v>
      </c>
      <c r="K325" s="1">
        <v>38</v>
      </c>
      <c r="L325" s="1" t="s">
        <v>153</v>
      </c>
      <c r="M325" s="1" t="s">
        <v>93</v>
      </c>
      <c r="N325" s="1" t="s">
        <v>413</v>
      </c>
      <c r="O325" s="1">
        <v>4</v>
      </c>
      <c r="P325" s="1">
        <v>4</v>
      </c>
      <c r="Q325" s="1">
        <f>data[[#This Row],[Nilai Kepentingan Dimensi Persyaratan]]-data[[#This Row],[Nilai Kepuasan Dimensi Persyaratan]]</f>
        <v>0</v>
      </c>
      <c r="R325" s="1">
        <v>4</v>
      </c>
      <c r="S325" s="1">
        <v>4</v>
      </c>
      <c r="T325" s="1">
        <f>data[[#This Row],[Nilai Kepentingan Dimensi Prosedur]]-data[[#This Row],[Nilai Kepuasan Dimensi Prosedur]]</f>
        <v>0</v>
      </c>
      <c r="U325" s="1">
        <v>4</v>
      </c>
      <c r="V325" s="1">
        <v>4</v>
      </c>
      <c r="W325" s="1">
        <f>data[[#This Row],[Nilai Kepentingan Dimensi Waktu Pelayanan/Penyelesaian]]-data[[#This Row],[Nilai Kepuasan Dimensi Waktu Pelayanan/Penyelesaian]]</f>
        <v>0</v>
      </c>
      <c r="X325" s="1">
        <v>0</v>
      </c>
      <c r="Y325" s="1">
        <v>0</v>
      </c>
      <c r="Z325" s="1">
        <f>data[[#This Row],[Nilai Kepentingan Dimensi Tarif/ Biaya]]-data[[#This Row],[Nilai Kepuasan Dimensi Tarif / Biaya]]</f>
        <v>0</v>
      </c>
      <c r="AA325" s="1">
        <v>4</v>
      </c>
      <c r="AB325" s="1">
        <v>4</v>
      </c>
      <c r="AC325" s="1">
        <f>data[[#This Row],[Nilai Kepentingan Dimensi Produk Spesifikasi Jenis Layanan]]-data[[#This Row],[Nilai Kepuasan Dimensi Produk Spesifikasi Jenis Layanan]]</f>
        <v>0</v>
      </c>
      <c r="AD325" s="1">
        <v>4</v>
      </c>
      <c r="AE325" s="1">
        <v>4</v>
      </c>
      <c r="AF325" s="1">
        <f>data[[#This Row],[Nilai Kepentingan Dimensi Kompetensi Pelaksana]]-data[[#This Row],[Nilai Kepuasan Dimensi Kompetensi Pelaksana]]</f>
        <v>0</v>
      </c>
      <c r="AG325" s="1">
        <v>4</v>
      </c>
      <c r="AH325" s="1">
        <v>4</v>
      </c>
      <c r="AI325" s="1">
        <f>data[[#This Row],[Nilai Kepentingan Dimensi Perilaku Pelaksana]]-data[[#This Row],[Nilai Kepuasan Dimensi Perilaku Pelaksana]]</f>
        <v>0</v>
      </c>
      <c r="AJ325" s="1">
        <v>4</v>
      </c>
      <c r="AK325" s="1">
        <v>4</v>
      </c>
      <c r="AL325" s="1">
        <f>data[[#This Row],[Nilai Kepentingan Dimensi Penanganan Pengaduan, Saran &amp; Masukan]]-data[[#This Row],[Nilai Kepuasan Dimensi Penanganan Pengaduan, Saran &amp; Masukan]]</f>
        <v>0</v>
      </c>
      <c r="AM325" s="1">
        <v>4</v>
      </c>
      <c r="AN325" s="1">
        <v>4</v>
      </c>
      <c r="AO325" s="1">
        <f>data[[#This Row],[Nilai Kepentingan Dimensi Kualitas Sarana dan Prasarana]]-data[[#This Row],[Nilai Kepuasan Dimensi Kualitas Sarana dan Prasarana]]</f>
        <v>0</v>
      </c>
      <c r="AP325" s="1">
        <v>0</v>
      </c>
      <c r="AQ325" s="1" t="s">
        <v>69</v>
      </c>
      <c r="AR325" s="1">
        <v>0</v>
      </c>
      <c r="AS325" s="1" t="s">
        <v>69</v>
      </c>
      <c r="AT325" s="1">
        <v>4</v>
      </c>
      <c r="AU325" s="1" t="s">
        <v>75</v>
      </c>
      <c r="AV325" s="1" t="s">
        <v>83</v>
      </c>
      <c r="AW325" s="1" t="s">
        <v>96</v>
      </c>
      <c r="AX325" s="1">
        <v>0</v>
      </c>
      <c r="AY325" s="1">
        <v>0</v>
      </c>
      <c r="AZ325" s="1" t="s">
        <v>985</v>
      </c>
      <c r="BA325" s="1" t="s">
        <v>79</v>
      </c>
      <c r="BB325" s="1" t="s">
        <v>985</v>
      </c>
      <c r="BC325" s="1" t="s">
        <v>79</v>
      </c>
      <c r="BD325" s="1" t="s">
        <v>985</v>
      </c>
      <c r="BE325" s="1" t="s">
        <v>79</v>
      </c>
      <c r="BF325" s="5" t="s">
        <v>83</v>
      </c>
    </row>
    <row r="326" spans="1:58" x14ac:dyDescent="0.35">
      <c r="A326" s="4">
        <v>325</v>
      </c>
      <c r="B326" s="1" t="s">
        <v>2018</v>
      </c>
      <c r="C326" s="1" t="s">
        <v>63</v>
      </c>
      <c r="D326" s="1" t="s">
        <v>397</v>
      </c>
      <c r="E326" s="1" t="s">
        <v>69</v>
      </c>
      <c r="F326" s="1" t="s">
        <v>69</v>
      </c>
      <c r="G326" s="1" t="s">
        <v>69</v>
      </c>
      <c r="H326" s="1" t="s">
        <v>69</v>
      </c>
      <c r="I326" s="1" t="s">
        <v>70</v>
      </c>
      <c r="J326" s="1" t="s">
        <v>1168</v>
      </c>
      <c r="K326" s="1">
        <v>24</v>
      </c>
      <c r="L326" s="1" t="s">
        <v>72</v>
      </c>
      <c r="M326" s="1" t="s">
        <v>93</v>
      </c>
      <c r="N326" s="1" t="s">
        <v>74</v>
      </c>
      <c r="O326" s="1">
        <v>4</v>
      </c>
      <c r="P326" s="1">
        <v>4</v>
      </c>
      <c r="Q326" s="1">
        <f>data[[#This Row],[Nilai Kepentingan Dimensi Persyaratan]]-data[[#This Row],[Nilai Kepuasan Dimensi Persyaratan]]</f>
        <v>0</v>
      </c>
      <c r="R326" s="1">
        <v>4</v>
      </c>
      <c r="S326" s="1">
        <v>4</v>
      </c>
      <c r="T326" s="1">
        <f>data[[#This Row],[Nilai Kepentingan Dimensi Prosedur]]-data[[#This Row],[Nilai Kepuasan Dimensi Prosedur]]</f>
        <v>0</v>
      </c>
      <c r="U326" s="1">
        <v>3</v>
      </c>
      <c r="V326" s="1">
        <v>4</v>
      </c>
      <c r="W326" s="1">
        <f>data[[#This Row],[Nilai Kepentingan Dimensi Waktu Pelayanan/Penyelesaian]]-data[[#This Row],[Nilai Kepuasan Dimensi Waktu Pelayanan/Penyelesaian]]</f>
        <v>1</v>
      </c>
      <c r="X326" s="1">
        <v>0</v>
      </c>
      <c r="Y326" s="1">
        <v>0</v>
      </c>
      <c r="Z326" s="1">
        <f>data[[#This Row],[Nilai Kepentingan Dimensi Tarif/ Biaya]]-data[[#This Row],[Nilai Kepuasan Dimensi Tarif / Biaya]]</f>
        <v>0</v>
      </c>
      <c r="AA326" s="1">
        <v>4</v>
      </c>
      <c r="AB326" s="1">
        <v>4</v>
      </c>
      <c r="AC326" s="1">
        <f>data[[#This Row],[Nilai Kepentingan Dimensi Produk Spesifikasi Jenis Layanan]]-data[[#This Row],[Nilai Kepuasan Dimensi Produk Spesifikasi Jenis Layanan]]</f>
        <v>0</v>
      </c>
      <c r="AD326" s="1">
        <v>4</v>
      </c>
      <c r="AE326" s="1">
        <v>4</v>
      </c>
      <c r="AF326" s="1">
        <f>data[[#This Row],[Nilai Kepentingan Dimensi Kompetensi Pelaksana]]-data[[#This Row],[Nilai Kepuasan Dimensi Kompetensi Pelaksana]]</f>
        <v>0</v>
      </c>
      <c r="AG326" s="1">
        <v>4</v>
      </c>
      <c r="AH326" s="1">
        <v>4</v>
      </c>
      <c r="AI326" s="1">
        <f>data[[#This Row],[Nilai Kepentingan Dimensi Perilaku Pelaksana]]-data[[#This Row],[Nilai Kepuasan Dimensi Perilaku Pelaksana]]</f>
        <v>0</v>
      </c>
      <c r="AJ326" s="1">
        <v>4</v>
      </c>
      <c r="AK326" s="1">
        <v>4</v>
      </c>
      <c r="AL326" s="1">
        <f>data[[#This Row],[Nilai Kepentingan Dimensi Penanganan Pengaduan, Saran &amp; Masukan]]-data[[#This Row],[Nilai Kepuasan Dimensi Penanganan Pengaduan, Saran &amp; Masukan]]</f>
        <v>0</v>
      </c>
      <c r="AM326" s="1">
        <v>3</v>
      </c>
      <c r="AN326" s="1">
        <v>4</v>
      </c>
      <c r="AO326" s="1">
        <f>data[[#This Row],[Nilai Kepentingan Dimensi Kualitas Sarana dan Prasarana]]-data[[#This Row],[Nilai Kepuasan Dimensi Kualitas Sarana dan Prasarana]]</f>
        <v>1</v>
      </c>
      <c r="AP326" s="1">
        <v>0</v>
      </c>
      <c r="AQ326" s="1" t="s">
        <v>69</v>
      </c>
      <c r="AR326" s="1">
        <v>0</v>
      </c>
      <c r="AS326" s="1" t="s">
        <v>69</v>
      </c>
      <c r="AT326" s="1">
        <v>4</v>
      </c>
      <c r="AU326" s="1" t="s">
        <v>75</v>
      </c>
      <c r="AV326" s="1" t="s">
        <v>83</v>
      </c>
      <c r="AW326" s="1" t="s">
        <v>96</v>
      </c>
      <c r="AX326" s="1">
        <v>0</v>
      </c>
      <c r="AY326" s="1">
        <v>0</v>
      </c>
      <c r="AZ326" s="1" t="s">
        <v>985</v>
      </c>
      <c r="BA326" s="1" t="s">
        <v>79</v>
      </c>
      <c r="BB326" s="1" t="s">
        <v>985</v>
      </c>
      <c r="BC326" s="1" t="s">
        <v>79</v>
      </c>
      <c r="BD326" s="1" t="s">
        <v>985</v>
      </c>
      <c r="BE326" s="1" t="s">
        <v>79</v>
      </c>
      <c r="BF326" s="5" t="s">
        <v>83</v>
      </c>
    </row>
    <row r="327" spans="1:58" x14ac:dyDescent="0.35">
      <c r="A327" s="4">
        <v>326</v>
      </c>
      <c r="B327" s="1" t="s">
        <v>2022</v>
      </c>
      <c r="C327" s="1" t="s">
        <v>63</v>
      </c>
      <c r="D327" s="1" t="s">
        <v>338</v>
      </c>
      <c r="E327" s="1" t="s">
        <v>69</v>
      </c>
      <c r="F327" s="1" t="s">
        <v>69</v>
      </c>
      <c r="G327" s="1" t="s">
        <v>69</v>
      </c>
      <c r="H327" s="1" t="s">
        <v>69</v>
      </c>
      <c r="I327" s="1" t="s">
        <v>70</v>
      </c>
      <c r="J327" s="1" t="s">
        <v>1168</v>
      </c>
      <c r="K327" s="1">
        <v>39</v>
      </c>
      <c r="L327" s="1" t="s">
        <v>153</v>
      </c>
      <c r="M327" s="1" t="s">
        <v>254</v>
      </c>
      <c r="N327" s="1" t="s">
        <v>154</v>
      </c>
      <c r="O327" s="1">
        <v>3</v>
      </c>
      <c r="P327" s="1">
        <v>4</v>
      </c>
      <c r="Q327" s="1">
        <f>data[[#This Row],[Nilai Kepentingan Dimensi Persyaratan]]-data[[#This Row],[Nilai Kepuasan Dimensi Persyaratan]]</f>
        <v>1</v>
      </c>
      <c r="R327" s="1">
        <v>4</v>
      </c>
      <c r="S327" s="1">
        <v>4</v>
      </c>
      <c r="T327" s="1">
        <f>data[[#This Row],[Nilai Kepentingan Dimensi Prosedur]]-data[[#This Row],[Nilai Kepuasan Dimensi Prosedur]]</f>
        <v>0</v>
      </c>
      <c r="U327" s="1">
        <v>3</v>
      </c>
      <c r="V327" s="1">
        <v>3</v>
      </c>
      <c r="W327" s="1">
        <f>data[[#This Row],[Nilai Kepentingan Dimensi Waktu Pelayanan/Penyelesaian]]-data[[#This Row],[Nilai Kepuasan Dimensi Waktu Pelayanan/Penyelesaian]]</f>
        <v>0</v>
      </c>
      <c r="X327" s="1">
        <v>0</v>
      </c>
      <c r="Y327" s="1">
        <v>0</v>
      </c>
      <c r="Z327" s="1">
        <f>data[[#This Row],[Nilai Kepentingan Dimensi Tarif/ Biaya]]-data[[#This Row],[Nilai Kepuasan Dimensi Tarif / Biaya]]</f>
        <v>0</v>
      </c>
      <c r="AA327" s="1">
        <v>4</v>
      </c>
      <c r="AB327" s="1">
        <v>4</v>
      </c>
      <c r="AC327" s="1">
        <f>data[[#This Row],[Nilai Kepentingan Dimensi Produk Spesifikasi Jenis Layanan]]-data[[#This Row],[Nilai Kepuasan Dimensi Produk Spesifikasi Jenis Layanan]]</f>
        <v>0</v>
      </c>
      <c r="AD327" s="1">
        <v>4</v>
      </c>
      <c r="AE327" s="1">
        <v>4</v>
      </c>
      <c r="AF327" s="1">
        <f>data[[#This Row],[Nilai Kepentingan Dimensi Kompetensi Pelaksana]]-data[[#This Row],[Nilai Kepuasan Dimensi Kompetensi Pelaksana]]</f>
        <v>0</v>
      </c>
      <c r="AG327" s="1">
        <v>4</v>
      </c>
      <c r="AH327" s="1">
        <v>4</v>
      </c>
      <c r="AI327" s="1">
        <f>data[[#This Row],[Nilai Kepentingan Dimensi Perilaku Pelaksana]]-data[[#This Row],[Nilai Kepuasan Dimensi Perilaku Pelaksana]]</f>
        <v>0</v>
      </c>
      <c r="AJ327" s="1">
        <v>4</v>
      </c>
      <c r="AK327" s="1">
        <v>4</v>
      </c>
      <c r="AL327" s="1">
        <f>data[[#This Row],[Nilai Kepentingan Dimensi Penanganan Pengaduan, Saran &amp; Masukan]]-data[[#This Row],[Nilai Kepuasan Dimensi Penanganan Pengaduan, Saran &amp; Masukan]]</f>
        <v>0</v>
      </c>
      <c r="AM327" s="1">
        <v>3</v>
      </c>
      <c r="AN327" s="1">
        <v>3</v>
      </c>
      <c r="AO327" s="1">
        <f>data[[#This Row],[Nilai Kepentingan Dimensi Kualitas Sarana dan Prasarana]]-data[[#This Row],[Nilai Kepuasan Dimensi Kualitas Sarana dan Prasarana]]</f>
        <v>0</v>
      </c>
      <c r="AP327" s="1">
        <v>0</v>
      </c>
      <c r="AQ327" s="1" t="s">
        <v>69</v>
      </c>
      <c r="AR327" s="1">
        <v>0</v>
      </c>
      <c r="AS327" s="1" t="s">
        <v>69</v>
      </c>
      <c r="AT327" s="1">
        <v>0</v>
      </c>
      <c r="AU327" s="1" t="s">
        <v>69</v>
      </c>
      <c r="AV327" s="1" t="s">
        <v>2026</v>
      </c>
      <c r="AW327" s="1" t="s">
        <v>450</v>
      </c>
      <c r="AX327" s="1">
        <v>2</v>
      </c>
      <c r="AY327" s="1">
        <v>3</v>
      </c>
      <c r="AZ327" s="1" t="s">
        <v>98</v>
      </c>
      <c r="BA327" s="1" t="s">
        <v>99</v>
      </c>
      <c r="BB327" s="1" t="s">
        <v>98</v>
      </c>
      <c r="BC327" s="1" t="s">
        <v>99</v>
      </c>
      <c r="BD327" s="1" t="s">
        <v>2027</v>
      </c>
      <c r="BE327" s="1" t="s">
        <v>146</v>
      </c>
      <c r="BF327" s="5" t="s">
        <v>98</v>
      </c>
    </row>
    <row r="328" spans="1:58" x14ac:dyDescent="0.35">
      <c r="A328" s="4">
        <v>327</v>
      </c>
      <c r="B328" s="1" t="s">
        <v>2028</v>
      </c>
      <c r="C328" s="1" t="s">
        <v>63</v>
      </c>
      <c r="D328" s="1" t="s">
        <v>179</v>
      </c>
      <c r="E328" s="1" t="s">
        <v>69</v>
      </c>
      <c r="F328" s="1" t="s">
        <v>69</v>
      </c>
      <c r="G328" s="1" t="s">
        <v>69</v>
      </c>
      <c r="H328" s="1" t="s">
        <v>69</v>
      </c>
      <c r="I328" s="1" t="s">
        <v>70</v>
      </c>
      <c r="J328" s="1" t="s">
        <v>1168</v>
      </c>
      <c r="K328" s="1">
        <v>30</v>
      </c>
      <c r="L328" s="1" t="s">
        <v>92</v>
      </c>
      <c r="M328" s="1" t="s">
        <v>73</v>
      </c>
      <c r="N328" s="1" t="s">
        <v>74</v>
      </c>
      <c r="O328" s="1">
        <v>4</v>
      </c>
      <c r="P328" s="1">
        <v>4</v>
      </c>
      <c r="Q328" s="1">
        <f>data[[#This Row],[Nilai Kepentingan Dimensi Persyaratan]]-data[[#This Row],[Nilai Kepuasan Dimensi Persyaratan]]</f>
        <v>0</v>
      </c>
      <c r="R328" s="1">
        <v>4</v>
      </c>
      <c r="S328" s="1">
        <v>4</v>
      </c>
      <c r="T328" s="1">
        <f>data[[#This Row],[Nilai Kepentingan Dimensi Prosedur]]-data[[#This Row],[Nilai Kepuasan Dimensi Prosedur]]</f>
        <v>0</v>
      </c>
      <c r="U328" s="1">
        <v>4</v>
      </c>
      <c r="V328" s="1">
        <v>4</v>
      </c>
      <c r="W328" s="1">
        <f>data[[#This Row],[Nilai Kepentingan Dimensi Waktu Pelayanan/Penyelesaian]]-data[[#This Row],[Nilai Kepuasan Dimensi Waktu Pelayanan/Penyelesaian]]</f>
        <v>0</v>
      </c>
      <c r="X328" s="1">
        <v>0</v>
      </c>
      <c r="Y328" s="1">
        <v>0</v>
      </c>
      <c r="Z328" s="1">
        <f>data[[#This Row],[Nilai Kepentingan Dimensi Tarif/ Biaya]]-data[[#This Row],[Nilai Kepuasan Dimensi Tarif / Biaya]]</f>
        <v>0</v>
      </c>
      <c r="AA328" s="1">
        <v>4</v>
      </c>
      <c r="AB328" s="1">
        <v>4</v>
      </c>
      <c r="AC328" s="1">
        <f>data[[#This Row],[Nilai Kepentingan Dimensi Produk Spesifikasi Jenis Layanan]]-data[[#This Row],[Nilai Kepuasan Dimensi Produk Spesifikasi Jenis Layanan]]</f>
        <v>0</v>
      </c>
      <c r="AD328" s="1">
        <v>4</v>
      </c>
      <c r="AE328" s="1">
        <v>4</v>
      </c>
      <c r="AF328" s="1">
        <f>data[[#This Row],[Nilai Kepentingan Dimensi Kompetensi Pelaksana]]-data[[#This Row],[Nilai Kepuasan Dimensi Kompetensi Pelaksana]]</f>
        <v>0</v>
      </c>
      <c r="AG328" s="1">
        <v>4</v>
      </c>
      <c r="AH328" s="1">
        <v>4</v>
      </c>
      <c r="AI328" s="1">
        <f>data[[#This Row],[Nilai Kepentingan Dimensi Perilaku Pelaksana]]-data[[#This Row],[Nilai Kepuasan Dimensi Perilaku Pelaksana]]</f>
        <v>0</v>
      </c>
      <c r="AJ328" s="1">
        <v>4</v>
      </c>
      <c r="AK328" s="1">
        <v>4</v>
      </c>
      <c r="AL328" s="1">
        <f>data[[#This Row],[Nilai Kepentingan Dimensi Penanganan Pengaduan, Saran &amp; Masukan]]-data[[#This Row],[Nilai Kepuasan Dimensi Penanganan Pengaduan, Saran &amp; Masukan]]</f>
        <v>0</v>
      </c>
      <c r="AM328" s="1">
        <v>4</v>
      </c>
      <c r="AN328" s="1">
        <v>4</v>
      </c>
      <c r="AO328" s="1">
        <f>data[[#This Row],[Nilai Kepentingan Dimensi Kualitas Sarana dan Prasarana]]-data[[#This Row],[Nilai Kepuasan Dimensi Kualitas Sarana dan Prasarana]]</f>
        <v>0</v>
      </c>
      <c r="AP328" s="1">
        <v>0</v>
      </c>
      <c r="AQ328" s="1" t="s">
        <v>69</v>
      </c>
      <c r="AR328" s="1">
        <v>0</v>
      </c>
      <c r="AS328" s="1" t="s">
        <v>75</v>
      </c>
      <c r="AT328" s="1">
        <v>0</v>
      </c>
      <c r="AU328" s="1" t="s">
        <v>69</v>
      </c>
      <c r="AV328" s="1" t="s">
        <v>144</v>
      </c>
      <c r="AW328" s="1" t="s">
        <v>144</v>
      </c>
      <c r="AX328" s="1">
        <v>3</v>
      </c>
      <c r="AY328" s="1">
        <v>2</v>
      </c>
      <c r="AZ328" s="1" t="s">
        <v>2032</v>
      </c>
      <c r="BA328" s="1" t="s">
        <v>79</v>
      </c>
      <c r="BB328" s="1" t="s">
        <v>442</v>
      </c>
      <c r="BC328" s="1" t="s">
        <v>79</v>
      </c>
      <c r="BD328" s="1" t="s">
        <v>442</v>
      </c>
      <c r="BE328" s="1" t="s">
        <v>79</v>
      </c>
      <c r="BF328" s="5" t="s">
        <v>83</v>
      </c>
    </row>
    <row r="329" spans="1:58" x14ac:dyDescent="0.35">
      <c r="A329" s="4">
        <v>328</v>
      </c>
      <c r="B329" s="1" t="s">
        <v>2033</v>
      </c>
      <c r="C329" s="1" t="s">
        <v>63</v>
      </c>
      <c r="D329" s="1" t="s">
        <v>179</v>
      </c>
      <c r="E329" s="1" t="s">
        <v>69</v>
      </c>
      <c r="F329" s="1" t="s">
        <v>69</v>
      </c>
      <c r="G329" s="1" t="s">
        <v>69</v>
      </c>
      <c r="H329" s="1" t="s">
        <v>69</v>
      </c>
      <c r="I329" s="1" t="s">
        <v>70</v>
      </c>
      <c r="J329" s="1" t="s">
        <v>1168</v>
      </c>
      <c r="K329" s="1">
        <v>60</v>
      </c>
      <c r="L329" s="1" t="s">
        <v>182</v>
      </c>
      <c r="M329" s="1" t="s">
        <v>93</v>
      </c>
      <c r="N329" s="1" t="s">
        <v>184</v>
      </c>
      <c r="O329" s="1">
        <v>3</v>
      </c>
      <c r="P329" s="1">
        <v>3</v>
      </c>
      <c r="Q329" s="1">
        <f>data[[#This Row],[Nilai Kepentingan Dimensi Persyaratan]]-data[[#This Row],[Nilai Kepuasan Dimensi Persyaratan]]</f>
        <v>0</v>
      </c>
      <c r="R329" s="1">
        <v>3</v>
      </c>
      <c r="S329" s="1">
        <v>3</v>
      </c>
      <c r="T329" s="1">
        <f>data[[#This Row],[Nilai Kepentingan Dimensi Prosedur]]-data[[#This Row],[Nilai Kepuasan Dimensi Prosedur]]</f>
        <v>0</v>
      </c>
      <c r="U329" s="1">
        <v>4</v>
      </c>
      <c r="V329" s="1">
        <v>4</v>
      </c>
      <c r="W329" s="1">
        <f>data[[#This Row],[Nilai Kepentingan Dimensi Waktu Pelayanan/Penyelesaian]]-data[[#This Row],[Nilai Kepuasan Dimensi Waktu Pelayanan/Penyelesaian]]</f>
        <v>0</v>
      </c>
      <c r="X329" s="1">
        <v>0</v>
      </c>
      <c r="Y329" s="1">
        <v>0</v>
      </c>
      <c r="Z329" s="1">
        <f>data[[#This Row],[Nilai Kepentingan Dimensi Tarif/ Biaya]]-data[[#This Row],[Nilai Kepuasan Dimensi Tarif / Biaya]]</f>
        <v>0</v>
      </c>
      <c r="AA329" s="1">
        <v>3</v>
      </c>
      <c r="AB329" s="1">
        <v>3</v>
      </c>
      <c r="AC329" s="1">
        <f>data[[#This Row],[Nilai Kepentingan Dimensi Produk Spesifikasi Jenis Layanan]]-data[[#This Row],[Nilai Kepuasan Dimensi Produk Spesifikasi Jenis Layanan]]</f>
        <v>0</v>
      </c>
      <c r="AD329" s="1">
        <v>3</v>
      </c>
      <c r="AE329" s="1">
        <v>3</v>
      </c>
      <c r="AF329" s="1">
        <f>data[[#This Row],[Nilai Kepentingan Dimensi Kompetensi Pelaksana]]-data[[#This Row],[Nilai Kepuasan Dimensi Kompetensi Pelaksana]]</f>
        <v>0</v>
      </c>
      <c r="AG329" s="1">
        <v>4</v>
      </c>
      <c r="AH329" s="1">
        <v>4</v>
      </c>
      <c r="AI329" s="1">
        <f>data[[#This Row],[Nilai Kepentingan Dimensi Perilaku Pelaksana]]-data[[#This Row],[Nilai Kepuasan Dimensi Perilaku Pelaksana]]</f>
        <v>0</v>
      </c>
      <c r="AJ329" s="1">
        <v>4</v>
      </c>
      <c r="AK329" s="1">
        <v>4</v>
      </c>
      <c r="AL329" s="1">
        <f>data[[#This Row],[Nilai Kepentingan Dimensi Penanganan Pengaduan, Saran &amp; Masukan]]-data[[#This Row],[Nilai Kepuasan Dimensi Penanganan Pengaduan, Saran &amp; Masukan]]</f>
        <v>0</v>
      </c>
      <c r="AM329" s="1">
        <v>3</v>
      </c>
      <c r="AN329" s="1">
        <v>3</v>
      </c>
      <c r="AO329" s="1">
        <f>data[[#This Row],[Nilai Kepentingan Dimensi Kualitas Sarana dan Prasarana]]-data[[#This Row],[Nilai Kepuasan Dimensi Kualitas Sarana dan Prasarana]]</f>
        <v>0</v>
      </c>
      <c r="AP329" s="1">
        <v>0</v>
      </c>
      <c r="AQ329" s="1" t="s">
        <v>69</v>
      </c>
      <c r="AR329" s="1">
        <v>0</v>
      </c>
      <c r="AS329" s="1" t="s">
        <v>69</v>
      </c>
      <c r="AT329" s="1">
        <v>0</v>
      </c>
      <c r="AU329" s="1" t="s">
        <v>69</v>
      </c>
      <c r="AV329" s="1" t="s">
        <v>2038</v>
      </c>
      <c r="AW329" s="1" t="s">
        <v>77</v>
      </c>
      <c r="AX329" s="1">
        <v>3</v>
      </c>
      <c r="AY329" s="1">
        <v>2</v>
      </c>
      <c r="AZ329" s="1" t="s">
        <v>2039</v>
      </c>
      <c r="BA329" s="1" t="s">
        <v>235</v>
      </c>
      <c r="BB329" s="1" t="s">
        <v>1305</v>
      </c>
      <c r="BC329" s="1" t="s">
        <v>81</v>
      </c>
      <c r="BD329" s="1" t="s">
        <v>2040</v>
      </c>
      <c r="BE329" s="1" t="s">
        <v>813</v>
      </c>
      <c r="BF329" s="5" t="s">
        <v>83</v>
      </c>
    </row>
    <row r="330" spans="1:58" x14ac:dyDescent="0.35">
      <c r="A330" s="4">
        <v>329</v>
      </c>
      <c r="B330" s="1" t="s">
        <v>2041</v>
      </c>
      <c r="C330" s="1" t="s">
        <v>63</v>
      </c>
      <c r="D330" s="1" t="s">
        <v>125</v>
      </c>
      <c r="E330" s="1" t="s">
        <v>69</v>
      </c>
      <c r="F330" s="1" t="s">
        <v>69</v>
      </c>
      <c r="G330" s="1" t="s">
        <v>69</v>
      </c>
      <c r="H330" s="1" t="s">
        <v>69</v>
      </c>
      <c r="I330" s="1" t="s">
        <v>70</v>
      </c>
      <c r="J330" s="1" t="s">
        <v>1168</v>
      </c>
      <c r="K330" s="1">
        <v>42</v>
      </c>
      <c r="L330" s="1" t="s">
        <v>197</v>
      </c>
      <c r="M330" s="1" t="s">
        <v>73</v>
      </c>
      <c r="N330" s="1" t="s">
        <v>110</v>
      </c>
      <c r="O330" s="1">
        <v>3</v>
      </c>
      <c r="P330" s="1">
        <v>3</v>
      </c>
      <c r="Q330" s="1">
        <f>data[[#This Row],[Nilai Kepentingan Dimensi Persyaratan]]-data[[#This Row],[Nilai Kepuasan Dimensi Persyaratan]]</f>
        <v>0</v>
      </c>
      <c r="R330" s="1">
        <v>4</v>
      </c>
      <c r="S330" s="1">
        <v>4</v>
      </c>
      <c r="T330" s="1">
        <f>data[[#This Row],[Nilai Kepentingan Dimensi Prosedur]]-data[[#This Row],[Nilai Kepuasan Dimensi Prosedur]]</f>
        <v>0</v>
      </c>
      <c r="U330" s="1">
        <v>4</v>
      </c>
      <c r="V330" s="1">
        <v>4</v>
      </c>
      <c r="W330" s="1">
        <f>data[[#This Row],[Nilai Kepentingan Dimensi Waktu Pelayanan/Penyelesaian]]-data[[#This Row],[Nilai Kepuasan Dimensi Waktu Pelayanan/Penyelesaian]]</f>
        <v>0</v>
      </c>
      <c r="X330" s="1">
        <v>0</v>
      </c>
      <c r="Y330" s="1">
        <v>0</v>
      </c>
      <c r="Z330" s="1">
        <f>data[[#This Row],[Nilai Kepentingan Dimensi Tarif/ Biaya]]-data[[#This Row],[Nilai Kepuasan Dimensi Tarif / Biaya]]</f>
        <v>0</v>
      </c>
      <c r="AA330" s="1">
        <v>3</v>
      </c>
      <c r="AB330" s="1">
        <v>3</v>
      </c>
      <c r="AC330" s="1">
        <f>data[[#This Row],[Nilai Kepentingan Dimensi Produk Spesifikasi Jenis Layanan]]-data[[#This Row],[Nilai Kepuasan Dimensi Produk Spesifikasi Jenis Layanan]]</f>
        <v>0</v>
      </c>
      <c r="AD330" s="1">
        <v>3</v>
      </c>
      <c r="AE330" s="1">
        <v>3</v>
      </c>
      <c r="AF330" s="1">
        <f>data[[#This Row],[Nilai Kepentingan Dimensi Kompetensi Pelaksana]]-data[[#This Row],[Nilai Kepuasan Dimensi Kompetensi Pelaksana]]</f>
        <v>0</v>
      </c>
      <c r="AG330" s="1">
        <v>3</v>
      </c>
      <c r="AH330" s="1">
        <v>3</v>
      </c>
      <c r="AI330" s="1">
        <f>data[[#This Row],[Nilai Kepentingan Dimensi Perilaku Pelaksana]]-data[[#This Row],[Nilai Kepuasan Dimensi Perilaku Pelaksana]]</f>
        <v>0</v>
      </c>
      <c r="AJ330" s="1">
        <v>3</v>
      </c>
      <c r="AK330" s="1">
        <v>3</v>
      </c>
      <c r="AL330" s="1">
        <f>data[[#This Row],[Nilai Kepentingan Dimensi Penanganan Pengaduan, Saran &amp; Masukan]]-data[[#This Row],[Nilai Kepuasan Dimensi Penanganan Pengaduan, Saran &amp; Masukan]]</f>
        <v>0</v>
      </c>
      <c r="AM330" s="1">
        <v>3</v>
      </c>
      <c r="AN330" s="1">
        <v>3</v>
      </c>
      <c r="AO330" s="1">
        <f>data[[#This Row],[Nilai Kepentingan Dimensi Kualitas Sarana dan Prasarana]]-data[[#This Row],[Nilai Kepuasan Dimensi Kualitas Sarana dan Prasarana]]</f>
        <v>0</v>
      </c>
      <c r="AP330" s="1">
        <v>0</v>
      </c>
      <c r="AQ330" s="1" t="s">
        <v>69</v>
      </c>
      <c r="AR330" s="1">
        <v>0</v>
      </c>
      <c r="AS330" s="1" t="s">
        <v>69</v>
      </c>
      <c r="AT330" s="1">
        <v>0</v>
      </c>
      <c r="AU330" s="1" t="s">
        <v>69</v>
      </c>
      <c r="AV330" s="1" t="s">
        <v>2045</v>
      </c>
      <c r="AW330" s="1" t="s">
        <v>450</v>
      </c>
      <c r="AX330" s="1">
        <v>1</v>
      </c>
      <c r="AY330" s="1">
        <v>4</v>
      </c>
      <c r="AZ330" s="1" t="s">
        <v>2046</v>
      </c>
      <c r="BA330" s="1" t="s">
        <v>112</v>
      </c>
      <c r="BB330" s="1" t="s">
        <v>2047</v>
      </c>
      <c r="BC330" s="1" t="s">
        <v>81</v>
      </c>
      <c r="BD330" s="1" t="s">
        <v>2048</v>
      </c>
      <c r="BE330" s="1" t="s">
        <v>190</v>
      </c>
      <c r="BF330" s="5" t="s">
        <v>83</v>
      </c>
    </row>
    <row r="331" spans="1:58" x14ac:dyDescent="0.35">
      <c r="A331" s="4">
        <v>330</v>
      </c>
      <c r="B331" s="1" t="s">
        <v>2049</v>
      </c>
      <c r="C331" s="1" t="s">
        <v>63</v>
      </c>
      <c r="D331" s="1" t="s">
        <v>125</v>
      </c>
      <c r="E331" s="1" t="s">
        <v>69</v>
      </c>
      <c r="F331" s="1" t="s">
        <v>69</v>
      </c>
      <c r="G331" s="1" t="s">
        <v>69</v>
      </c>
      <c r="H331" s="1" t="s">
        <v>69</v>
      </c>
      <c r="I331" s="1" t="s">
        <v>70</v>
      </c>
      <c r="J331" s="1" t="s">
        <v>1168</v>
      </c>
      <c r="K331" s="1">
        <v>38</v>
      </c>
      <c r="L331" s="1" t="s">
        <v>153</v>
      </c>
      <c r="M331" s="1" t="s">
        <v>73</v>
      </c>
      <c r="N331" s="1" t="s">
        <v>110</v>
      </c>
      <c r="O331" s="1">
        <v>4</v>
      </c>
      <c r="P331" s="1">
        <v>4</v>
      </c>
      <c r="Q331" s="1">
        <f>data[[#This Row],[Nilai Kepentingan Dimensi Persyaratan]]-data[[#This Row],[Nilai Kepuasan Dimensi Persyaratan]]</f>
        <v>0</v>
      </c>
      <c r="R331" s="1">
        <v>4</v>
      </c>
      <c r="S331" s="1">
        <v>4</v>
      </c>
      <c r="T331" s="1">
        <f>data[[#This Row],[Nilai Kepentingan Dimensi Prosedur]]-data[[#This Row],[Nilai Kepuasan Dimensi Prosedur]]</f>
        <v>0</v>
      </c>
      <c r="U331" s="1">
        <v>4</v>
      </c>
      <c r="V331" s="1">
        <v>4</v>
      </c>
      <c r="W331" s="1">
        <f>data[[#This Row],[Nilai Kepentingan Dimensi Waktu Pelayanan/Penyelesaian]]-data[[#This Row],[Nilai Kepuasan Dimensi Waktu Pelayanan/Penyelesaian]]</f>
        <v>0</v>
      </c>
      <c r="X331" s="1">
        <v>0</v>
      </c>
      <c r="Y331" s="1">
        <v>0</v>
      </c>
      <c r="Z331" s="1">
        <f>data[[#This Row],[Nilai Kepentingan Dimensi Tarif/ Biaya]]-data[[#This Row],[Nilai Kepuasan Dimensi Tarif / Biaya]]</f>
        <v>0</v>
      </c>
      <c r="AA331" s="1">
        <v>4</v>
      </c>
      <c r="AB331" s="1">
        <v>4</v>
      </c>
      <c r="AC331" s="1">
        <f>data[[#This Row],[Nilai Kepentingan Dimensi Produk Spesifikasi Jenis Layanan]]-data[[#This Row],[Nilai Kepuasan Dimensi Produk Spesifikasi Jenis Layanan]]</f>
        <v>0</v>
      </c>
      <c r="AD331" s="1">
        <v>4</v>
      </c>
      <c r="AE331" s="1">
        <v>4</v>
      </c>
      <c r="AF331" s="1">
        <f>data[[#This Row],[Nilai Kepentingan Dimensi Kompetensi Pelaksana]]-data[[#This Row],[Nilai Kepuasan Dimensi Kompetensi Pelaksana]]</f>
        <v>0</v>
      </c>
      <c r="AG331" s="1">
        <v>4</v>
      </c>
      <c r="AH331" s="1">
        <v>4</v>
      </c>
      <c r="AI331" s="1">
        <f>data[[#This Row],[Nilai Kepentingan Dimensi Perilaku Pelaksana]]-data[[#This Row],[Nilai Kepuasan Dimensi Perilaku Pelaksana]]</f>
        <v>0</v>
      </c>
      <c r="AJ331" s="1">
        <v>4</v>
      </c>
      <c r="AK331" s="1">
        <v>4</v>
      </c>
      <c r="AL331" s="1">
        <f>data[[#This Row],[Nilai Kepentingan Dimensi Penanganan Pengaduan, Saran &amp; Masukan]]-data[[#This Row],[Nilai Kepuasan Dimensi Penanganan Pengaduan, Saran &amp; Masukan]]</f>
        <v>0</v>
      </c>
      <c r="AM331" s="1">
        <v>4</v>
      </c>
      <c r="AN331" s="1">
        <v>4</v>
      </c>
      <c r="AO331" s="1">
        <f>data[[#This Row],[Nilai Kepentingan Dimensi Kualitas Sarana dan Prasarana]]-data[[#This Row],[Nilai Kepuasan Dimensi Kualitas Sarana dan Prasarana]]</f>
        <v>0</v>
      </c>
      <c r="AP331" s="1">
        <v>4</v>
      </c>
      <c r="AQ331" s="1" t="s">
        <v>75</v>
      </c>
      <c r="AR331" s="1">
        <v>0</v>
      </c>
      <c r="AS331" s="1" t="s">
        <v>69</v>
      </c>
      <c r="AT331" s="1">
        <v>0</v>
      </c>
      <c r="AU331" s="1" t="s">
        <v>69</v>
      </c>
      <c r="AV331" s="1" t="s">
        <v>83</v>
      </c>
      <c r="AW331" s="1" t="s">
        <v>96</v>
      </c>
      <c r="AX331" s="1">
        <v>0</v>
      </c>
      <c r="AY331" s="1">
        <v>0</v>
      </c>
      <c r="AZ331" s="1" t="s">
        <v>2053</v>
      </c>
      <c r="BA331" s="1" t="s">
        <v>112</v>
      </c>
      <c r="BB331" s="1" t="s">
        <v>462</v>
      </c>
      <c r="BC331" s="1" t="s">
        <v>79</v>
      </c>
      <c r="BD331" s="1" t="s">
        <v>248</v>
      </c>
      <c r="BE331" s="1" t="s">
        <v>79</v>
      </c>
      <c r="BF331" s="5" t="s">
        <v>83</v>
      </c>
    </row>
    <row r="332" spans="1:58" x14ac:dyDescent="0.35">
      <c r="A332" s="4">
        <v>331</v>
      </c>
      <c r="B332" s="1" t="s">
        <v>2054</v>
      </c>
      <c r="C332" s="1" t="s">
        <v>63</v>
      </c>
      <c r="D332" s="1" t="s">
        <v>136</v>
      </c>
      <c r="E332" s="1" t="s">
        <v>69</v>
      </c>
      <c r="F332" s="1" t="s">
        <v>69</v>
      </c>
      <c r="G332" s="1" t="s">
        <v>69</v>
      </c>
      <c r="H332" s="1" t="s">
        <v>69</v>
      </c>
      <c r="I332" s="1" t="s">
        <v>70</v>
      </c>
      <c r="J332" s="1" t="s">
        <v>1168</v>
      </c>
      <c r="K332" s="1">
        <v>55</v>
      </c>
      <c r="L332" s="1" t="s">
        <v>383</v>
      </c>
      <c r="M332" s="1" t="s">
        <v>1343</v>
      </c>
      <c r="N332" s="1" t="s">
        <v>154</v>
      </c>
      <c r="O332" s="1">
        <v>4</v>
      </c>
      <c r="P332" s="1">
        <v>4</v>
      </c>
      <c r="Q332" s="1">
        <f>data[[#This Row],[Nilai Kepentingan Dimensi Persyaratan]]-data[[#This Row],[Nilai Kepuasan Dimensi Persyaratan]]</f>
        <v>0</v>
      </c>
      <c r="R332" s="1">
        <v>3</v>
      </c>
      <c r="S332" s="1">
        <v>3</v>
      </c>
      <c r="T332" s="1">
        <f>data[[#This Row],[Nilai Kepentingan Dimensi Prosedur]]-data[[#This Row],[Nilai Kepuasan Dimensi Prosedur]]</f>
        <v>0</v>
      </c>
      <c r="U332" s="1">
        <v>3</v>
      </c>
      <c r="V332" s="1">
        <v>3</v>
      </c>
      <c r="W332" s="1">
        <f>data[[#This Row],[Nilai Kepentingan Dimensi Waktu Pelayanan/Penyelesaian]]-data[[#This Row],[Nilai Kepuasan Dimensi Waktu Pelayanan/Penyelesaian]]</f>
        <v>0</v>
      </c>
      <c r="X332" s="1">
        <v>0</v>
      </c>
      <c r="Y332" s="1">
        <v>0</v>
      </c>
      <c r="Z332" s="1">
        <f>data[[#This Row],[Nilai Kepentingan Dimensi Tarif/ Biaya]]-data[[#This Row],[Nilai Kepuasan Dimensi Tarif / Biaya]]</f>
        <v>0</v>
      </c>
      <c r="AA332" s="1">
        <v>4</v>
      </c>
      <c r="AB332" s="1">
        <v>4</v>
      </c>
      <c r="AC332" s="1">
        <f>data[[#This Row],[Nilai Kepentingan Dimensi Produk Spesifikasi Jenis Layanan]]-data[[#This Row],[Nilai Kepuasan Dimensi Produk Spesifikasi Jenis Layanan]]</f>
        <v>0</v>
      </c>
      <c r="AD332" s="1">
        <v>3</v>
      </c>
      <c r="AE332" s="1">
        <v>3</v>
      </c>
      <c r="AF332" s="1">
        <f>data[[#This Row],[Nilai Kepentingan Dimensi Kompetensi Pelaksana]]-data[[#This Row],[Nilai Kepuasan Dimensi Kompetensi Pelaksana]]</f>
        <v>0</v>
      </c>
      <c r="AG332" s="1">
        <v>4</v>
      </c>
      <c r="AH332" s="1">
        <v>4</v>
      </c>
      <c r="AI332" s="1">
        <f>data[[#This Row],[Nilai Kepentingan Dimensi Perilaku Pelaksana]]-data[[#This Row],[Nilai Kepuasan Dimensi Perilaku Pelaksana]]</f>
        <v>0</v>
      </c>
      <c r="AJ332" s="1">
        <v>4</v>
      </c>
      <c r="AK332" s="1">
        <v>4</v>
      </c>
      <c r="AL332" s="1">
        <f>data[[#This Row],[Nilai Kepentingan Dimensi Penanganan Pengaduan, Saran &amp; Masukan]]-data[[#This Row],[Nilai Kepuasan Dimensi Penanganan Pengaduan, Saran &amp; Masukan]]</f>
        <v>0</v>
      </c>
      <c r="AM332" s="1">
        <v>3</v>
      </c>
      <c r="AN332" s="1">
        <v>3</v>
      </c>
      <c r="AO332" s="1">
        <f>data[[#This Row],[Nilai Kepentingan Dimensi Kualitas Sarana dan Prasarana]]-data[[#This Row],[Nilai Kepuasan Dimensi Kualitas Sarana dan Prasarana]]</f>
        <v>0</v>
      </c>
      <c r="AP332" s="1">
        <v>4</v>
      </c>
      <c r="AQ332" s="1" t="s">
        <v>75</v>
      </c>
      <c r="AR332" s="1">
        <v>4</v>
      </c>
      <c r="AS332" s="1" t="s">
        <v>75</v>
      </c>
      <c r="AT332" s="1">
        <v>0</v>
      </c>
      <c r="AU332" s="1" t="s">
        <v>69</v>
      </c>
      <c r="AV332" s="1" t="s">
        <v>2058</v>
      </c>
      <c r="AW332" s="1" t="s">
        <v>1162</v>
      </c>
      <c r="AX332" s="1">
        <v>2</v>
      </c>
      <c r="AY332" s="1">
        <v>3</v>
      </c>
      <c r="AZ332" s="1" t="s">
        <v>2059</v>
      </c>
      <c r="BA332" s="1" t="s">
        <v>486</v>
      </c>
      <c r="BB332" s="1" t="s">
        <v>2060</v>
      </c>
      <c r="BC332" s="1" t="s">
        <v>81</v>
      </c>
      <c r="BD332" s="1" t="s">
        <v>2061</v>
      </c>
      <c r="BE332" s="1" t="s">
        <v>190</v>
      </c>
      <c r="BF332" s="5" t="s">
        <v>83</v>
      </c>
    </row>
    <row r="333" spans="1:58" x14ac:dyDescent="0.35">
      <c r="A333" s="4">
        <v>332</v>
      </c>
      <c r="B333" s="1" t="s">
        <v>2062</v>
      </c>
      <c r="C333" s="1" t="s">
        <v>904</v>
      </c>
      <c r="D333" s="1" t="s">
        <v>1963</v>
      </c>
      <c r="E333" s="1" t="s">
        <v>69</v>
      </c>
      <c r="F333" s="1" t="s">
        <v>69</v>
      </c>
      <c r="G333" s="1" t="s">
        <v>69</v>
      </c>
      <c r="H333" s="1" t="s">
        <v>69</v>
      </c>
      <c r="I333" s="1" t="s">
        <v>106</v>
      </c>
      <c r="J333" s="1" t="s">
        <v>1168</v>
      </c>
      <c r="K333" s="1">
        <v>52</v>
      </c>
      <c r="L333" s="1" t="s">
        <v>383</v>
      </c>
      <c r="M333" s="1" t="s">
        <v>73</v>
      </c>
      <c r="N333" s="1" t="s">
        <v>133</v>
      </c>
      <c r="O333" s="1">
        <v>3</v>
      </c>
      <c r="P333" s="1">
        <v>3</v>
      </c>
      <c r="Q333" s="1">
        <f>data[[#This Row],[Nilai Kepentingan Dimensi Persyaratan]]-data[[#This Row],[Nilai Kepuasan Dimensi Persyaratan]]</f>
        <v>0</v>
      </c>
      <c r="R333" s="1">
        <v>2</v>
      </c>
      <c r="S333" s="1">
        <v>3</v>
      </c>
      <c r="T333" s="1">
        <f>data[[#This Row],[Nilai Kepentingan Dimensi Prosedur]]-data[[#This Row],[Nilai Kepuasan Dimensi Prosedur]]</f>
        <v>1</v>
      </c>
      <c r="U333" s="1">
        <v>2</v>
      </c>
      <c r="V333" s="1">
        <v>3</v>
      </c>
      <c r="W333" s="1">
        <f>data[[#This Row],[Nilai Kepentingan Dimensi Waktu Pelayanan/Penyelesaian]]-data[[#This Row],[Nilai Kepuasan Dimensi Waktu Pelayanan/Penyelesaian]]</f>
        <v>1</v>
      </c>
      <c r="X333" s="1">
        <v>0</v>
      </c>
      <c r="Y333" s="1">
        <v>0</v>
      </c>
      <c r="Z333" s="1">
        <f>data[[#This Row],[Nilai Kepentingan Dimensi Tarif/ Biaya]]-data[[#This Row],[Nilai Kepuasan Dimensi Tarif / Biaya]]</f>
        <v>0</v>
      </c>
      <c r="AA333" s="1">
        <v>3</v>
      </c>
      <c r="AB333" s="1">
        <v>3</v>
      </c>
      <c r="AC333" s="1">
        <f>data[[#This Row],[Nilai Kepentingan Dimensi Produk Spesifikasi Jenis Layanan]]-data[[#This Row],[Nilai Kepuasan Dimensi Produk Spesifikasi Jenis Layanan]]</f>
        <v>0</v>
      </c>
      <c r="AD333" s="1">
        <v>3</v>
      </c>
      <c r="AE333" s="1">
        <v>4</v>
      </c>
      <c r="AF333" s="1">
        <f>data[[#This Row],[Nilai Kepentingan Dimensi Kompetensi Pelaksana]]-data[[#This Row],[Nilai Kepuasan Dimensi Kompetensi Pelaksana]]</f>
        <v>1</v>
      </c>
      <c r="AG333" s="1">
        <v>3</v>
      </c>
      <c r="AH333" s="1">
        <v>4</v>
      </c>
      <c r="AI333" s="1">
        <f>data[[#This Row],[Nilai Kepentingan Dimensi Perilaku Pelaksana]]-data[[#This Row],[Nilai Kepuasan Dimensi Perilaku Pelaksana]]</f>
        <v>1</v>
      </c>
      <c r="AJ333" s="1">
        <v>3</v>
      </c>
      <c r="AK333" s="1">
        <v>3</v>
      </c>
      <c r="AL333" s="1">
        <f>data[[#This Row],[Nilai Kepentingan Dimensi Penanganan Pengaduan, Saran &amp; Masukan]]-data[[#This Row],[Nilai Kepuasan Dimensi Penanganan Pengaduan, Saran &amp; Masukan]]</f>
        <v>0</v>
      </c>
      <c r="AM333" s="1">
        <v>3</v>
      </c>
      <c r="AN333" s="1">
        <v>4</v>
      </c>
      <c r="AO333" s="1">
        <f>data[[#This Row],[Nilai Kepentingan Dimensi Kualitas Sarana dan Prasarana]]-data[[#This Row],[Nilai Kepuasan Dimensi Kualitas Sarana dan Prasarana]]</f>
        <v>1</v>
      </c>
      <c r="AP333" s="1">
        <v>0</v>
      </c>
      <c r="AQ333" s="1" t="s">
        <v>69</v>
      </c>
      <c r="AR333" s="1">
        <v>0</v>
      </c>
      <c r="AS333" s="1" t="s">
        <v>69</v>
      </c>
      <c r="AT333" s="1">
        <v>0</v>
      </c>
      <c r="AU333" s="1" t="s">
        <v>69</v>
      </c>
      <c r="AV333" s="1" t="s">
        <v>734</v>
      </c>
      <c r="AW333" s="1" t="s">
        <v>77</v>
      </c>
      <c r="AX333" s="1">
        <v>2</v>
      </c>
      <c r="AY333" s="1">
        <v>3</v>
      </c>
      <c r="AZ333" s="1" t="s">
        <v>2069</v>
      </c>
      <c r="BA333" s="1" t="s">
        <v>99</v>
      </c>
      <c r="BB333" s="1" t="s">
        <v>2069</v>
      </c>
      <c r="BC333" s="1" t="s">
        <v>99</v>
      </c>
      <c r="BD333" s="1" t="s">
        <v>2069</v>
      </c>
      <c r="BE333" s="1" t="s">
        <v>99</v>
      </c>
      <c r="BF333" s="5" t="s">
        <v>2070</v>
      </c>
    </row>
    <row r="334" spans="1:58" x14ac:dyDescent="0.35">
      <c r="A334" s="4">
        <v>333</v>
      </c>
      <c r="B334" s="1" t="s">
        <v>2071</v>
      </c>
      <c r="C334" s="1" t="s">
        <v>63</v>
      </c>
      <c r="D334" s="1" t="s">
        <v>86</v>
      </c>
      <c r="E334" s="1" t="s">
        <v>69</v>
      </c>
      <c r="F334" s="1" t="s">
        <v>69</v>
      </c>
      <c r="G334" s="1" t="s">
        <v>69</v>
      </c>
      <c r="H334" s="1" t="s">
        <v>69</v>
      </c>
      <c r="I334" s="1" t="s">
        <v>106</v>
      </c>
      <c r="J334" s="1" t="s">
        <v>1168</v>
      </c>
      <c r="K334" s="1">
        <v>37</v>
      </c>
      <c r="L334" s="1" t="s">
        <v>153</v>
      </c>
      <c r="M334" s="1" t="s">
        <v>93</v>
      </c>
      <c r="N334" s="1" t="s">
        <v>74</v>
      </c>
      <c r="O334" s="1">
        <v>3</v>
      </c>
      <c r="P334" s="1">
        <v>3</v>
      </c>
      <c r="Q334" s="1">
        <f>data[[#This Row],[Nilai Kepentingan Dimensi Persyaratan]]-data[[#This Row],[Nilai Kepuasan Dimensi Persyaratan]]</f>
        <v>0</v>
      </c>
      <c r="R334" s="1">
        <v>3</v>
      </c>
      <c r="S334" s="1">
        <v>3</v>
      </c>
      <c r="T334" s="1">
        <f>data[[#This Row],[Nilai Kepentingan Dimensi Prosedur]]-data[[#This Row],[Nilai Kepuasan Dimensi Prosedur]]</f>
        <v>0</v>
      </c>
      <c r="U334" s="1">
        <v>3</v>
      </c>
      <c r="V334" s="1">
        <v>3</v>
      </c>
      <c r="W334" s="1">
        <f>data[[#This Row],[Nilai Kepentingan Dimensi Waktu Pelayanan/Penyelesaian]]-data[[#This Row],[Nilai Kepuasan Dimensi Waktu Pelayanan/Penyelesaian]]</f>
        <v>0</v>
      </c>
      <c r="X334" s="1">
        <v>0</v>
      </c>
      <c r="Y334" s="1">
        <v>0</v>
      </c>
      <c r="Z334" s="1">
        <f>data[[#This Row],[Nilai Kepentingan Dimensi Tarif/ Biaya]]-data[[#This Row],[Nilai Kepuasan Dimensi Tarif / Biaya]]</f>
        <v>0</v>
      </c>
      <c r="AA334" s="1">
        <v>3</v>
      </c>
      <c r="AB334" s="1">
        <v>3</v>
      </c>
      <c r="AC334" s="1">
        <f>data[[#This Row],[Nilai Kepentingan Dimensi Produk Spesifikasi Jenis Layanan]]-data[[#This Row],[Nilai Kepuasan Dimensi Produk Spesifikasi Jenis Layanan]]</f>
        <v>0</v>
      </c>
      <c r="AD334" s="1">
        <v>3</v>
      </c>
      <c r="AE334" s="1">
        <v>3</v>
      </c>
      <c r="AF334" s="1">
        <f>data[[#This Row],[Nilai Kepentingan Dimensi Kompetensi Pelaksana]]-data[[#This Row],[Nilai Kepuasan Dimensi Kompetensi Pelaksana]]</f>
        <v>0</v>
      </c>
      <c r="AG334" s="1">
        <v>3</v>
      </c>
      <c r="AH334" s="1">
        <v>3</v>
      </c>
      <c r="AI334" s="1">
        <f>data[[#This Row],[Nilai Kepentingan Dimensi Perilaku Pelaksana]]-data[[#This Row],[Nilai Kepuasan Dimensi Perilaku Pelaksana]]</f>
        <v>0</v>
      </c>
      <c r="AJ334" s="1">
        <v>4</v>
      </c>
      <c r="AK334" s="1">
        <v>4</v>
      </c>
      <c r="AL334" s="1">
        <f>data[[#This Row],[Nilai Kepentingan Dimensi Penanganan Pengaduan, Saran &amp; Masukan]]-data[[#This Row],[Nilai Kepuasan Dimensi Penanganan Pengaduan, Saran &amp; Masukan]]</f>
        <v>0</v>
      </c>
      <c r="AM334" s="1">
        <v>4</v>
      </c>
      <c r="AN334" s="1">
        <v>4</v>
      </c>
      <c r="AO334" s="1">
        <f>data[[#This Row],[Nilai Kepentingan Dimensi Kualitas Sarana dan Prasarana]]-data[[#This Row],[Nilai Kepuasan Dimensi Kualitas Sarana dan Prasarana]]</f>
        <v>0</v>
      </c>
      <c r="AP334" s="1">
        <v>0</v>
      </c>
      <c r="AQ334" s="1" t="s">
        <v>69</v>
      </c>
      <c r="AR334" s="1">
        <v>3</v>
      </c>
      <c r="AS334" s="1" t="s">
        <v>75</v>
      </c>
      <c r="AT334" s="1">
        <v>0</v>
      </c>
      <c r="AU334" s="1" t="s">
        <v>69</v>
      </c>
      <c r="AV334" s="1" t="s">
        <v>83</v>
      </c>
      <c r="AW334" s="1" t="s">
        <v>96</v>
      </c>
      <c r="AX334" s="1">
        <v>0</v>
      </c>
      <c r="AY334" s="1">
        <v>0</v>
      </c>
      <c r="AZ334" s="1" t="s">
        <v>503</v>
      </c>
      <c r="BA334" s="1" t="s">
        <v>79</v>
      </c>
      <c r="BB334" s="1" t="s">
        <v>503</v>
      </c>
      <c r="BC334" s="1" t="s">
        <v>79</v>
      </c>
      <c r="BD334" s="1" t="s">
        <v>503</v>
      </c>
      <c r="BE334" s="1" t="s">
        <v>79</v>
      </c>
      <c r="BF334" s="5" t="s">
        <v>83</v>
      </c>
    </row>
    <row r="335" spans="1:58" x14ac:dyDescent="0.35">
      <c r="A335" s="4">
        <v>334</v>
      </c>
      <c r="B335" s="1" t="s">
        <v>2075</v>
      </c>
      <c r="C335" s="1" t="s">
        <v>63</v>
      </c>
      <c r="D335" s="1" t="s">
        <v>179</v>
      </c>
      <c r="E335" s="1" t="s">
        <v>69</v>
      </c>
      <c r="F335" s="1" t="s">
        <v>69</v>
      </c>
      <c r="G335" s="1" t="s">
        <v>69</v>
      </c>
      <c r="H335" s="1" t="s">
        <v>69</v>
      </c>
      <c r="I335" s="1" t="s">
        <v>70</v>
      </c>
      <c r="J335" s="1" t="s">
        <v>1168</v>
      </c>
      <c r="K335" s="1">
        <v>50</v>
      </c>
      <c r="L335" s="1" t="s">
        <v>225</v>
      </c>
      <c r="M335" s="1" t="s">
        <v>273</v>
      </c>
      <c r="N335" s="1" t="s">
        <v>110</v>
      </c>
      <c r="O335" s="1">
        <v>4</v>
      </c>
      <c r="P335" s="1">
        <v>4</v>
      </c>
      <c r="Q335" s="1">
        <f>data[[#This Row],[Nilai Kepentingan Dimensi Persyaratan]]-data[[#This Row],[Nilai Kepuasan Dimensi Persyaratan]]</f>
        <v>0</v>
      </c>
      <c r="R335" s="1">
        <v>4</v>
      </c>
      <c r="S335" s="1">
        <v>4</v>
      </c>
      <c r="T335" s="1">
        <f>data[[#This Row],[Nilai Kepentingan Dimensi Prosedur]]-data[[#This Row],[Nilai Kepuasan Dimensi Prosedur]]</f>
        <v>0</v>
      </c>
      <c r="U335" s="1">
        <v>4</v>
      </c>
      <c r="V335" s="1">
        <v>4</v>
      </c>
      <c r="W335" s="1">
        <f>data[[#This Row],[Nilai Kepentingan Dimensi Waktu Pelayanan/Penyelesaian]]-data[[#This Row],[Nilai Kepuasan Dimensi Waktu Pelayanan/Penyelesaian]]</f>
        <v>0</v>
      </c>
      <c r="X335" s="1">
        <v>0</v>
      </c>
      <c r="Y335" s="1">
        <v>0</v>
      </c>
      <c r="Z335" s="1">
        <f>data[[#This Row],[Nilai Kepentingan Dimensi Tarif/ Biaya]]-data[[#This Row],[Nilai Kepuasan Dimensi Tarif / Biaya]]</f>
        <v>0</v>
      </c>
      <c r="AA335" s="1">
        <v>4</v>
      </c>
      <c r="AB335" s="1">
        <v>4</v>
      </c>
      <c r="AC335" s="1">
        <f>data[[#This Row],[Nilai Kepentingan Dimensi Produk Spesifikasi Jenis Layanan]]-data[[#This Row],[Nilai Kepuasan Dimensi Produk Spesifikasi Jenis Layanan]]</f>
        <v>0</v>
      </c>
      <c r="AD335" s="1">
        <v>4</v>
      </c>
      <c r="AE335" s="1">
        <v>4</v>
      </c>
      <c r="AF335" s="1">
        <f>data[[#This Row],[Nilai Kepentingan Dimensi Kompetensi Pelaksana]]-data[[#This Row],[Nilai Kepuasan Dimensi Kompetensi Pelaksana]]</f>
        <v>0</v>
      </c>
      <c r="AG335" s="1">
        <v>4</v>
      </c>
      <c r="AH335" s="1">
        <v>4</v>
      </c>
      <c r="AI335" s="1">
        <f>data[[#This Row],[Nilai Kepentingan Dimensi Perilaku Pelaksana]]-data[[#This Row],[Nilai Kepuasan Dimensi Perilaku Pelaksana]]</f>
        <v>0</v>
      </c>
      <c r="AJ335" s="1">
        <v>4</v>
      </c>
      <c r="AK335" s="1">
        <v>4</v>
      </c>
      <c r="AL335" s="1">
        <f>data[[#This Row],[Nilai Kepentingan Dimensi Penanganan Pengaduan, Saran &amp; Masukan]]-data[[#This Row],[Nilai Kepuasan Dimensi Penanganan Pengaduan, Saran &amp; Masukan]]</f>
        <v>0</v>
      </c>
      <c r="AM335" s="1">
        <v>4</v>
      </c>
      <c r="AN335" s="1">
        <v>4</v>
      </c>
      <c r="AO335" s="1">
        <f>data[[#This Row],[Nilai Kepentingan Dimensi Kualitas Sarana dan Prasarana]]-data[[#This Row],[Nilai Kepuasan Dimensi Kualitas Sarana dan Prasarana]]</f>
        <v>0</v>
      </c>
      <c r="AP335" s="1">
        <v>0</v>
      </c>
      <c r="AQ335" s="1" t="s">
        <v>69</v>
      </c>
      <c r="AR335" s="1">
        <v>3</v>
      </c>
      <c r="AS335" s="1" t="s">
        <v>75</v>
      </c>
      <c r="AT335" s="1">
        <v>0</v>
      </c>
      <c r="AU335" s="1" t="s">
        <v>69</v>
      </c>
      <c r="AV335" s="1" t="s">
        <v>83</v>
      </c>
      <c r="AW335" s="1" t="s">
        <v>96</v>
      </c>
      <c r="AX335" s="1">
        <v>0</v>
      </c>
      <c r="AY335" s="1">
        <v>0</v>
      </c>
      <c r="AZ335" s="1" t="s">
        <v>503</v>
      </c>
      <c r="BA335" s="1" t="s">
        <v>79</v>
      </c>
      <c r="BB335" s="1" t="s">
        <v>503</v>
      </c>
      <c r="BC335" s="1" t="s">
        <v>79</v>
      </c>
      <c r="BD335" s="1" t="s">
        <v>2080</v>
      </c>
      <c r="BE335" s="1" t="s">
        <v>685</v>
      </c>
      <c r="BF335" s="5" t="s">
        <v>83</v>
      </c>
    </row>
    <row r="336" spans="1:58" x14ac:dyDescent="0.35">
      <c r="A336" s="4">
        <v>335</v>
      </c>
      <c r="B336" s="1" t="s">
        <v>2081</v>
      </c>
      <c r="C336" s="1" t="s">
        <v>63</v>
      </c>
      <c r="D336" s="1" t="s">
        <v>179</v>
      </c>
      <c r="E336" s="1" t="s">
        <v>69</v>
      </c>
      <c r="F336" s="1" t="s">
        <v>69</v>
      </c>
      <c r="G336" s="1" t="s">
        <v>69</v>
      </c>
      <c r="H336" s="1" t="s">
        <v>69</v>
      </c>
      <c r="I336" s="1" t="s">
        <v>106</v>
      </c>
      <c r="J336" s="1" t="s">
        <v>1168</v>
      </c>
      <c r="K336" s="1">
        <v>27</v>
      </c>
      <c r="L336" s="1" t="s">
        <v>92</v>
      </c>
      <c r="M336" s="1" t="s">
        <v>73</v>
      </c>
      <c r="N336" s="1" t="s">
        <v>74</v>
      </c>
      <c r="O336" s="1">
        <v>4</v>
      </c>
      <c r="P336" s="1">
        <v>3</v>
      </c>
      <c r="Q336" s="1">
        <f>data[[#This Row],[Nilai Kepentingan Dimensi Persyaratan]]-data[[#This Row],[Nilai Kepuasan Dimensi Persyaratan]]</f>
        <v>-1</v>
      </c>
      <c r="R336" s="1">
        <v>4</v>
      </c>
      <c r="S336" s="1">
        <v>3</v>
      </c>
      <c r="T336" s="1">
        <f>data[[#This Row],[Nilai Kepentingan Dimensi Prosedur]]-data[[#This Row],[Nilai Kepuasan Dimensi Prosedur]]</f>
        <v>-1</v>
      </c>
      <c r="U336" s="1">
        <v>4</v>
      </c>
      <c r="V336" s="1">
        <v>4</v>
      </c>
      <c r="W336" s="1">
        <f>data[[#This Row],[Nilai Kepentingan Dimensi Waktu Pelayanan/Penyelesaian]]-data[[#This Row],[Nilai Kepuasan Dimensi Waktu Pelayanan/Penyelesaian]]</f>
        <v>0</v>
      </c>
      <c r="X336" s="1">
        <v>0</v>
      </c>
      <c r="Y336" s="1">
        <v>0</v>
      </c>
      <c r="Z336" s="1">
        <f>data[[#This Row],[Nilai Kepentingan Dimensi Tarif/ Biaya]]-data[[#This Row],[Nilai Kepuasan Dimensi Tarif / Biaya]]</f>
        <v>0</v>
      </c>
      <c r="AA336" s="1">
        <v>4</v>
      </c>
      <c r="AB336" s="1">
        <v>4</v>
      </c>
      <c r="AC336" s="1">
        <f>data[[#This Row],[Nilai Kepentingan Dimensi Produk Spesifikasi Jenis Layanan]]-data[[#This Row],[Nilai Kepuasan Dimensi Produk Spesifikasi Jenis Layanan]]</f>
        <v>0</v>
      </c>
      <c r="AD336" s="1">
        <v>4</v>
      </c>
      <c r="AE336" s="1">
        <v>4</v>
      </c>
      <c r="AF336" s="1">
        <f>data[[#This Row],[Nilai Kepentingan Dimensi Kompetensi Pelaksana]]-data[[#This Row],[Nilai Kepuasan Dimensi Kompetensi Pelaksana]]</f>
        <v>0</v>
      </c>
      <c r="AG336" s="1">
        <v>4</v>
      </c>
      <c r="AH336" s="1">
        <v>4</v>
      </c>
      <c r="AI336" s="1">
        <f>data[[#This Row],[Nilai Kepentingan Dimensi Perilaku Pelaksana]]-data[[#This Row],[Nilai Kepuasan Dimensi Perilaku Pelaksana]]</f>
        <v>0</v>
      </c>
      <c r="AJ336" s="1">
        <v>4</v>
      </c>
      <c r="AK336" s="1">
        <v>3</v>
      </c>
      <c r="AL336" s="1">
        <f>data[[#This Row],[Nilai Kepentingan Dimensi Penanganan Pengaduan, Saran &amp; Masukan]]-data[[#This Row],[Nilai Kepuasan Dimensi Penanganan Pengaduan, Saran &amp; Masukan]]</f>
        <v>-1</v>
      </c>
      <c r="AM336" s="1">
        <v>3</v>
      </c>
      <c r="AN336" s="1">
        <v>3</v>
      </c>
      <c r="AO336" s="1">
        <f>data[[#This Row],[Nilai Kepentingan Dimensi Kualitas Sarana dan Prasarana]]-data[[#This Row],[Nilai Kepuasan Dimensi Kualitas Sarana dan Prasarana]]</f>
        <v>0</v>
      </c>
      <c r="AP336" s="1">
        <v>4</v>
      </c>
      <c r="AQ336" s="1" t="s">
        <v>75</v>
      </c>
      <c r="AR336" s="1">
        <v>0</v>
      </c>
      <c r="AS336" s="1" t="s">
        <v>69</v>
      </c>
      <c r="AT336" s="1">
        <v>0</v>
      </c>
      <c r="AU336" s="1" t="s">
        <v>69</v>
      </c>
      <c r="AV336" s="1" t="s">
        <v>83</v>
      </c>
      <c r="AW336" s="1" t="s">
        <v>96</v>
      </c>
      <c r="AX336" s="1">
        <v>0</v>
      </c>
      <c r="AY336" s="1">
        <v>0</v>
      </c>
      <c r="AZ336" s="1" t="s">
        <v>98</v>
      </c>
      <c r="BA336" s="1" t="s">
        <v>99</v>
      </c>
      <c r="BB336" s="1" t="s">
        <v>98</v>
      </c>
      <c r="BC336" s="1" t="s">
        <v>99</v>
      </c>
      <c r="BD336" s="1" t="s">
        <v>98</v>
      </c>
      <c r="BE336" s="1" t="s">
        <v>99</v>
      </c>
      <c r="BF336" s="5" t="s">
        <v>98</v>
      </c>
    </row>
    <row r="337" spans="1:58" x14ac:dyDescent="0.35">
      <c r="A337" s="4">
        <v>336</v>
      </c>
      <c r="B337" s="1" t="s">
        <v>2085</v>
      </c>
      <c r="C337" s="1" t="s">
        <v>63</v>
      </c>
      <c r="D337" s="1" t="s">
        <v>86</v>
      </c>
      <c r="E337" s="1" t="s">
        <v>69</v>
      </c>
      <c r="F337" s="1" t="s">
        <v>69</v>
      </c>
      <c r="G337" s="1" t="s">
        <v>69</v>
      </c>
      <c r="H337" s="1" t="s">
        <v>69</v>
      </c>
      <c r="I337" s="1" t="s">
        <v>70</v>
      </c>
      <c r="J337" s="1" t="s">
        <v>1168</v>
      </c>
      <c r="K337" s="1">
        <v>32</v>
      </c>
      <c r="L337" s="1" t="s">
        <v>109</v>
      </c>
      <c r="M337" s="1" t="s">
        <v>73</v>
      </c>
      <c r="N337" s="1" t="s">
        <v>110</v>
      </c>
      <c r="O337" s="1">
        <v>3</v>
      </c>
      <c r="P337" s="1">
        <v>4</v>
      </c>
      <c r="Q337" s="1">
        <f>data[[#This Row],[Nilai Kepentingan Dimensi Persyaratan]]-data[[#This Row],[Nilai Kepuasan Dimensi Persyaratan]]</f>
        <v>1</v>
      </c>
      <c r="R337" s="1">
        <v>3</v>
      </c>
      <c r="S337" s="1">
        <v>4</v>
      </c>
      <c r="T337" s="1">
        <f>data[[#This Row],[Nilai Kepentingan Dimensi Prosedur]]-data[[#This Row],[Nilai Kepuasan Dimensi Prosedur]]</f>
        <v>1</v>
      </c>
      <c r="U337" s="1">
        <v>4</v>
      </c>
      <c r="V337" s="1">
        <v>4</v>
      </c>
      <c r="W337" s="1">
        <f>data[[#This Row],[Nilai Kepentingan Dimensi Waktu Pelayanan/Penyelesaian]]-data[[#This Row],[Nilai Kepuasan Dimensi Waktu Pelayanan/Penyelesaian]]</f>
        <v>0</v>
      </c>
      <c r="X337" s="1">
        <v>0</v>
      </c>
      <c r="Y337" s="1">
        <v>0</v>
      </c>
      <c r="Z337" s="1">
        <f>data[[#This Row],[Nilai Kepentingan Dimensi Tarif/ Biaya]]-data[[#This Row],[Nilai Kepuasan Dimensi Tarif / Biaya]]</f>
        <v>0</v>
      </c>
      <c r="AA337" s="1">
        <v>4</v>
      </c>
      <c r="AB337" s="1">
        <v>4</v>
      </c>
      <c r="AC337" s="1">
        <f>data[[#This Row],[Nilai Kepentingan Dimensi Produk Spesifikasi Jenis Layanan]]-data[[#This Row],[Nilai Kepuasan Dimensi Produk Spesifikasi Jenis Layanan]]</f>
        <v>0</v>
      </c>
      <c r="AD337" s="1">
        <v>3</v>
      </c>
      <c r="AE337" s="1">
        <v>4</v>
      </c>
      <c r="AF337" s="1">
        <f>data[[#This Row],[Nilai Kepentingan Dimensi Kompetensi Pelaksana]]-data[[#This Row],[Nilai Kepuasan Dimensi Kompetensi Pelaksana]]</f>
        <v>1</v>
      </c>
      <c r="AG337" s="1">
        <v>4</v>
      </c>
      <c r="AH337" s="1">
        <v>4</v>
      </c>
      <c r="AI337" s="1">
        <f>data[[#This Row],[Nilai Kepentingan Dimensi Perilaku Pelaksana]]-data[[#This Row],[Nilai Kepuasan Dimensi Perilaku Pelaksana]]</f>
        <v>0</v>
      </c>
      <c r="AJ337" s="1">
        <v>3</v>
      </c>
      <c r="AK337" s="1">
        <v>4</v>
      </c>
      <c r="AL337" s="1">
        <f>data[[#This Row],[Nilai Kepentingan Dimensi Penanganan Pengaduan, Saran &amp; Masukan]]-data[[#This Row],[Nilai Kepuasan Dimensi Penanganan Pengaduan, Saran &amp; Masukan]]</f>
        <v>1</v>
      </c>
      <c r="AM337" s="1">
        <v>3</v>
      </c>
      <c r="AN337" s="1">
        <v>4</v>
      </c>
      <c r="AO337" s="1">
        <f>data[[#This Row],[Nilai Kepentingan Dimensi Kualitas Sarana dan Prasarana]]-data[[#This Row],[Nilai Kepuasan Dimensi Kualitas Sarana dan Prasarana]]</f>
        <v>1</v>
      </c>
      <c r="AP337" s="1">
        <v>0</v>
      </c>
      <c r="AQ337" s="1" t="s">
        <v>69</v>
      </c>
      <c r="AR337" s="1">
        <v>0</v>
      </c>
      <c r="AS337" s="1" t="s">
        <v>69</v>
      </c>
      <c r="AT337" s="1">
        <v>0</v>
      </c>
      <c r="AU337" s="1" t="s">
        <v>69</v>
      </c>
      <c r="AV337" s="1" t="s">
        <v>2074</v>
      </c>
      <c r="AW337" s="1" t="s">
        <v>1162</v>
      </c>
      <c r="AX337" s="1">
        <v>1</v>
      </c>
      <c r="AY337" s="1">
        <v>4</v>
      </c>
      <c r="AZ337" s="1" t="s">
        <v>98</v>
      </c>
      <c r="BA337" s="1" t="s">
        <v>99</v>
      </c>
      <c r="BB337" s="1" t="s">
        <v>98</v>
      </c>
      <c r="BC337" s="1" t="s">
        <v>99</v>
      </c>
      <c r="BD337" s="1" t="s">
        <v>98</v>
      </c>
      <c r="BE337" s="1" t="s">
        <v>99</v>
      </c>
      <c r="BF337" s="5" t="s">
        <v>98</v>
      </c>
    </row>
    <row r="338" spans="1:58" x14ac:dyDescent="0.35">
      <c r="A338" s="4">
        <v>337</v>
      </c>
      <c r="B338" s="1" t="s">
        <v>2090</v>
      </c>
      <c r="C338" s="1" t="s">
        <v>63</v>
      </c>
      <c r="D338" s="1" t="s">
        <v>63</v>
      </c>
      <c r="E338" s="1" t="s">
        <v>69</v>
      </c>
      <c r="F338" s="1" t="s">
        <v>69</v>
      </c>
      <c r="G338" s="1" t="s">
        <v>69</v>
      </c>
      <c r="H338" s="1" t="s">
        <v>69</v>
      </c>
      <c r="I338" s="1" t="s">
        <v>70</v>
      </c>
      <c r="J338" s="1" t="s">
        <v>1168</v>
      </c>
      <c r="K338" s="1">
        <v>39</v>
      </c>
      <c r="L338" s="1" t="s">
        <v>153</v>
      </c>
      <c r="M338" s="1" t="s">
        <v>254</v>
      </c>
      <c r="N338" s="1" t="s">
        <v>110</v>
      </c>
      <c r="O338" s="1">
        <v>4</v>
      </c>
      <c r="P338" s="1">
        <v>4</v>
      </c>
      <c r="Q338" s="1">
        <f>data[[#This Row],[Nilai Kepentingan Dimensi Persyaratan]]-data[[#This Row],[Nilai Kepuasan Dimensi Persyaratan]]</f>
        <v>0</v>
      </c>
      <c r="R338" s="1">
        <v>4</v>
      </c>
      <c r="S338" s="1">
        <v>4</v>
      </c>
      <c r="T338" s="1">
        <f>data[[#This Row],[Nilai Kepentingan Dimensi Prosedur]]-data[[#This Row],[Nilai Kepuasan Dimensi Prosedur]]</f>
        <v>0</v>
      </c>
      <c r="U338" s="1">
        <v>3</v>
      </c>
      <c r="V338" s="1">
        <v>3</v>
      </c>
      <c r="W338" s="1">
        <f>data[[#This Row],[Nilai Kepentingan Dimensi Waktu Pelayanan/Penyelesaian]]-data[[#This Row],[Nilai Kepuasan Dimensi Waktu Pelayanan/Penyelesaian]]</f>
        <v>0</v>
      </c>
      <c r="X338" s="1">
        <v>0</v>
      </c>
      <c r="Y338" s="1">
        <v>0</v>
      </c>
      <c r="Z338" s="1">
        <f>data[[#This Row],[Nilai Kepentingan Dimensi Tarif/ Biaya]]-data[[#This Row],[Nilai Kepuasan Dimensi Tarif / Biaya]]</f>
        <v>0</v>
      </c>
      <c r="AA338" s="1">
        <v>3</v>
      </c>
      <c r="AB338" s="1">
        <v>4</v>
      </c>
      <c r="AC338" s="1">
        <f>data[[#This Row],[Nilai Kepentingan Dimensi Produk Spesifikasi Jenis Layanan]]-data[[#This Row],[Nilai Kepuasan Dimensi Produk Spesifikasi Jenis Layanan]]</f>
        <v>1</v>
      </c>
      <c r="AD338" s="1">
        <v>4</v>
      </c>
      <c r="AE338" s="1">
        <v>4</v>
      </c>
      <c r="AF338" s="1">
        <f>data[[#This Row],[Nilai Kepentingan Dimensi Kompetensi Pelaksana]]-data[[#This Row],[Nilai Kepuasan Dimensi Kompetensi Pelaksana]]</f>
        <v>0</v>
      </c>
      <c r="AG338" s="1">
        <v>4</v>
      </c>
      <c r="AH338" s="1">
        <v>4</v>
      </c>
      <c r="AI338" s="1">
        <f>data[[#This Row],[Nilai Kepentingan Dimensi Perilaku Pelaksana]]-data[[#This Row],[Nilai Kepuasan Dimensi Perilaku Pelaksana]]</f>
        <v>0</v>
      </c>
      <c r="AJ338" s="1">
        <v>4</v>
      </c>
      <c r="AK338" s="1">
        <v>4</v>
      </c>
      <c r="AL338" s="1">
        <f>data[[#This Row],[Nilai Kepentingan Dimensi Penanganan Pengaduan, Saran &amp; Masukan]]-data[[#This Row],[Nilai Kepuasan Dimensi Penanganan Pengaduan, Saran &amp; Masukan]]</f>
        <v>0</v>
      </c>
      <c r="AM338" s="1">
        <v>3</v>
      </c>
      <c r="AN338" s="1">
        <v>3</v>
      </c>
      <c r="AO338" s="1">
        <f>data[[#This Row],[Nilai Kepentingan Dimensi Kualitas Sarana dan Prasarana]]-data[[#This Row],[Nilai Kepuasan Dimensi Kualitas Sarana dan Prasarana]]</f>
        <v>0</v>
      </c>
      <c r="AP338" s="1">
        <v>0</v>
      </c>
      <c r="AQ338" s="1" t="s">
        <v>69</v>
      </c>
      <c r="AR338" s="1">
        <v>0</v>
      </c>
      <c r="AS338" s="1" t="s">
        <v>69</v>
      </c>
      <c r="AT338" s="1">
        <v>4</v>
      </c>
      <c r="AU338" s="1" t="s">
        <v>69</v>
      </c>
      <c r="AV338" s="1" t="s">
        <v>83</v>
      </c>
      <c r="AW338" s="1" t="s">
        <v>96</v>
      </c>
      <c r="AX338" s="1">
        <v>0</v>
      </c>
      <c r="AY338" s="1">
        <v>0</v>
      </c>
      <c r="AZ338" s="1" t="s">
        <v>98</v>
      </c>
      <c r="BA338" s="1" t="s">
        <v>99</v>
      </c>
      <c r="BB338" s="1" t="s">
        <v>98</v>
      </c>
      <c r="BC338" s="1" t="s">
        <v>99</v>
      </c>
      <c r="BD338" s="1" t="s">
        <v>2093</v>
      </c>
      <c r="BE338" s="1" t="s">
        <v>146</v>
      </c>
      <c r="BF338" s="5" t="s">
        <v>98</v>
      </c>
    </row>
    <row r="339" spans="1:58" x14ac:dyDescent="0.35">
      <c r="A339" s="4">
        <v>338</v>
      </c>
      <c r="B339" s="1" t="s">
        <v>2094</v>
      </c>
      <c r="C339" s="1" t="s">
        <v>63</v>
      </c>
      <c r="D339" s="1" t="s">
        <v>86</v>
      </c>
      <c r="E339" s="1" t="s">
        <v>69</v>
      </c>
      <c r="F339" s="1" t="s">
        <v>69</v>
      </c>
      <c r="G339" s="1" t="s">
        <v>69</v>
      </c>
      <c r="H339" s="1" t="s">
        <v>69</v>
      </c>
      <c r="I339" s="1" t="s">
        <v>70</v>
      </c>
      <c r="J339" s="1" t="s">
        <v>1168</v>
      </c>
      <c r="K339" s="1">
        <v>36</v>
      </c>
      <c r="L339" s="1" t="s">
        <v>153</v>
      </c>
      <c r="M339" s="1" t="s">
        <v>73</v>
      </c>
      <c r="N339" s="1" t="s">
        <v>232</v>
      </c>
      <c r="O339" s="1">
        <v>4</v>
      </c>
      <c r="P339" s="1">
        <v>4</v>
      </c>
      <c r="Q339" s="1">
        <f>data[[#This Row],[Nilai Kepentingan Dimensi Persyaratan]]-data[[#This Row],[Nilai Kepuasan Dimensi Persyaratan]]</f>
        <v>0</v>
      </c>
      <c r="R339" s="1">
        <v>4</v>
      </c>
      <c r="S339" s="1">
        <v>4</v>
      </c>
      <c r="T339" s="1">
        <f>data[[#This Row],[Nilai Kepentingan Dimensi Prosedur]]-data[[#This Row],[Nilai Kepuasan Dimensi Prosedur]]</f>
        <v>0</v>
      </c>
      <c r="U339" s="1">
        <v>4</v>
      </c>
      <c r="V339" s="1">
        <v>4</v>
      </c>
      <c r="W339" s="1">
        <f>data[[#This Row],[Nilai Kepentingan Dimensi Waktu Pelayanan/Penyelesaian]]-data[[#This Row],[Nilai Kepuasan Dimensi Waktu Pelayanan/Penyelesaian]]</f>
        <v>0</v>
      </c>
      <c r="X339" s="1">
        <v>0</v>
      </c>
      <c r="Y339" s="1">
        <v>0</v>
      </c>
      <c r="Z339" s="1">
        <f>data[[#This Row],[Nilai Kepentingan Dimensi Tarif/ Biaya]]-data[[#This Row],[Nilai Kepuasan Dimensi Tarif / Biaya]]</f>
        <v>0</v>
      </c>
      <c r="AA339" s="1">
        <v>4</v>
      </c>
      <c r="AB339" s="1">
        <v>4</v>
      </c>
      <c r="AC339" s="1">
        <f>data[[#This Row],[Nilai Kepentingan Dimensi Produk Spesifikasi Jenis Layanan]]-data[[#This Row],[Nilai Kepuasan Dimensi Produk Spesifikasi Jenis Layanan]]</f>
        <v>0</v>
      </c>
      <c r="AD339" s="1">
        <v>4</v>
      </c>
      <c r="AE339" s="1">
        <v>4</v>
      </c>
      <c r="AF339" s="1">
        <f>data[[#This Row],[Nilai Kepentingan Dimensi Kompetensi Pelaksana]]-data[[#This Row],[Nilai Kepuasan Dimensi Kompetensi Pelaksana]]</f>
        <v>0</v>
      </c>
      <c r="AG339" s="1">
        <v>4</v>
      </c>
      <c r="AH339" s="1">
        <v>4</v>
      </c>
      <c r="AI339" s="1">
        <f>data[[#This Row],[Nilai Kepentingan Dimensi Perilaku Pelaksana]]-data[[#This Row],[Nilai Kepuasan Dimensi Perilaku Pelaksana]]</f>
        <v>0</v>
      </c>
      <c r="AJ339" s="1">
        <v>4</v>
      </c>
      <c r="AK339" s="1">
        <v>4</v>
      </c>
      <c r="AL339" s="1">
        <f>data[[#This Row],[Nilai Kepentingan Dimensi Penanganan Pengaduan, Saran &amp; Masukan]]-data[[#This Row],[Nilai Kepuasan Dimensi Penanganan Pengaduan, Saran &amp; Masukan]]</f>
        <v>0</v>
      </c>
      <c r="AM339" s="1">
        <v>4</v>
      </c>
      <c r="AN339" s="1">
        <v>4</v>
      </c>
      <c r="AO339" s="1">
        <f>data[[#This Row],[Nilai Kepentingan Dimensi Kualitas Sarana dan Prasarana]]-data[[#This Row],[Nilai Kepuasan Dimensi Kualitas Sarana dan Prasarana]]</f>
        <v>0</v>
      </c>
      <c r="AP339" s="1">
        <v>0</v>
      </c>
      <c r="AQ339" s="1" t="s">
        <v>69</v>
      </c>
      <c r="AR339" s="1">
        <v>0</v>
      </c>
      <c r="AS339" s="1" t="s">
        <v>69</v>
      </c>
      <c r="AT339" s="1">
        <v>3</v>
      </c>
      <c r="AU339" s="1" t="s">
        <v>75</v>
      </c>
      <c r="AV339" s="1" t="s">
        <v>83</v>
      </c>
      <c r="AW339" s="1" t="s">
        <v>96</v>
      </c>
      <c r="AX339" s="1">
        <v>0</v>
      </c>
      <c r="AY339" s="1">
        <v>0</v>
      </c>
      <c r="AZ339" s="1" t="s">
        <v>98</v>
      </c>
      <c r="BA339" s="1" t="s">
        <v>99</v>
      </c>
      <c r="BB339" s="1" t="s">
        <v>98</v>
      </c>
      <c r="BC339" s="1" t="s">
        <v>99</v>
      </c>
      <c r="BD339" s="1" t="s">
        <v>98</v>
      </c>
      <c r="BE339" s="1" t="s">
        <v>99</v>
      </c>
      <c r="BF339" s="5" t="s">
        <v>98</v>
      </c>
    </row>
    <row r="340" spans="1:58" x14ac:dyDescent="0.35">
      <c r="A340" s="4">
        <v>339</v>
      </c>
      <c r="B340" s="1" t="s">
        <v>2097</v>
      </c>
      <c r="C340" s="1" t="s">
        <v>63</v>
      </c>
      <c r="D340" s="1" t="s">
        <v>149</v>
      </c>
      <c r="E340" s="1" t="s">
        <v>69</v>
      </c>
      <c r="F340" s="1" t="s">
        <v>69</v>
      </c>
      <c r="G340" s="1" t="s">
        <v>69</v>
      </c>
      <c r="H340" s="1" t="s">
        <v>69</v>
      </c>
      <c r="I340" s="1" t="s">
        <v>106</v>
      </c>
      <c r="J340" s="1" t="s">
        <v>1168</v>
      </c>
      <c r="K340" s="1">
        <v>41</v>
      </c>
      <c r="L340" s="1" t="s">
        <v>197</v>
      </c>
      <c r="M340" s="1" t="s">
        <v>273</v>
      </c>
      <c r="N340" s="1" t="s">
        <v>110</v>
      </c>
      <c r="O340" s="1">
        <v>3</v>
      </c>
      <c r="P340" s="1">
        <v>4</v>
      </c>
      <c r="Q340" s="1">
        <f>data[[#This Row],[Nilai Kepentingan Dimensi Persyaratan]]-data[[#This Row],[Nilai Kepuasan Dimensi Persyaratan]]</f>
        <v>1</v>
      </c>
      <c r="R340" s="1">
        <v>3</v>
      </c>
      <c r="S340" s="1">
        <v>3</v>
      </c>
      <c r="T340" s="1">
        <f>data[[#This Row],[Nilai Kepentingan Dimensi Prosedur]]-data[[#This Row],[Nilai Kepuasan Dimensi Prosedur]]</f>
        <v>0</v>
      </c>
      <c r="U340" s="1">
        <v>3</v>
      </c>
      <c r="V340" s="1">
        <v>3</v>
      </c>
      <c r="W340" s="1">
        <f>data[[#This Row],[Nilai Kepentingan Dimensi Waktu Pelayanan/Penyelesaian]]-data[[#This Row],[Nilai Kepuasan Dimensi Waktu Pelayanan/Penyelesaian]]</f>
        <v>0</v>
      </c>
      <c r="X340" s="1">
        <v>0</v>
      </c>
      <c r="Y340" s="1">
        <v>0</v>
      </c>
      <c r="Z340" s="1">
        <f>data[[#This Row],[Nilai Kepentingan Dimensi Tarif/ Biaya]]-data[[#This Row],[Nilai Kepuasan Dimensi Tarif / Biaya]]</f>
        <v>0</v>
      </c>
      <c r="AA340" s="1">
        <v>3</v>
      </c>
      <c r="AB340" s="1">
        <v>3</v>
      </c>
      <c r="AC340" s="1">
        <f>data[[#This Row],[Nilai Kepentingan Dimensi Produk Spesifikasi Jenis Layanan]]-data[[#This Row],[Nilai Kepuasan Dimensi Produk Spesifikasi Jenis Layanan]]</f>
        <v>0</v>
      </c>
      <c r="AD340" s="1">
        <v>3</v>
      </c>
      <c r="AE340" s="1">
        <v>3</v>
      </c>
      <c r="AF340" s="1">
        <f>data[[#This Row],[Nilai Kepentingan Dimensi Kompetensi Pelaksana]]-data[[#This Row],[Nilai Kepuasan Dimensi Kompetensi Pelaksana]]</f>
        <v>0</v>
      </c>
      <c r="AG340" s="1">
        <v>3</v>
      </c>
      <c r="AH340" s="1">
        <v>3</v>
      </c>
      <c r="AI340" s="1">
        <f>data[[#This Row],[Nilai Kepentingan Dimensi Perilaku Pelaksana]]-data[[#This Row],[Nilai Kepuasan Dimensi Perilaku Pelaksana]]</f>
        <v>0</v>
      </c>
      <c r="AJ340" s="1">
        <v>3</v>
      </c>
      <c r="AK340" s="1">
        <v>3</v>
      </c>
      <c r="AL340" s="1">
        <f>data[[#This Row],[Nilai Kepentingan Dimensi Penanganan Pengaduan, Saran &amp; Masukan]]-data[[#This Row],[Nilai Kepuasan Dimensi Penanganan Pengaduan, Saran &amp; Masukan]]</f>
        <v>0</v>
      </c>
      <c r="AM340" s="1">
        <v>3</v>
      </c>
      <c r="AN340" s="1">
        <v>3</v>
      </c>
      <c r="AO340" s="1">
        <f>data[[#This Row],[Nilai Kepentingan Dimensi Kualitas Sarana dan Prasarana]]-data[[#This Row],[Nilai Kepuasan Dimensi Kualitas Sarana dan Prasarana]]</f>
        <v>0</v>
      </c>
      <c r="AP340" s="1">
        <v>0</v>
      </c>
      <c r="AQ340" s="1" t="s">
        <v>69</v>
      </c>
      <c r="AR340" s="1">
        <v>0</v>
      </c>
      <c r="AS340" s="1" t="s">
        <v>69</v>
      </c>
      <c r="AT340" s="1">
        <v>3</v>
      </c>
      <c r="AU340" s="1" t="s">
        <v>75</v>
      </c>
      <c r="AV340" s="1" t="s">
        <v>83</v>
      </c>
      <c r="AW340" s="1" t="s">
        <v>96</v>
      </c>
      <c r="AX340" s="1">
        <v>0</v>
      </c>
      <c r="AY340" s="1">
        <v>0</v>
      </c>
      <c r="AZ340" s="1" t="s">
        <v>98</v>
      </c>
      <c r="BA340" s="1" t="s">
        <v>99</v>
      </c>
      <c r="BB340" s="1" t="s">
        <v>98</v>
      </c>
      <c r="BC340" s="1" t="s">
        <v>99</v>
      </c>
      <c r="BD340" s="1" t="s">
        <v>98</v>
      </c>
      <c r="BE340" s="1" t="s">
        <v>99</v>
      </c>
      <c r="BF340" s="5" t="s">
        <v>98</v>
      </c>
    </row>
    <row r="341" spans="1:58" x14ac:dyDescent="0.35">
      <c r="A341" s="4">
        <v>340</v>
      </c>
      <c r="B341" s="1" t="s">
        <v>2101</v>
      </c>
      <c r="C341" s="1" t="s">
        <v>904</v>
      </c>
      <c r="D341" s="1" t="s">
        <v>1566</v>
      </c>
      <c r="E341" s="1" t="s">
        <v>69</v>
      </c>
      <c r="F341" s="1" t="s">
        <v>69</v>
      </c>
      <c r="G341" s="1" t="s">
        <v>69</v>
      </c>
      <c r="H341" s="1" t="s">
        <v>69</v>
      </c>
      <c r="I341" s="1" t="s">
        <v>106</v>
      </c>
      <c r="J341" s="1" t="s">
        <v>1168</v>
      </c>
      <c r="K341" s="1">
        <v>50</v>
      </c>
      <c r="L341" s="1" t="s">
        <v>225</v>
      </c>
      <c r="M341" s="1" t="s">
        <v>93</v>
      </c>
      <c r="N341" s="1" t="s">
        <v>74</v>
      </c>
      <c r="O341" s="1">
        <v>4</v>
      </c>
      <c r="P341" s="1">
        <v>4</v>
      </c>
      <c r="Q341" s="1">
        <f>data[[#This Row],[Nilai Kepentingan Dimensi Persyaratan]]-data[[#This Row],[Nilai Kepuasan Dimensi Persyaratan]]</f>
        <v>0</v>
      </c>
      <c r="R341" s="1">
        <v>3</v>
      </c>
      <c r="S341" s="1">
        <v>3</v>
      </c>
      <c r="T341" s="1">
        <f>data[[#This Row],[Nilai Kepentingan Dimensi Prosedur]]-data[[#This Row],[Nilai Kepuasan Dimensi Prosedur]]</f>
        <v>0</v>
      </c>
      <c r="U341" s="1">
        <v>4</v>
      </c>
      <c r="V341" s="1">
        <v>4</v>
      </c>
      <c r="W341" s="1">
        <f>data[[#This Row],[Nilai Kepentingan Dimensi Waktu Pelayanan/Penyelesaian]]-data[[#This Row],[Nilai Kepuasan Dimensi Waktu Pelayanan/Penyelesaian]]</f>
        <v>0</v>
      </c>
      <c r="X341" s="1">
        <v>0</v>
      </c>
      <c r="Y341" s="1">
        <v>0</v>
      </c>
      <c r="Z341" s="1">
        <f>data[[#This Row],[Nilai Kepentingan Dimensi Tarif/ Biaya]]-data[[#This Row],[Nilai Kepuasan Dimensi Tarif / Biaya]]</f>
        <v>0</v>
      </c>
      <c r="AA341" s="1">
        <v>4</v>
      </c>
      <c r="AB341" s="1">
        <v>4</v>
      </c>
      <c r="AC341" s="1">
        <f>data[[#This Row],[Nilai Kepentingan Dimensi Produk Spesifikasi Jenis Layanan]]-data[[#This Row],[Nilai Kepuasan Dimensi Produk Spesifikasi Jenis Layanan]]</f>
        <v>0</v>
      </c>
      <c r="AD341" s="1">
        <v>4</v>
      </c>
      <c r="AE341" s="1">
        <v>4</v>
      </c>
      <c r="AF341" s="1">
        <f>data[[#This Row],[Nilai Kepentingan Dimensi Kompetensi Pelaksana]]-data[[#This Row],[Nilai Kepuasan Dimensi Kompetensi Pelaksana]]</f>
        <v>0</v>
      </c>
      <c r="AG341" s="1">
        <v>3</v>
      </c>
      <c r="AH341" s="1">
        <v>3</v>
      </c>
      <c r="AI341" s="1">
        <f>data[[#This Row],[Nilai Kepentingan Dimensi Perilaku Pelaksana]]-data[[#This Row],[Nilai Kepuasan Dimensi Perilaku Pelaksana]]</f>
        <v>0</v>
      </c>
      <c r="AJ341" s="1">
        <v>4</v>
      </c>
      <c r="AK341" s="1">
        <v>4</v>
      </c>
      <c r="AL341" s="1">
        <f>data[[#This Row],[Nilai Kepentingan Dimensi Penanganan Pengaduan, Saran &amp; Masukan]]-data[[#This Row],[Nilai Kepuasan Dimensi Penanganan Pengaduan, Saran &amp; Masukan]]</f>
        <v>0</v>
      </c>
      <c r="AM341" s="1">
        <v>4</v>
      </c>
      <c r="AN341" s="1">
        <v>4</v>
      </c>
      <c r="AO341" s="1">
        <f>data[[#This Row],[Nilai Kepentingan Dimensi Kualitas Sarana dan Prasarana]]-data[[#This Row],[Nilai Kepuasan Dimensi Kualitas Sarana dan Prasarana]]</f>
        <v>0</v>
      </c>
      <c r="AP341" s="1">
        <v>4</v>
      </c>
      <c r="AQ341" s="1" t="s">
        <v>75</v>
      </c>
      <c r="AR341" s="1">
        <v>0</v>
      </c>
      <c r="AS341" s="1" t="s">
        <v>69</v>
      </c>
      <c r="AT341" s="1">
        <v>0</v>
      </c>
      <c r="AU341" s="1" t="s">
        <v>69</v>
      </c>
      <c r="AV341" s="1" t="s">
        <v>83</v>
      </c>
      <c r="AW341" s="1" t="s">
        <v>96</v>
      </c>
      <c r="AX341" s="1">
        <v>0</v>
      </c>
      <c r="AY341" s="1">
        <v>0</v>
      </c>
      <c r="AZ341" s="1" t="s">
        <v>1728</v>
      </c>
      <c r="BA341" s="1" t="s">
        <v>99</v>
      </c>
      <c r="BB341" s="1" t="s">
        <v>503</v>
      </c>
      <c r="BC341" s="1" t="s">
        <v>79</v>
      </c>
      <c r="BD341" s="1" t="s">
        <v>2105</v>
      </c>
      <c r="BE341" s="1" t="s">
        <v>1875</v>
      </c>
      <c r="BF341" s="5" t="s">
        <v>83</v>
      </c>
    </row>
    <row r="342" spans="1:58" x14ac:dyDescent="0.35">
      <c r="A342" s="4">
        <v>341</v>
      </c>
      <c r="B342" s="1" t="s">
        <v>2106</v>
      </c>
      <c r="C342" s="1" t="s">
        <v>63</v>
      </c>
      <c r="D342" s="1" t="s">
        <v>63</v>
      </c>
      <c r="E342" s="1" t="s">
        <v>69</v>
      </c>
      <c r="F342" s="1" t="s">
        <v>69</v>
      </c>
      <c r="G342" s="1" t="s">
        <v>69</v>
      </c>
      <c r="H342" s="1" t="s">
        <v>69</v>
      </c>
      <c r="I342" s="1" t="s">
        <v>70</v>
      </c>
      <c r="J342" s="1" t="s">
        <v>1168</v>
      </c>
      <c r="K342" s="1">
        <v>42</v>
      </c>
      <c r="L342" s="1" t="s">
        <v>197</v>
      </c>
      <c r="M342" s="1" t="s">
        <v>73</v>
      </c>
      <c r="N342" s="1" t="s">
        <v>74</v>
      </c>
      <c r="O342" s="1">
        <v>3</v>
      </c>
      <c r="P342" s="1">
        <v>4</v>
      </c>
      <c r="Q342" s="1">
        <f>data[[#This Row],[Nilai Kepentingan Dimensi Persyaratan]]-data[[#This Row],[Nilai Kepuasan Dimensi Persyaratan]]</f>
        <v>1</v>
      </c>
      <c r="R342" s="1">
        <v>3</v>
      </c>
      <c r="S342" s="1">
        <v>4</v>
      </c>
      <c r="T342" s="1">
        <f>data[[#This Row],[Nilai Kepentingan Dimensi Prosedur]]-data[[#This Row],[Nilai Kepuasan Dimensi Prosedur]]</f>
        <v>1</v>
      </c>
      <c r="U342" s="1">
        <v>4</v>
      </c>
      <c r="V342" s="1">
        <v>4</v>
      </c>
      <c r="W342" s="1">
        <f>data[[#This Row],[Nilai Kepentingan Dimensi Waktu Pelayanan/Penyelesaian]]-data[[#This Row],[Nilai Kepuasan Dimensi Waktu Pelayanan/Penyelesaian]]</f>
        <v>0</v>
      </c>
      <c r="X342" s="1">
        <v>0</v>
      </c>
      <c r="Y342" s="1">
        <v>0</v>
      </c>
      <c r="Z342" s="1">
        <f>data[[#This Row],[Nilai Kepentingan Dimensi Tarif/ Biaya]]-data[[#This Row],[Nilai Kepuasan Dimensi Tarif / Biaya]]</f>
        <v>0</v>
      </c>
      <c r="AA342" s="1">
        <v>3</v>
      </c>
      <c r="AB342" s="1">
        <v>4</v>
      </c>
      <c r="AC342" s="1">
        <f>data[[#This Row],[Nilai Kepentingan Dimensi Produk Spesifikasi Jenis Layanan]]-data[[#This Row],[Nilai Kepuasan Dimensi Produk Spesifikasi Jenis Layanan]]</f>
        <v>1</v>
      </c>
      <c r="AD342" s="1">
        <v>3</v>
      </c>
      <c r="AE342" s="1">
        <v>3</v>
      </c>
      <c r="AF342" s="1">
        <f>data[[#This Row],[Nilai Kepentingan Dimensi Kompetensi Pelaksana]]-data[[#This Row],[Nilai Kepuasan Dimensi Kompetensi Pelaksana]]</f>
        <v>0</v>
      </c>
      <c r="AG342" s="1">
        <v>3</v>
      </c>
      <c r="AH342" s="1">
        <v>3</v>
      </c>
      <c r="AI342" s="1">
        <f>data[[#This Row],[Nilai Kepentingan Dimensi Perilaku Pelaksana]]-data[[#This Row],[Nilai Kepuasan Dimensi Perilaku Pelaksana]]</f>
        <v>0</v>
      </c>
      <c r="AJ342" s="1">
        <v>3</v>
      </c>
      <c r="AK342" s="1">
        <v>3</v>
      </c>
      <c r="AL342" s="1">
        <f>data[[#This Row],[Nilai Kepentingan Dimensi Penanganan Pengaduan, Saran &amp; Masukan]]-data[[#This Row],[Nilai Kepuasan Dimensi Penanganan Pengaduan, Saran &amp; Masukan]]</f>
        <v>0</v>
      </c>
      <c r="AM342" s="1">
        <v>3</v>
      </c>
      <c r="AN342" s="1">
        <v>3</v>
      </c>
      <c r="AO342" s="1">
        <f>data[[#This Row],[Nilai Kepentingan Dimensi Kualitas Sarana dan Prasarana]]-data[[#This Row],[Nilai Kepuasan Dimensi Kualitas Sarana dan Prasarana]]</f>
        <v>0</v>
      </c>
      <c r="AP342" s="1">
        <v>0</v>
      </c>
      <c r="AQ342" s="1" t="s">
        <v>69</v>
      </c>
      <c r="AR342" s="1">
        <v>0</v>
      </c>
      <c r="AS342" s="1" t="s">
        <v>69</v>
      </c>
      <c r="AT342" s="1">
        <v>4</v>
      </c>
      <c r="AU342" s="1" t="s">
        <v>75</v>
      </c>
      <c r="AV342" s="1" t="s">
        <v>83</v>
      </c>
      <c r="AW342" s="1" t="s">
        <v>96</v>
      </c>
      <c r="AX342" s="1">
        <v>0</v>
      </c>
      <c r="AY342" s="1">
        <v>0</v>
      </c>
      <c r="AZ342" s="1" t="s">
        <v>98</v>
      </c>
      <c r="BA342" s="1" t="s">
        <v>99</v>
      </c>
      <c r="BB342" s="1" t="s">
        <v>98</v>
      </c>
      <c r="BC342" s="1" t="s">
        <v>99</v>
      </c>
      <c r="BD342" s="1" t="s">
        <v>98</v>
      </c>
      <c r="BE342" s="1" t="s">
        <v>99</v>
      </c>
      <c r="BF342" s="5" t="s">
        <v>98</v>
      </c>
    </row>
    <row r="343" spans="1:58" x14ac:dyDescent="0.35">
      <c r="A343" s="4">
        <v>342</v>
      </c>
      <c r="B343" s="1" t="s">
        <v>2109</v>
      </c>
      <c r="C343" s="1" t="s">
        <v>63</v>
      </c>
      <c r="D343" s="1" t="s">
        <v>125</v>
      </c>
      <c r="E343" s="1" t="s">
        <v>69</v>
      </c>
      <c r="F343" s="1" t="s">
        <v>69</v>
      </c>
      <c r="G343" s="1" t="s">
        <v>69</v>
      </c>
      <c r="H343" s="1" t="s">
        <v>69</v>
      </c>
      <c r="I343" s="1" t="s">
        <v>70</v>
      </c>
      <c r="J343" s="1" t="s">
        <v>1168</v>
      </c>
      <c r="K343" s="1">
        <v>32</v>
      </c>
      <c r="L343" s="1" t="s">
        <v>109</v>
      </c>
      <c r="M343" s="1" t="s">
        <v>73</v>
      </c>
      <c r="N343" s="1" t="s">
        <v>232</v>
      </c>
      <c r="O343" s="1">
        <v>3</v>
      </c>
      <c r="P343" s="1">
        <v>3</v>
      </c>
      <c r="Q343" s="1">
        <f>data[[#This Row],[Nilai Kepentingan Dimensi Persyaratan]]-data[[#This Row],[Nilai Kepuasan Dimensi Persyaratan]]</f>
        <v>0</v>
      </c>
      <c r="R343" s="1">
        <v>3</v>
      </c>
      <c r="S343" s="1">
        <v>3</v>
      </c>
      <c r="T343" s="1">
        <f>data[[#This Row],[Nilai Kepentingan Dimensi Prosedur]]-data[[#This Row],[Nilai Kepuasan Dimensi Prosedur]]</f>
        <v>0</v>
      </c>
      <c r="U343" s="1">
        <v>3</v>
      </c>
      <c r="V343" s="1">
        <v>3</v>
      </c>
      <c r="W343" s="1">
        <f>data[[#This Row],[Nilai Kepentingan Dimensi Waktu Pelayanan/Penyelesaian]]-data[[#This Row],[Nilai Kepuasan Dimensi Waktu Pelayanan/Penyelesaian]]</f>
        <v>0</v>
      </c>
      <c r="X343" s="1">
        <v>0</v>
      </c>
      <c r="Y343" s="1">
        <v>0</v>
      </c>
      <c r="Z343" s="1">
        <f>data[[#This Row],[Nilai Kepentingan Dimensi Tarif/ Biaya]]-data[[#This Row],[Nilai Kepuasan Dimensi Tarif / Biaya]]</f>
        <v>0</v>
      </c>
      <c r="AA343" s="1">
        <v>3</v>
      </c>
      <c r="AB343" s="1">
        <v>3</v>
      </c>
      <c r="AC343" s="1">
        <f>data[[#This Row],[Nilai Kepentingan Dimensi Produk Spesifikasi Jenis Layanan]]-data[[#This Row],[Nilai Kepuasan Dimensi Produk Spesifikasi Jenis Layanan]]</f>
        <v>0</v>
      </c>
      <c r="AD343" s="1">
        <v>3</v>
      </c>
      <c r="AE343" s="1">
        <v>3</v>
      </c>
      <c r="AF343" s="1">
        <f>data[[#This Row],[Nilai Kepentingan Dimensi Kompetensi Pelaksana]]-data[[#This Row],[Nilai Kepuasan Dimensi Kompetensi Pelaksana]]</f>
        <v>0</v>
      </c>
      <c r="AG343" s="1">
        <v>3</v>
      </c>
      <c r="AH343" s="1">
        <v>3</v>
      </c>
      <c r="AI343" s="1">
        <f>data[[#This Row],[Nilai Kepentingan Dimensi Perilaku Pelaksana]]-data[[#This Row],[Nilai Kepuasan Dimensi Perilaku Pelaksana]]</f>
        <v>0</v>
      </c>
      <c r="AJ343" s="1">
        <v>3</v>
      </c>
      <c r="AK343" s="1">
        <v>3</v>
      </c>
      <c r="AL343" s="1">
        <f>data[[#This Row],[Nilai Kepentingan Dimensi Penanganan Pengaduan, Saran &amp; Masukan]]-data[[#This Row],[Nilai Kepuasan Dimensi Penanganan Pengaduan, Saran &amp; Masukan]]</f>
        <v>0</v>
      </c>
      <c r="AM343" s="1">
        <v>3</v>
      </c>
      <c r="AN343" s="1">
        <v>3</v>
      </c>
      <c r="AO343" s="1">
        <f>data[[#This Row],[Nilai Kepentingan Dimensi Kualitas Sarana dan Prasarana]]-data[[#This Row],[Nilai Kepuasan Dimensi Kualitas Sarana dan Prasarana]]</f>
        <v>0</v>
      </c>
      <c r="AP343" s="1">
        <v>0</v>
      </c>
      <c r="AQ343" s="1" t="s">
        <v>69</v>
      </c>
      <c r="AR343" s="1">
        <v>0</v>
      </c>
      <c r="AS343" s="1" t="s">
        <v>69</v>
      </c>
      <c r="AT343" s="1">
        <v>3</v>
      </c>
      <c r="AU343" s="1" t="s">
        <v>75</v>
      </c>
      <c r="AV343" s="1" t="s">
        <v>83</v>
      </c>
      <c r="AW343" s="1" t="s">
        <v>96</v>
      </c>
      <c r="AX343" s="1">
        <v>0</v>
      </c>
      <c r="AY343" s="1">
        <v>0</v>
      </c>
      <c r="AZ343" s="1" t="s">
        <v>2112</v>
      </c>
      <c r="BA343" s="1" t="s">
        <v>2113</v>
      </c>
      <c r="BB343" s="1" t="s">
        <v>98</v>
      </c>
      <c r="BC343" s="1" t="s">
        <v>99</v>
      </c>
      <c r="BD343" s="1" t="s">
        <v>98</v>
      </c>
      <c r="BE343" s="1" t="s">
        <v>99</v>
      </c>
      <c r="BF343" s="5" t="s">
        <v>98</v>
      </c>
    </row>
    <row r="344" spans="1:58" x14ac:dyDescent="0.35">
      <c r="A344" s="4">
        <v>343</v>
      </c>
      <c r="B344" s="1" t="s">
        <v>2114</v>
      </c>
      <c r="C344" s="1" t="s">
        <v>2116</v>
      </c>
      <c r="D344" s="1" t="s">
        <v>2117</v>
      </c>
      <c r="E344" s="1" t="s">
        <v>69</v>
      </c>
      <c r="F344" s="1" t="s">
        <v>69</v>
      </c>
      <c r="G344" s="1" t="s">
        <v>69</v>
      </c>
      <c r="H344" s="1" t="s">
        <v>69</v>
      </c>
      <c r="I344" s="1" t="s">
        <v>106</v>
      </c>
      <c r="J344" s="1" t="s">
        <v>1168</v>
      </c>
      <c r="K344" s="1">
        <v>51</v>
      </c>
      <c r="L344" s="1" t="s">
        <v>383</v>
      </c>
      <c r="M344" s="1" t="s">
        <v>73</v>
      </c>
      <c r="N344" s="1" t="s">
        <v>110</v>
      </c>
      <c r="O344" s="1">
        <v>4</v>
      </c>
      <c r="P344" s="1">
        <v>4</v>
      </c>
      <c r="Q344" s="1">
        <f>data[[#This Row],[Nilai Kepentingan Dimensi Persyaratan]]-data[[#This Row],[Nilai Kepuasan Dimensi Persyaratan]]</f>
        <v>0</v>
      </c>
      <c r="R344" s="1">
        <v>4</v>
      </c>
      <c r="S344" s="1">
        <v>4</v>
      </c>
      <c r="T344" s="1">
        <f>data[[#This Row],[Nilai Kepentingan Dimensi Prosedur]]-data[[#This Row],[Nilai Kepuasan Dimensi Prosedur]]</f>
        <v>0</v>
      </c>
      <c r="U344" s="1">
        <v>4</v>
      </c>
      <c r="V344" s="1">
        <v>4</v>
      </c>
      <c r="W344" s="1">
        <f>data[[#This Row],[Nilai Kepentingan Dimensi Waktu Pelayanan/Penyelesaian]]-data[[#This Row],[Nilai Kepuasan Dimensi Waktu Pelayanan/Penyelesaian]]</f>
        <v>0</v>
      </c>
      <c r="X344" s="1">
        <v>0</v>
      </c>
      <c r="Y344" s="1">
        <v>0</v>
      </c>
      <c r="Z344" s="1">
        <f>data[[#This Row],[Nilai Kepentingan Dimensi Tarif/ Biaya]]-data[[#This Row],[Nilai Kepuasan Dimensi Tarif / Biaya]]</f>
        <v>0</v>
      </c>
      <c r="AA344" s="1">
        <v>4</v>
      </c>
      <c r="AB344" s="1">
        <v>4</v>
      </c>
      <c r="AC344" s="1">
        <f>data[[#This Row],[Nilai Kepentingan Dimensi Produk Spesifikasi Jenis Layanan]]-data[[#This Row],[Nilai Kepuasan Dimensi Produk Spesifikasi Jenis Layanan]]</f>
        <v>0</v>
      </c>
      <c r="AD344" s="1">
        <v>4</v>
      </c>
      <c r="AE344" s="1">
        <v>4</v>
      </c>
      <c r="AF344" s="1">
        <f>data[[#This Row],[Nilai Kepentingan Dimensi Kompetensi Pelaksana]]-data[[#This Row],[Nilai Kepuasan Dimensi Kompetensi Pelaksana]]</f>
        <v>0</v>
      </c>
      <c r="AG344" s="1">
        <v>4</v>
      </c>
      <c r="AH344" s="1">
        <v>4</v>
      </c>
      <c r="AI344" s="1">
        <f>data[[#This Row],[Nilai Kepentingan Dimensi Perilaku Pelaksana]]-data[[#This Row],[Nilai Kepuasan Dimensi Perilaku Pelaksana]]</f>
        <v>0</v>
      </c>
      <c r="AJ344" s="1">
        <v>4</v>
      </c>
      <c r="AK344" s="1">
        <v>4</v>
      </c>
      <c r="AL344" s="1">
        <f>data[[#This Row],[Nilai Kepentingan Dimensi Penanganan Pengaduan, Saran &amp; Masukan]]-data[[#This Row],[Nilai Kepuasan Dimensi Penanganan Pengaduan, Saran &amp; Masukan]]</f>
        <v>0</v>
      </c>
      <c r="AM344" s="1">
        <v>4</v>
      </c>
      <c r="AN344" s="1">
        <v>4</v>
      </c>
      <c r="AO344" s="1">
        <f>data[[#This Row],[Nilai Kepentingan Dimensi Kualitas Sarana dan Prasarana]]-data[[#This Row],[Nilai Kepuasan Dimensi Kualitas Sarana dan Prasarana]]</f>
        <v>0</v>
      </c>
      <c r="AP344" s="1">
        <v>0</v>
      </c>
      <c r="AQ344" s="1" t="s">
        <v>69</v>
      </c>
      <c r="AR344" s="1">
        <v>0</v>
      </c>
      <c r="AS344" s="1" t="s">
        <v>69</v>
      </c>
      <c r="AT344" s="1">
        <v>4</v>
      </c>
      <c r="AU344" s="1" t="s">
        <v>75</v>
      </c>
      <c r="AV344" s="1" t="s">
        <v>83</v>
      </c>
      <c r="AW344" s="1" t="s">
        <v>96</v>
      </c>
      <c r="AX344" s="1">
        <v>0</v>
      </c>
      <c r="AY344" s="1">
        <v>0</v>
      </c>
      <c r="AZ344" s="1" t="s">
        <v>98</v>
      </c>
      <c r="BA344" s="1" t="s">
        <v>99</v>
      </c>
      <c r="BB344" s="1" t="s">
        <v>98</v>
      </c>
      <c r="BC344" s="1" t="s">
        <v>99</v>
      </c>
      <c r="BD344" s="1" t="s">
        <v>98</v>
      </c>
      <c r="BE344" s="1" t="s">
        <v>99</v>
      </c>
      <c r="BF344" s="5" t="s">
        <v>98</v>
      </c>
    </row>
    <row r="345" spans="1:58" x14ac:dyDescent="0.35">
      <c r="A345" s="4">
        <v>344</v>
      </c>
      <c r="B345" s="1" t="s">
        <v>2120</v>
      </c>
      <c r="C345" s="1" t="s">
        <v>1723</v>
      </c>
      <c r="D345" s="1" t="s">
        <v>2122</v>
      </c>
      <c r="E345" s="1" t="s">
        <v>69</v>
      </c>
      <c r="F345" s="1" t="s">
        <v>69</v>
      </c>
      <c r="G345" s="1" t="s">
        <v>69</v>
      </c>
      <c r="H345" s="1" t="s">
        <v>69</v>
      </c>
      <c r="I345" s="1" t="s">
        <v>70</v>
      </c>
      <c r="J345" s="1" t="s">
        <v>1168</v>
      </c>
      <c r="K345" s="1">
        <v>25</v>
      </c>
      <c r="L345" s="1" t="s">
        <v>72</v>
      </c>
      <c r="M345" s="1" t="s">
        <v>73</v>
      </c>
      <c r="N345" s="1" t="s">
        <v>110</v>
      </c>
      <c r="O345" s="1">
        <v>4</v>
      </c>
      <c r="P345" s="1">
        <v>4</v>
      </c>
      <c r="Q345" s="1">
        <f>data[[#This Row],[Nilai Kepentingan Dimensi Persyaratan]]-data[[#This Row],[Nilai Kepuasan Dimensi Persyaratan]]</f>
        <v>0</v>
      </c>
      <c r="R345" s="1">
        <v>4</v>
      </c>
      <c r="S345" s="1">
        <v>4</v>
      </c>
      <c r="T345" s="1">
        <f>data[[#This Row],[Nilai Kepentingan Dimensi Prosedur]]-data[[#This Row],[Nilai Kepuasan Dimensi Prosedur]]</f>
        <v>0</v>
      </c>
      <c r="U345" s="1">
        <v>4</v>
      </c>
      <c r="V345" s="1">
        <v>4</v>
      </c>
      <c r="W345" s="1">
        <f>data[[#This Row],[Nilai Kepentingan Dimensi Waktu Pelayanan/Penyelesaian]]-data[[#This Row],[Nilai Kepuasan Dimensi Waktu Pelayanan/Penyelesaian]]</f>
        <v>0</v>
      </c>
      <c r="X345" s="1">
        <v>0</v>
      </c>
      <c r="Y345" s="1">
        <v>0</v>
      </c>
      <c r="Z345" s="1">
        <f>data[[#This Row],[Nilai Kepentingan Dimensi Tarif/ Biaya]]-data[[#This Row],[Nilai Kepuasan Dimensi Tarif / Biaya]]</f>
        <v>0</v>
      </c>
      <c r="AA345" s="1">
        <v>4</v>
      </c>
      <c r="AB345" s="1">
        <v>4</v>
      </c>
      <c r="AC345" s="1">
        <f>data[[#This Row],[Nilai Kepentingan Dimensi Produk Spesifikasi Jenis Layanan]]-data[[#This Row],[Nilai Kepuasan Dimensi Produk Spesifikasi Jenis Layanan]]</f>
        <v>0</v>
      </c>
      <c r="AD345" s="1">
        <v>4</v>
      </c>
      <c r="AE345" s="1">
        <v>4</v>
      </c>
      <c r="AF345" s="1">
        <f>data[[#This Row],[Nilai Kepentingan Dimensi Kompetensi Pelaksana]]-data[[#This Row],[Nilai Kepuasan Dimensi Kompetensi Pelaksana]]</f>
        <v>0</v>
      </c>
      <c r="AG345" s="1">
        <v>4</v>
      </c>
      <c r="AH345" s="1">
        <v>4</v>
      </c>
      <c r="AI345" s="1">
        <f>data[[#This Row],[Nilai Kepentingan Dimensi Perilaku Pelaksana]]-data[[#This Row],[Nilai Kepuasan Dimensi Perilaku Pelaksana]]</f>
        <v>0</v>
      </c>
      <c r="AJ345" s="1">
        <v>4</v>
      </c>
      <c r="AK345" s="1">
        <v>4</v>
      </c>
      <c r="AL345" s="1">
        <f>data[[#This Row],[Nilai Kepentingan Dimensi Penanganan Pengaduan, Saran &amp; Masukan]]-data[[#This Row],[Nilai Kepuasan Dimensi Penanganan Pengaduan, Saran &amp; Masukan]]</f>
        <v>0</v>
      </c>
      <c r="AM345" s="1">
        <v>4</v>
      </c>
      <c r="AN345" s="1">
        <v>4</v>
      </c>
      <c r="AO345" s="1">
        <f>data[[#This Row],[Nilai Kepentingan Dimensi Kualitas Sarana dan Prasarana]]-data[[#This Row],[Nilai Kepuasan Dimensi Kualitas Sarana dan Prasarana]]</f>
        <v>0</v>
      </c>
      <c r="AP345" s="1">
        <v>0</v>
      </c>
      <c r="AQ345" s="1" t="s">
        <v>69</v>
      </c>
      <c r="AR345" s="1">
        <v>0</v>
      </c>
      <c r="AS345" s="1" t="s">
        <v>69</v>
      </c>
      <c r="AT345" s="1">
        <v>3</v>
      </c>
      <c r="AU345" s="1" t="s">
        <v>75</v>
      </c>
      <c r="AV345" s="1" t="s">
        <v>83</v>
      </c>
      <c r="AW345" s="1" t="s">
        <v>96</v>
      </c>
      <c r="AX345" s="1">
        <v>0</v>
      </c>
      <c r="AY345" s="1">
        <v>0</v>
      </c>
      <c r="AZ345" s="1" t="s">
        <v>2124</v>
      </c>
      <c r="BA345" s="1" t="s">
        <v>99</v>
      </c>
      <c r="BB345" s="1" t="s">
        <v>442</v>
      </c>
      <c r="BC345" s="1" t="s">
        <v>79</v>
      </c>
      <c r="BD345" s="1" t="s">
        <v>442</v>
      </c>
      <c r="BE345" s="1" t="s">
        <v>79</v>
      </c>
      <c r="BF345" s="5" t="s">
        <v>83</v>
      </c>
    </row>
    <row r="346" spans="1:58" x14ac:dyDescent="0.35">
      <c r="A346" s="4">
        <v>345</v>
      </c>
      <c r="B346" s="1" t="s">
        <v>2125</v>
      </c>
      <c r="C346" s="1" t="s">
        <v>63</v>
      </c>
      <c r="D346" s="1" t="s">
        <v>2127</v>
      </c>
      <c r="E346" s="1" t="s">
        <v>69</v>
      </c>
      <c r="F346" s="1" t="s">
        <v>69</v>
      </c>
      <c r="G346" s="1" t="s">
        <v>69</v>
      </c>
      <c r="H346" s="1" t="s">
        <v>69</v>
      </c>
      <c r="I346" s="1" t="s">
        <v>70</v>
      </c>
      <c r="J346" s="1" t="s">
        <v>1168</v>
      </c>
      <c r="K346" s="1">
        <v>40</v>
      </c>
      <c r="L346" s="1" t="s">
        <v>153</v>
      </c>
      <c r="M346" s="1" t="s">
        <v>254</v>
      </c>
      <c r="N346" s="1" t="s">
        <v>110</v>
      </c>
      <c r="O346" s="1">
        <v>4</v>
      </c>
      <c r="P346" s="1">
        <v>4</v>
      </c>
      <c r="Q346" s="1">
        <f>data[[#This Row],[Nilai Kepentingan Dimensi Persyaratan]]-data[[#This Row],[Nilai Kepuasan Dimensi Persyaratan]]</f>
        <v>0</v>
      </c>
      <c r="R346" s="1">
        <v>4</v>
      </c>
      <c r="S346" s="1">
        <v>4</v>
      </c>
      <c r="T346" s="1">
        <f>data[[#This Row],[Nilai Kepentingan Dimensi Prosedur]]-data[[#This Row],[Nilai Kepuasan Dimensi Prosedur]]</f>
        <v>0</v>
      </c>
      <c r="U346" s="1">
        <v>4</v>
      </c>
      <c r="V346" s="1">
        <v>4</v>
      </c>
      <c r="W346" s="1">
        <f>data[[#This Row],[Nilai Kepentingan Dimensi Waktu Pelayanan/Penyelesaian]]-data[[#This Row],[Nilai Kepuasan Dimensi Waktu Pelayanan/Penyelesaian]]</f>
        <v>0</v>
      </c>
      <c r="X346" s="1">
        <v>0</v>
      </c>
      <c r="Y346" s="1">
        <v>0</v>
      </c>
      <c r="Z346" s="1">
        <f>data[[#This Row],[Nilai Kepentingan Dimensi Tarif/ Biaya]]-data[[#This Row],[Nilai Kepuasan Dimensi Tarif / Biaya]]</f>
        <v>0</v>
      </c>
      <c r="AA346" s="1">
        <v>4</v>
      </c>
      <c r="AB346" s="1">
        <v>4</v>
      </c>
      <c r="AC346" s="1">
        <f>data[[#This Row],[Nilai Kepentingan Dimensi Produk Spesifikasi Jenis Layanan]]-data[[#This Row],[Nilai Kepuasan Dimensi Produk Spesifikasi Jenis Layanan]]</f>
        <v>0</v>
      </c>
      <c r="AD346" s="1">
        <v>4</v>
      </c>
      <c r="AE346" s="1">
        <v>4</v>
      </c>
      <c r="AF346" s="1">
        <f>data[[#This Row],[Nilai Kepentingan Dimensi Kompetensi Pelaksana]]-data[[#This Row],[Nilai Kepuasan Dimensi Kompetensi Pelaksana]]</f>
        <v>0</v>
      </c>
      <c r="AG346" s="1">
        <v>4</v>
      </c>
      <c r="AH346" s="1">
        <v>4</v>
      </c>
      <c r="AI346" s="1">
        <f>data[[#This Row],[Nilai Kepentingan Dimensi Perilaku Pelaksana]]-data[[#This Row],[Nilai Kepuasan Dimensi Perilaku Pelaksana]]</f>
        <v>0</v>
      </c>
      <c r="AJ346" s="1">
        <v>4</v>
      </c>
      <c r="AK346" s="1">
        <v>4</v>
      </c>
      <c r="AL346" s="1">
        <f>data[[#This Row],[Nilai Kepentingan Dimensi Penanganan Pengaduan, Saran &amp; Masukan]]-data[[#This Row],[Nilai Kepuasan Dimensi Penanganan Pengaduan, Saran &amp; Masukan]]</f>
        <v>0</v>
      </c>
      <c r="AM346" s="1">
        <v>4</v>
      </c>
      <c r="AN346" s="1">
        <v>4</v>
      </c>
      <c r="AO346" s="1">
        <f>data[[#This Row],[Nilai Kepentingan Dimensi Kualitas Sarana dan Prasarana]]-data[[#This Row],[Nilai Kepuasan Dimensi Kualitas Sarana dan Prasarana]]</f>
        <v>0</v>
      </c>
      <c r="AP346" s="1">
        <v>0</v>
      </c>
      <c r="AQ346" s="1" t="s">
        <v>69</v>
      </c>
      <c r="AR346" s="1">
        <v>0</v>
      </c>
      <c r="AS346" s="1" t="s">
        <v>69</v>
      </c>
      <c r="AT346" s="1">
        <v>0</v>
      </c>
      <c r="AU346" s="1" t="s">
        <v>69</v>
      </c>
      <c r="AV346" s="1" t="s">
        <v>1278</v>
      </c>
      <c r="AW346" s="1" t="s">
        <v>186</v>
      </c>
      <c r="AX346" s="1">
        <v>1</v>
      </c>
      <c r="AY346" s="1">
        <v>4</v>
      </c>
      <c r="AZ346" s="1" t="s">
        <v>442</v>
      </c>
      <c r="BA346" s="1" t="s">
        <v>79</v>
      </c>
      <c r="BB346" s="1" t="s">
        <v>442</v>
      </c>
      <c r="BC346" s="1" t="s">
        <v>79</v>
      </c>
      <c r="BD346" s="1" t="s">
        <v>2130</v>
      </c>
      <c r="BE346" s="1" t="s">
        <v>1483</v>
      </c>
      <c r="BF346" s="5" t="s">
        <v>83</v>
      </c>
    </row>
    <row r="347" spans="1:58" x14ac:dyDescent="0.35">
      <c r="A347" s="4">
        <v>346</v>
      </c>
      <c r="B347" s="1" t="s">
        <v>2131</v>
      </c>
      <c r="C347" s="1" t="s">
        <v>63</v>
      </c>
      <c r="D347" s="1" t="s">
        <v>480</v>
      </c>
      <c r="E347" s="1" t="s">
        <v>69</v>
      </c>
      <c r="F347" s="1" t="s">
        <v>69</v>
      </c>
      <c r="G347" s="1" t="s">
        <v>69</v>
      </c>
      <c r="H347" s="1" t="s">
        <v>69</v>
      </c>
      <c r="I347" s="1" t="s">
        <v>70</v>
      </c>
      <c r="J347" s="1" t="s">
        <v>1168</v>
      </c>
      <c r="K347" s="1">
        <v>50</v>
      </c>
      <c r="L347" s="1" t="s">
        <v>225</v>
      </c>
      <c r="M347" s="1" t="s">
        <v>273</v>
      </c>
      <c r="N347" s="1" t="s">
        <v>74</v>
      </c>
      <c r="O347" s="1">
        <v>4</v>
      </c>
      <c r="P347" s="1">
        <v>4</v>
      </c>
      <c r="Q347" s="1">
        <f>data[[#This Row],[Nilai Kepentingan Dimensi Persyaratan]]-data[[#This Row],[Nilai Kepuasan Dimensi Persyaratan]]</f>
        <v>0</v>
      </c>
      <c r="R347" s="1">
        <v>4</v>
      </c>
      <c r="S347" s="1">
        <v>4</v>
      </c>
      <c r="T347" s="1">
        <f>data[[#This Row],[Nilai Kepentingan Dimensi Prosedur]]-data[[#This Row],[Nilai Kepuasan Dimensi Prosedur]]</f>
        <v>0</v>
      </c>
      <c r="U347" s="1">
        <v>3</v>
      </c>
      <c r="V347" s="1">
        <v>3</v>
      </c>
      <c r="W347" s="1">
        <f>data[[#This Row],[Nilai Kepentingan Dimensi Waktu Pelayanan/Penyelesaian]]-data[[#This Row],[Nilai Kepuasan Dimensi Waktu Pelayanan/Penyelesaian]]</f>
        <v>0</v>
      </c>
      <c r="X347" s="1">
        <v>0</v>
      </c>
      <c r="Y347" s="1">
        <v>0</v>
      </c>
      <c r="Z347" s="1">
        <f>data[[#This Row],[Nilai Kepentingan Dimensi Tarif/ Biaya]]-data[[#This Row],[Nilai Kepuasan Dimensi Tarif / Biaya]]</f>
        <v>0</v>
      </c>
      <c r="AA347" s="1">
        <v>3</v>
      </c>
      <c r="AB347" s="1">
        <v>3</v>
      </c>
      <c r="AC347" s="1">
        <f>data[[#This Row],[Nilai Kepentingan Dimensi Produk Spesifikasi Jenis Layanan]]-data[[#This Row],[Nilai Kepuasan Dimensi Produk Spesifikasi Jenis Layanan]]</f>
        <v>0</v>
      </c>
      <c r="AD347" s="1">
        <v>3</v>
      </c>
      <c r="AE347" s="1">
        <v>3</v>
      </c>
      <c r="AF347" s="1">
        <f>data[[#This Row],[Nilai Kepentingan Dimensi Kompetensi Pelaksana]]-data[[#This Row],[Nilai Kepuasan Dimensi Kompetensi Pelaksana]]</f>
        <v>0</v>
      </c>
      <c r="AG347" s="1">
        <v>4</v>
      </c>
      <c r="AH347" s="1">
        <v>4</v>
      </c>
      <c r="AI347" s="1">
        <f>data[[#This Row],[Nilai Kepentingan Dimensi Perilaku Pelaksana]]-data[[#This Row],[Nilai Kepuasan Dimensi Perilaku Pelaksana]]</f>
        <v>0</v>
      </c>
      <c r="AJ347" s="1">
        <v>3</v>
      </c>
      <c r="AK347" s="1">
        <v>3</v>
      </c>
      <c r="AL347" s="1">
        <f>data[[#This Row],[Nilai Kepentingan Dimensi Penanganan Pengaduan, Saran &amp; Masukan]]-data[[#This Row],[Nilai Kepuasan Dimensi Penanganan Pengaduan, Saran &amp; Masukan]]</f>
        <v>0</v>
      </c>
      <c r="AM347" s="1">
        <v>4</v>
      </c>
      <c r="AN347" s="1">
        <v>4</v>
      </c>
      <c r="AO347" s="1">
        <f>data[[#This Row],[Nilai Kepentingan Dimensi Kualitas Sarana dan Prasarana]]-data[[#This Row],[Nilai Kepuasan Dimensi Kualitas Sarana dan Prasarana]]</f>
        <v>0</v>
      </c>
      <c r="AP347" s="1">
        <v>0</v>
      </c>
      <c r="AQ347" s="1" t="s">
        <v>69</v>
      </c>
      <c r="AR347" s="1">
        <v>0</v>
      </c>
      <c r="AS347" s="1" t="s">
        <v>69</v>
      </c>
      <c r="AT347" s="1">
        <v>0</v>
      </c>
      <c r="AU347" s="1" t="s">
        <v>69</v>
      </c>
      <c r="AV347" s="1" t="s">
        <v>2135</v>
      </c>
      <c r="AW347" s="1" t="s">
        <v>144</v>
      </c>
      <c r="AX347" s="1">
        <v>2</v>
      </c>
      <c r="AY347" s="1">
        <v>3</v>
      </c>
      <c r="AZ347" s="1" t="s">
        <v>442</v>
      </c>
      <c r="BA347" s="1" t="s">
        <v>79</v>
      </c>
      <c r="BB347" s="1" t="s">
        <v>442</v>
      </c>
      <c r="BC347" s="1" t="s">
        <v>79</v>
      </c>
      <c r="BD347" s="1" t="s">
        <v>442</v>
      </c>
      <c r="BE347" s="1" t="s">
        <v>79</v>
      </c>
      <c r="BF347" s="5" t="s">
        <v>83</v>
      </c>
    </row>
    <row r="348" spans="1:58" x14ac:dyDescent="0.35">
      <c r="A348" s="4">
        <v>347</v>
      </c>
      <c r="B348" s="1" t="s">
        <v>2136</v>
      </c>
      <c r="C348" s="1" t="s">
        <v>904</v>
      </c>
      <c r="D348" s="1" t="s">
        <v>2138</v>
      </c>
      <c r="E348" s="1" t="s">
        <v>69</v>
      </c>
      <c r="F348" s="1" t="s">
        <v>69</v>
      </c>
      <c r="G348" s="1" t="s">
        <v>69</v>
      </c>
      <c r="H348" s="1" t="s">
        <v>69</v>
      </c>
      <c r="I348" s="1" t="s">
        <v>70</v>
      </c>
      <c r="J348" s="1" t="s">
        <v>1168</v>
      </c>
      <c r="K348" s="1">
        <v>29</v>
      </c>
      <c r="L348" s="1" t="s">
        <v>92</v>
      </c>
      <c r="M348" s="1" t="s">
        <v>93</v>
      </c>
      <c r="N348" s="1" t="s">
        <v>110</v>
      </c>
      <c r="O348" s="1">
        <v>3</v>
      </c>
      <c r="P348" s="1">
        <v>3</v>
      </c>
      <c r="Q348" s="1">
        <f>data[[#This Row],[Nilai Kepentingan Dimensi Persyaratan]]-data[[#This Row],[Nilai Kepuasan Dimensi Persyaratan]]</f>
        <v>0</v>
      </c>
      <c r="R348" s="1">
        <v>3</v>
      </c>
      <c r="S348" s="1">
        <v>3</v>
      </c>
      <c r="T348" s="1">
        <f>data[[#This Row],[Nilai Kepentingan Dimensi Prosedur]]-data[[#This Row],[Nilai Kepuasan Dimensi Prosedur]]</f>
        <v>0</v>
      </c>
      <c r="U348" s="1">
        <v>4</v>
      </c>
      <c r="V348" s="1">
        <v>4</v>
      </c>
      <c r="W348" s="1">
        <f>data[[#This Row],[Nilai Kepentingan Dimensi Waktu Pelayanan/Penyelesaian]]-data[[#This Row],[Nilai Kepuasan Dimensi Waktu Pelayanan/Penyelesaian]]</f>
        <v>0</v>
      </c>
      <c r="X348" s="1">
        <v>0</v>
      </c>
      <c r="Y348" s="1">
        <v>0</v>
      </c>
      <c r="Z348" s="1">
        <f>data[[#This Row],[Nilai Kepentingan Dimensi Tarif/ Biaya]]-data[[#This Row],[Nilai Kepuasan Dimensi Tarif / Biaya]]</f>
        <v>0</v>
      </c>
      <c r="AA348" s="1">
        <v>3</v>
      </c>
      <c r="AB348" s="1">
        <v>3</v>
      </c>
      <c r="AC348" s="1">
        <f>data[[#This Row],[Nilai Kepentingan Dimensi Produk Spesifikasi Jenis Layanan]]-data[[#This Row],[Nilai Kepuasan Dimensi Produk Spesifikasi Jenis Layanan]]</f>
        <v>0</v>
      </c>
      <c r="AD348" s="1">
        <v>4</v>
      </c>
      <c r="AE348" s="1">
        <v>4</v>
      </c>
      <c r="AF348" s="1">
        <f>data[[#This Row],[Nilai Kepentingan Dimensi Kompetensi Pelaksana]]-data[[#This Row],[Nilai Kepuasan Dimensi Kompetensi Pelaksana]]</f>
        <v>0</v>
      </c>
      <c r="AG348" s="1">
        <v>4</v>
      </c>
      <c r="AH348" s="1">
        <v>4</v>
      </c>
      <c r="AI348" s="1">
        <f>data[[#This Row],[Nilai Kepentingan Dimensi Perilaku Pelaksana]]-data[[#This Row],[Nilai Kepuasan Dimensi Perilaku Pelaksana]]</f>
        <v>0</v>
      </c>
      <c r="AJ348" s="1">
        <v>4</v>
      </c>
      <c r="AK348" s="1">
        <v>4</v>
      </c>
      <c r="AL348" s="1">
        <f>data[[#This Row],[Nilai Kepentingan Dimensi Penanganan Pengaduan, Saran &amp; Masukan]]-data[[#This Row],[Nilai Kepuasan Dimensi Penanganan Pengaduan, Saran &amp; Masukan]]</f>
        <v>0</v>
      </c>
      <c r="AM348" s="1">
        <v>4</v>
      </c>
      <c r="AN348" s="1">
        <v>4</v>
      </c>
      <c r="AO348" s="1">
        <f>data[[#This Row],[Nilai Kepentingan Dimensi Kualitas Sarana dan Prasarana]]-data[[#This Row],[Nilai Kepuasan Dimensi Kualitas Sarana dan Prasarana]]</f>
        <v>0</v>
      </c>
      <c r="AP348" s="1">
        <v>4</v>
      </c>
      <c r="AQ348" s="1" t="s">
        <v>75</v>
      </c>
      <c r="AR348" s="1">
        <v>0</v>
      </c>
      <c r="AS348" s="1" t="s">
        <v>69</v>
      </c>
      <c r="AT348" s="1">
        <v>4</v>
      </c>
      <c r="AU348" s="1" t="s">
        <v>69</v>
      </c>
      <c r="AV348" s="1" t="s">
        <v>83</v>
      </c>
      <c r="AW348" s="1" t="s">
        <v>96</v>
      </c>
      <c r="AX348" s="1">
        <v>0</v>
      </c>
      <c r="AY348" s="1">
        <v>0</v>
      </c>
      <c r="AZ348" s="1" t="s">
        <v>2141</v>
      </c>
      <c r="BA348" s="1" t="s">
        <v>112</v>
      </c>
      <c r="BB348" s="1" t="s">
        <v>503</v>
      </c>
      <c r="BC348" s="1" t="s">
        <v>79</v>
      </c>
      <c r="BD348" s="1" t="s">
        <v>2069</v>
      </c>
      <c r="BE348" s="1" t="s">
        <v>99</v>
      </c>
      <c r="BF348" s="5" t="s">
        <v>83</v>
      </c>
    </row>
    <row r="349" spans="1:58" x14ac:dyDescent="0.35">
      <c r="A349" s="4">
        <v>348</v>
      </c>
      <c r="B349" s="1" t="s">
        <v>2142</v>
      </c>
      <c r="C349" s="1" t="s">
        <v>2144</v>
      </c>
      <c r="D349" s="1" t="s">
        <v>2541</v>
      </c>
      <c r="E349" s="1" t="s">
        <v>69</v>
      </c>
      <c r="F349" s="1" t="s">
        <v>69</v>
      </c>
      <c r="G349" s="1" t="s">
        <v>69</v>
      </c>
      <c r="H349" s="1" t="s">
        <v>69</v>
      </c>
      <c r="I349" s="1" t="s">
        <v>70</v>
      </c>
      <c r="J349" s="1" t="s">
        <v>1168</v>
      </c>
      <c r="K349" s="1">
        <v>49</v>
      </c>
      <c r="L349" s="1" t="s">
        <v>225</v>
      </c>
      <c r="M349" s="1" t="s">
        <v>93</v>
      </c>
      <c r="N349" s="1" t="s">
        <v>110</v>
      </c>
      <c r="O349" s="1">
        <v>3</v>
      </c>
      <c r="P349" s="1">
        <v>3</v>
      </c>
      <c r="Q349" s="1">
        <f>data[[#This Row],[Nilai Kepentingan Dimensi Persyaratan]]-data[[#This Row],[Nilai Kepuasan Dimensi Persyaratan]]</f>
        <v>0</v>
      </c>
      <c r="R349" s="1">
        <v>3</v>
      </c>
      <c r="S349" s="1">
        <v>3</v>
      </c>
      <c r="T349" s="1">
        <f>data[[#This Row],[Nilai Kepentingan Dimensi Prosedur]]-data[[#This Row],[Nilai Kepuasan Dimensi Prosedur]]</f>
        <v>0</v>
      </c>
      <c r="U349" s="1">
        <v>4</v>
      </c>
      <c r="V349" s="1">
        <v>4</v>
      </c>
      <c r="W349" s="1">
        <f>data[[#This Row],[Nilai Kepentingan Dimensi Waktu Pelayanan/Penyelesaian]]-data[[#This Row],[Nilai Kepuasan Dimensi Waktu Pelayanan/Penyelesaian]]</f>
        <v>0</v>
      </c>
      <c r="X349" s="1">
        <v>0</v>
      </c>
      <c r="Y349" s="1">
        <v>0</v>
      </c>
      <c r="Z349" s="1">
        <f>data[[#This Row],[Nilai Kepentingan Dimensi Tarif/ Biaya]]-data[[#This Row],[Nilai Kepuasan Dimensi Tarif / Biaya]]</f>
        <v>0</v>
      </c>
      <c r="AA349" s="1">
        <v>4</v>
      </c>
      <c r="AB349" s="1">
        <v>4</v>
      </c>
      <c r="AC349" s="1">
        <f>data[[#This Row],[Nilai Kepentingan Dimensi Produk Spesifikasi Jenis Layanan]]-data[[#This Row],[Nilai Kepuasan Dimensi Produk Spesifikasi Jenis Layanan]]</f>
        <v>0</v>
      </c>
      <c r="AD349" s="1">
        <v>4</v>
      </c>
      <c r="AE349" s="1">
        <v>4</v>
      </c>
      <c r="AF349" s="1">
        <f>data[[#This Row],[Nilai Kepentingan Dimensi Kompetensi Pelaksana]]-data[[#This Row],[Nilai Kepuasan Dimensi Kompetensi Pelaksana]]</f>
        <v>0</v>
      </c>
      <c r="AG349" s="1">
        <v>4</v>
      </c>
      <c r="AH349" s="1">
        <v>4</v>
      </c>
      <c r="AI349" s="1">
        <f>data[[#This Row],[Nilai Kepentingan Dimensi Perilaku Pelaksana]]-data[[#This Row],[Nilai Kepuasan Dimensi Perilaku Pelaksana]]</f>
        <v>0</v>
      </c>
      <c r="AJ349" s="1">
        <v>4</v>
      </c>
      <c r="AK349" s="1">
        <v>4</v>
      </c>
      <c r="AL349" s="1">
        <f>data[[#This Row],[Nilai Kepentingan Dimensi Penanganan Pengaduan, Saran &amp; Masukan]]-data[[#This Row],[Nilai Kepuasan Dimensi Penanganan Pengaduan, Saran &amp; Masukan]]</f>
        <v>0</v>
      </c>
      <c r="AM349" s="1">
        <v>3</v>
      </c>
      <c r="AN349" s="1">
        <v>3</v>
      </c>
      <c r="AO349" s="1">
        <f>data[[#This Row],[Nilai Kepentingan Dimensi Kualitas Sarana dan Prasarana]]-data[[#This Row],[Nilai Kepuasan Dimensi Kualitas Sarana dan Prasarana]]</f>
        <v>0</v>
      </c>
      <c r="AP349" s="1">
        <v>0</v>
      </c>
      <c r="AQ349" s="1" t="s">
        <v>69</v>
      </c>
      <c r="AR349" s="1">
        <v>0</v>
      </c>
      <c r="AS349" s="1" t="s">
        <v>69</v>
      </c>
      <c r="AT349" s="1">
        <v>3</v>
      </c>
      <c r="AU349" s="1" t="s">
        <v>75</v>
      </c>
      <c r="AV349" s="1" t="s">
        <v>83</v>
      </c>
      <c r="AW349" s="1" t="s">
        <v>96</v>
      </c>
      <c r="AX349" s="1">
        <v>0</v>
      </c>
      <c r="AY349" s="1">
        <v>0</v>
      </c>
      <c r="AZ349" s="1" t="s">
        <v>2004</v>
      </c>
      <c r="BA349" s="1" t="s">
        <v>99</v>
      </c>
      <c r="BB349" s="1" t="s">
        <v>2149</v>
      </c>
      <c r="BC349" s="1" t="s">
        <v>1755</v>
      </c>
      <c r="BD349" s="1" t="s">
        <v>98</v>
      </c>
      <c r="BE349" s="1" t="s">
        <v>99</v>
      </c>
      <c r="BF349" s="5" t="s">
        <v>83</v>
      </c>
    </row>
    <row r="350" spans="1:58" x14ac:dyDescent="0.35">
      <c r="A350" s="4">
        <v>349</v>
      </c>
      <c r="B350" s="1" t="s">
        <v>2150</v>
      </c>
      <c r="C350" s="1" t="s">
        <v>63</v>
      </c>
      <c r="D350" s="1" t="s">
        <v>63</v>
      </c>
      <c r="E350" s="1" t="s">
        <v>69</v>
      </c>
      <c r="F350" s="1" t="s">
        <v>69</v>
      </c>
      <c r="G350" s="1" t="s">
        <v>69</v>
      </c>
      <c r="H350" s="1" t="s">
        <v>69</v>
      </c>
      <c r="I350" s="1" t="s">
        <v>106</v>
      </c>
      <c r="J350" s="1" t="s">
        <v>1168</v>
      </c>
      <c r="K350" s="1">
        <v>31</v>
      </c>
      <c r="L350" s="1" t="s">
        <v>109</v>
      </c>
      <c r="M350" s="1" t="s">
        <v>1343</v>
      </c>
      <c r="N350" s="1" t="s">
        <v>110</v>
      </c>
      <c r="O350" s="1">
        <v>3</v>
      </c>
      <c r="P350" s="1">
        <v>4</v>
      </c>
      <c r="Q350" s="1">
        <f>data[[#This Row],[Nilai Kepentingan Dimensi Persyaratan]]-data[[#This Row],[Nilai Kepuasan Dimensi Persyaratan]]</f>
        <v>1</v>
      </c>
      <c r="R350" s="1">
        <v>4</v>
      </c>
      <c r="S350" s="1">
        <v>3</v>
      </c>
      <c r="T350" s="1">
        <f>data[[#This Row],[Nilai Kepentingan Dimensi Prosedur]]-data[[#This Row],[Nilai Kepuasan Dimensi Prosedur]]</f>
        <v>-1</v>
      </c>
      <c r="U350" s="1">
        <v>3</v>
      </c>
      <c r="V350" s="1">
        <v>4</v>
      </c>
      <c r="W350" s="1">
        <f>data[[#This Row],[Nilai Kepentingan Dimensi Waktu Pelayanan/Penyelesaian]]-data[[#This Row],[Nilai Kepuasan Dimensi Waktu Pelayanan/Penyelesaian]]</f>
        <v>1</v>
      </c>
      <c r="X350" s="1">
        <v>0</v>
      </c>
      <c r="Y350" s="1">
        <v>0</v>
      </c>
      <c r="Z350" s="1">
        <f>data[[#This Row],[Nilai Kepentingan Dimensi Tarif/ Biaya]]-data[[#This Row],[Nilai Kepuasan Dimensi Tarif / Biaya]]</f>
        <v>0</v>
      </c>
      <c r="AA350" s="1">
        <v>3</v>
      </c>
      <c r="AB350" s="1">
        <v>3</v>
      </c>
      <c r="AC350" s="1">
        <f>data[[#This Row],[Nilai Kepentingan Dimensi Produk Spesifikasi Jenis Layanan]]-data[[#This Row],[Nilai Kepuasan Dimensi Produk Spesifikasi Jenis Layanan]]</f>
        <v>0</v>
      </c>
      <c r="AD350" s="1">
        <v>3</v>
      </c>
      <c r="AE350" s="1">
        <v>3</v>
      </c>
      <c r="AF350" s="1">
        <f>data[[#This Row],[Nilai Kepentingan Dimensi Kompetensi Pelaksana]]-data[[#This Row],[Nilai Kepuasan Dimensi Kompetensi Pelaksana]]</f>
        <v>0</v>
      </c>
      <c r="AG350" s="1">
        <v>3</v>
      </c>
      <c r="AH350" s="1">
        <v>3</v>
      </c>
      <c r="AI350" s="1">
        <f>data[[#This Row],[Nilai Kepentingan Dimensi Perilaku Pelaksana]]-data[[#This Row],[Nilai Kepuasan Dimensi Perilaku Pelaksana]]</f>
        <v>0</v>
      </c>
      <c r="AJ350" s="1">
        <v>4</v>
      </c>
      <c r="AK350" s="1">
        <v>4</v>
      </c>
      <c r="AL350" s="1">
        <f>data[[#This Row],[Nilai Kepentingan Dimensi Penanganan Pengaduan, Saran &amp; Masukan]]-data[[#This Row],[Nilai Kepuasan Dimensi Penanganan Pengaduan, Saran &amp; Masukan]]</f>
        <v>0</v>
      </c>
      <c r="AM350" s="1">
        <v>3</v>
      </c>
      <c r="AN350" s="1">
        <v>3</v>
      </c>
      <c r="AO350" s="1">
        <f>data[[#This Row],[Nilai Kepentingan Dimensi Kualitas Sarana dan Prasarana]]-data[[#This Row],[Nilai Kepuasan Dimensi Kualitas Sarana dan Prasarana]]</f>
        <v>0</v>
      </c>
      <c r="AP350" s="1">
        <v>3</v>
      </c>
      <c r="AQ350" s="1" t="s">
        <v>75</v>
      </c>
      <c r="AR350" s="1">
        <v>0</v>
      </c>
      <c r="AS350" s="1" t="s">
        <v>69</v>
      </c>
      <c r="AT350" s="1">
        <v>0</v>
      </c>
      <c r="AU350" s="1" t="s">
        <v>69</v>
      </c>
      <c r="AV350" s="1" t="s">
        <v>83</v>
      </c>
      <c r="AW350" s="1" t="s">
        <v>96</v>
      </c>
      <c r="AX350" s="1">
        <v>0</v>
      </c>
      <c r="AY350" s="1">
        <v>0</v>
      </c>
      <c r="AZ350" s="1" t="s">
        <v>2153</v>
      </c>
      <c r="BA350" s="1" t="s">
        <v>112</v>
      </c>
      <c r="BB350" s="1" t="s">
        <v>909</v>
      </c>
      <c r="BC350" s="1" t="s">
        <v>79</v>
      </c>
      <c r="BD350" s="1" t="s">
        <v>2154</v>
      </c>
      <c r="BE350" s="1" t="s">
        <v>653</v>
      </c>
      <c r="BF350" s="5" t="s">
        <v>83</v>
      </c>
    </row>
    <row r="351" spans="1:58" x14ac:dyDescent="0.35">
      <c r="A351" s="4">
        <v>350</v>
      </c>
      <c r="B351" s="1" t="s">
        <v>2155</v>
      </c>
      <c r="C351" s="1" t="s">
        <v>63</v>
      </c>
      <c r="D351" s="1" t="s">
        <v>1555</v>
      </c>
      <c r="E351" s="1" t="s">
        <v>69</v>
      </c>
      <c r="F351" s="1" t="s">
        <v>69</v>
      </c>
      <c r="G351" s="1" t="s">
        <v>69</v>
      </c>
      <c r="H351" s="1" t="s">
        <v>69</v>
      </c>
      <c r="I351" s="1" t="s">
        <v>70</v>
      </c>
      <c r="J351" s="1" t="s">
        <v>1168</v>
      </c>
      <c r="K351" s="1">
        <v>28</v>
      </c>
      <c r="L351" s="1" t="s">
        <v>92</v>
      </c>
      <c r="M351" s="1" t="s">
        <v>73</v>
      </c>
      <c r="N351" s="1" t="s">
        <v>110</v>
      </c>
      <c r="O351" s="1">
        <v>4</v>
      </c>
      <c r="P351" s="1">
        <v>4</v>
      </c>
      <c r="Q351" s="1">
        <f>data[[#This Row],[Nilai Kepentingan Dimensi Persyaratan]]-data[[#This Row],[Nilai Kepuasan Dimensi Persyaratan]]</f>
        <v>0</v>
      </c>
      <c r="R351" s="1">
        <v>4</v>
      </c>
      <c r="S351" s="1">
        <v>4</v>
      </c>
      <c r="T351" s="1">
        <f>data[[#This Row],[Nilai Kepentingan Dimensi Prosedur]]-data[[#This Row],[Nilai Kepuasan Dimensi Prosedur]]</f>
        <v>0</v>
      </c>
      <c r="U351" s="1">
        <v>4</v>
      </c>
      <c r="V351" s="1">
        <v>4</v>
      </c>
      <c r="W351" s="1">
        <f>data[[#This Row],[Nilai Kepentingan Dimensi Waktu Pelayanan/Penyelesaian]]-data[[#This Row],[Nilai Kepuasan Dimensi Waktu Pelayanan/Penyelesaian]]</f>
        <v>0</v>
      </c>
      <c r="X351" s="1">
        <v>0</v>
      </c>
      <c r="Y351" s="1">
        <v>0</v>
      </c>
      <c r="Z351" s="1">
        <f>data[[#This Row],[Nilai Kepentingan Dimensi Tarif/ Biaya]]-data[[#This Row],[Nilai Kepuasan Dimensi Tarif / Biaya]]</f>
        <v>0</v>
      </c>
      <c r="AA351" s="1">
        <v>4</v>
      </c>
      <c r="AB351" s="1">
        <v>4</v>
      </c>
      <c r="AC351" s="1">
        <f>data[[#This Row],[Nilai Kepentingan Dimensi Produk Spesifikasi Jenis Layanan]]-data[[#This Row],[Nilai Kepuasan Dimensi Produk Spesifikasi Jenis Layanan]]</f>
        <v>0</v>
      </c>
      <c r="AD351" s="1">
        <v>4</v>
      </c>
      <c r="AE351" s="1">
        <v>4</v>
      </c>
      <c r="AF351" s="1">
        <f>data[[#This Row],[Nilai Kepentingan Dimensi Kompetensi Pelaksana]]-data[[#This Row],[Nilai Kepuasan Dimensi Kompetensi Pelaksana]]</f>
        <v>0</v>
      </c>
      <c r="AG351" s="1">
        <v>4</v>
      </c>
      <c r="AH351" s="1">
        <v>4</v>
      </c>
      <c r="AI351" s="1">
        <f>data[[#This Row],[Nilai Kepentingan Dimensi Perilaku Pelaksana]]-data[[#This Row],[Nilai Kepuasan Dimensi Perilaku Pelaksana]]</f>
        <v>0</v>
      </c>
      <c r="AJ351" s="1">
        <v>4</v>
      </c>
      <c r="AK351" s="1">
        <v>4</v>
      </c>
      <c r="AL351" s="1">
        <f>data[[#This Row],[Nilai Kepentingan Dimensi Penanganan Pengaduan, Saran &amp; Masukan]]-data[[#This Row],[Nilai Kepuasan Dimensi Penanganan Pengaduan, Saran &amp; Masukan]]</f>
        <v>0</v>
      </c>
      <c r="AM351" s="1">
        <v>4</v>
      </c>
      <c r="AN351" s="1">
        <v>4</v>
      </c>
      <c r="AO351" s="1">
        <f>data[[#This Row],[Nilai Kepentingan Dimensi Kualitas Sarana dan Prasarana]]-data[[#This Row],[Nilai Kepuasan Dimensi Kualitas Sarana dan Prasarana]]</f>
        <v>0</v>
      </c>
      <c r="AP351" s="1">
        <v>0</v>
      </c>
      <c r="AQ351" s="1" t="s">
        <v>69</v>
      </c>
      <c r="AR351" s="1">
        <v>0</v>
      </c>
      <c r="AS351" s="1" t="s">
        <v>69</v>
      </c>
      <c r="AT351" s="1">
        <v>0</v>
      </c>
      <c r="AU351" s="1" t="s">
        <v>69</v>
      </c>
      <c r="AV351" s="1" t="s">
        <v>631</v>
      </c>
      <c r="AW351" s="1" t="s">
        <v>77</v>
      </c>
      <c r="AX351" s="1">
        <v>1</v>
      </c>
      <c r="AY351" s="1">
        <v>4</v>
      </c>
      <c r="AZ351" s="1" t="s">
        <v>643</v>
      </c>
      <c r="BA351" s="1" t="s">
        <v>79</v>
      </c>
      <c r="BB351" s="1" t="s">
        <v>2159</v>
      </c>
      <c r="BC351" s="1" t="s">
        <v>81</v>
      </c>
      <c r="BD351" s="1" t="s">
        <v>341</v>
      </c>
      <c r="BE351" s="1" t="s">
        <v>79</v>
      </c>
      <c r="BF351" s="5" t="s">
        <v>2160</v>
      </c>
    </row>
    <row r="352" spans="1:58" x14ac:dyDescent="0.35">
      <c r="A352" s="4">
        <v>351</v>
      </c>
      <c r="B352" s="1" t="s">
        <v>2161</v>
      </c>
      <c r="C352" s="1" t="s">
        <v>2144</v>
      </c>
      <c r="D352" s="1" t="s">
        <v>2138</v>
      </c>
      <c r="E352" s="1" t="s">
        <v>69</v>
      </c>
      <c r="F352" s="1" t="s">
        <v>69</v>
      </c>
      <c r="G352" s="1" t="s">
        <v>69</v>
      </c>
      <c r="H352" s="1" t="s">
        <v>69</v>
      </c>
      <c r="I352" s="1" t="s">
        <v>70</v>
      </c>
      <c r="J352" s="1" t="s">
        <v>1168</v>
      </c>
      <c r="K352" s="1">
        <v>48</v>
      </c>
      <c r="L352" s="1" t="s">
        <v>225</v>
      </c>
      <c r="M352" s="1" t="s">
        <v>93</v>
      </c>
      <c r="N352" s="1" t="s">
        <v>110</v>
      </c>
      <c r="O352" s="1">
        <v>3</v>
      </c>
      <c r="P352" s="1">
        <v>3</v>
      </c>
      <c r="Q352" s="1">
        <f>data[[#This Row],[Nilai Kepentingan Dimensi Persyaratan]]-data[[#This Row],[Nilai Kepuasan Dimensi Persyaratan]]</f>
        <v>0</v>
      </c>
      <c r="R352" s="1">
        <v>3</v>
      </c>
      <c r="S352" s="1">
        <v>3</v>
      </c>
      <c r="T352" s="1">
        <f>data[[#This Row],[Nilai Kepentingan Dimensi Prosedur]]-data[[#This Row],[Nilai Kepuasan Dimensi Prosedur]]</f>
        <v>0</v>
      </c>
      <c r="U352" s="1">
        <v>3</v>
      </c>
      <c r="V352" s="1">
        <v>3</v>
      </c>
      <c r="W352" s="1">
        <f>data[[#This Row],[Nilai Kepentingan Dimensi Waktu Pelayanan/Penyelesaian]]-data[[#This Row],[Nilai Kepuasan Dimensi Waktu Pelayanan/Penyelesaian]]</f>
        <v>0</v>
      </c>
      <c r="X352" s="1">
        <v>0</v>
      </c>
      <c r="Y352" s="1">
        <v>0</v>
      </c>
      <c r="Z352" s="1">
        <f>data[[#This Row],[Nilai Kepentingan Dimensi Tarif/ Biaya]]-data[[#This Row],[Nilai Kepuasan Dimensi Tarif / Biaya]]</f>
        <v>0</v>
      </c>
      <c r="AA352" s="1">
        <v>3</v>
      </c>
      <c r="AB352" s="1">
        <v>3</v>
      </c>
      <c r="AC352" s="1">
        <f>data[[#This Row],[Nilai Kepentingan Dimensi Produk Spesifikasi Jenis Layanan]]-data[[#This Row],[Nilai Kepuasan Dimensi Produk Spesifikasi Jenis Layanan]]</f>
        <v>0</v>
      </c>
      <c r="AD352" s="1">
        <v>3</v>
      </c>
      <c r="AE352" s="1">
        <v>3</v>
      </c>
      <c r="AF352" s="1">
        <f>data[[#This Row],[Nilai Kepentingan Dimensi Kompetensi Pelaksana]]-data[[#This Row],[Nilai Kepuasan Dimensi Kompetensi Pelaksana]]</f>
        <v>0</v>
      </c>
      <c r="AG352" s="1">
        <v>3</v>
      </c>
      <c r="AH352" s="1">
        <v>3</v>
      </c>
      <c r="AI352" s="1">
        <f>data[[#This Row],[Nilai Kepentingan Dimensi Perilaku Pelaksana]]-data[[#This Row],[Nilai Kepuasan Dimensi Perilaku Pelaksana]]</f>
        <v>0</v>
      </c>
      <c r="AJ352" s="1">
        <v>3</v>
      </c>
      <c r="AK352" s="1">
        <v>3</v>
      </c>
      <c r="AL352" s="1">
        <f>data[[#This Row],[Nilai Kepentingan Dimensi Penanganan Pengaduan, Saran &amp; Masukan]]-data[[#This Row],[Nilai Kepuasan Dimensi Penanganan Pengaduan, Saran &amp; Masukan]]</f>
        <v>0</v>
      </c>
      <c r="AM352" s="1">
        <v>4</v>
      </c>
      <c r="AN352" s="1">
        <v>4</v>
      </c>
      <c r="AO352" s="1">
        <f>data[[#This Row],[Nilai Kepentingan Dimensi Kualitas Sarana dan Prasarana]]-data[[#This Row],[Nilai Kepuasan Dimensi Kualitas Sarana dan Prasarana]]</f>
        <v>0</v>
      </c>
      <c r="AP352" s="1">
        <v>0</v>
      </c>
      <c r="AQ352" s="1" t="s">
        <v>69</v>
      </c>
      <c r="AR352" s="1">
        <v>0</v>
      </c>
      <c r="AS352" s="1" t="s">
        <v>69</v>
      </c>
      <c r="AT352" s="1">
        <v>3</v>
      </c>
      <c r="AU352" s="1" t="s">
        <v>75</v>
      </c>
      <c r="AV352" s="1" t="s">
        <v>83</v>
      </c>
      <c r="AW352" s="1" t="s">
        <v>96</v>
      </c>
      <c r="AX352" s="1">
        <v>0</v>
      </c>
      <c r="AY352" s="1">
        <v>0</v>
      </c>
      <c r="AZ352" s="1" t="s">
        <v>462</v>
      </c>
      <c r="BA352" s="1" t="s">
        <v>79</v>
      </c>
      <c r="BB352" s="1" t="s">
        <v>98</v>
      </c>
      <c r="BC352" s="1" t="s">
        <v>99</v>
      </c>
      <c r="BD352" s="1" t="s">
        <v>2164</v>
      </c>
      <c r="BE352" s="1" t="s">
        <v>190</v>
      </c>
      <c r="BF352" s="5" t="s">
        <v>83</v>
      </c>
    </row>
    <row r="353" spans="1:58" x14ac:dyDescent="0.35">
      <c r="A353" s="4">
        <v>352</v>
      </c>
      <c r="B353" s="1" t="s">
        <v>2165</v>
      </c>
      <c r="C353" s="1" t="s">
        <v>267</v>
      </c>
      <c r="D353" s="1" t="s">
        <v>267</v>
      </c>
      <c r="E353" s="1" t="s">
        <v>69</v>
      </c>
      <c r="F353" s="1" t="s">
        <v>69</v>
      </c>
      <c r="G353" s="1" t="s">
        <v>69</v>
      </c>
      <c r="H353" s="1" t="s">
        <v>69</v>
      </c>
      <c r="I353" s="1" t="s">
        <v>106</v>
      </c>
      <c r="J353" s="1" t="s">
        <v>1180</v>
      </c>
      <c r="K353" s="1">
        <v>37</v>
      </c>
      <c r="L353" s="1" t="s">
        <v>153</v>
      </c>
      <c r="M353" s="1" t="s">
        <v>93</v>
      </c>
      <c r="N353" s="1" t="s">
        <v>110</v>
      </c>
      <c r="O353" s="1">
        <v>3</v>
      </c>
      <c r="P353" s="1">
        <v>3</v>
      </c>
      <c r="Q353" s="1">
        <f>data[[#This Row],[Nilai Kepentingan Dimensi Persyaratan]]-data[[#This Row],[Nilai Kepuasan Dimensi Persyaratan]]</f>
        <v>0</v>
      </c>
      <c r="R353" s="1">
        <v>3</v>
      </c>
      <c r="S353" s="1">
        <v>3</v>
      </c>
      <c r="T353" s="1">
        <f>data[[#This Row],[Nilai Kepentingan Dimensi Prosedur]]-data[[#This Row],[Nilai Kepuasan Dimensi Prosedur]]</f>
        <v>0</v>
      </c>
      <c r="U353" s="1">
        <v>3</v>
      </c>
      <c r="V353" s="1">
        <v>3</v>
      </c>
      <c r="W353" s="1">
        <f>data[[#This Row],[Nilai Kepentingan Dimensi Waktu Pelayanan/Penyelesaian]]-data[[#This Row],[Nilai Kepuasan Dimensi Waktu Pelayanan/Penyelesaian]]</f>
        <v>0</v>
      </c>
      <c r="X353" s="1">
        <v>0</v>
      </c>
      <c r="Y353" s="1">
        <v>0</v>
      </c>
      <c r="Z353" s="1">
        <f>data[[#This Row],[Nilai Kepentingan Dimensi Tarif/ Biaya]]-data[[#This Row],[Nilai Kepuasan Dimensi Tarif / Biaya]]</f>
        <v>0</v>
      </c>
      <c r="AA353" s="1">
        <v>3</v>
      </c>
      <c r="AB353" s="1">
        <v>3</v>
      </c>
      <c r="AC353" s="1">
        <f>data[[#This Row],[Nilai Kepentingan Dimensi Produk Spesifikasi Jenis Layanan]]-data[[#This Row],[Nilai Kepuasan Dimensi Produk Spesifikasi Jenis Layanan]]</f>
        <v>0</v>
      </c>
      <c r="AD353" s="1">
        <v>3</v>
      </c>
      <c r="AE353" s="1">
        <v>3</v>
      </c>
      <c r="AF353" s="1">
        <f>data[[#This Row],[Nilai Kepentingan Dimensi Kompetensi Pelaksana]]-data[[#This Row],[Nilai Kepuasan Dimensi Kompetensi Pelaksana]]</f>
        <v>0</v>
      </c>
      <c r="AG353" s="1">
        <v>3</v>
      </c>
      <c r="AH353" s="1">
        <v>3</v>
      </c>
      <c r="AI353" s="1">
        <f>data[[#This Row],[Nilai Kepentingan Dimensi Perilaku Pelaksana]]-data[[#This Row],[Nilai Kepuasan Dimensi Perilaku Pelaksana]]</f>
        <v>0</v>
      </c>
      <c r="AJ353" s="1">
        <v>3</v>
      </c>
      <c r="AK353" s="1">
        <v>3</v>
      </c>
      <c r="AL353" s="1">
        <f>data[[#This Row],[Nilai Kepentingan Dimensi Penanganan Pengaduan, Saran &amp; Masukan]]-data[[#This Row],[Nilai Kepuasan Dimensi Penanganan Pengaduan, Saran &amp; Masukan]]</f>
        <v>0</v>
      </c>
      <c r="AM353" s="1">
        <v>3</v>
      </c>
      <c r="AN353" s="1">
        <v>3</v>
      </c>
      <c r="AO353" s="1">
        <f>data[[#This Row],[Nilai Kepentingan Dimensi Kualitas Sarana dan Prasarana]]-data[[#This Row],[Nilai Kepuasan Dimensi Kualitas Sarana dan Prasarana]]</f>
        <v>0</v>
      </c>
      <c r="AP353" s="1">
        <v>0</v>
      </c>
      <c r="AQ353" s="1" t="s">
        <v>69</v>
      </c>
      <c r="AR353" s="1">
        <v>3</v>
      </c>
      <c r="AS353" s="1" t="s">
        <v>75</v>
      </c>
      <c r="AT353" s="1">
        <v>0</v>
      </c>
      <c r="AU353" s="1" t="s">
        <v>69</v>
      </c>
      <c r="AV353" s="1" t="s">
        <v>83</v>
      </c>
      <c r="AW353" s="1" t="s">
        <v>96</v>
      </c>
      <c r="AX353" s="1">
        <v>0</v>
      </c>
      <c r="AY353" s="1">
        <v>0</v>
      </c>
      <c r="AZ353" s="1" t="s">
        <v>2170</v>
      </c>
      <c r="BA353" s="1" t="s">
        <v>79</v>
      </c>
      <c r="BB353" s="1" t="s">
        <v>2171</v>
      </c>
      <c r="BC353" s="1" t="s">
        <v>157</v>
      </c>
      <c r="BD353" s="1" t="s">
        <v>2172</v>
      </c>
      <c r="BE353" s="1" t="s">
        <v>99</v>
      </c>
      <c r="BF353" s="5" t="s">
        <v>83</v>
      </c>
    </row>
    <row r="354" spans="1:58" x14ac:dyDescent="0.35">
      <c r="A354" s="4">
        <v>353</v>
      </c>
      <c r="B354" s="1" t="s">
        <v>2173</v>
      </c>
      <c r="C354" s="1" t="s">
        <v>1841</v>
      </c>
      <c r="D354" s="1" t="s">
        <v>1842</v>
      </c>
      <c r="E354" s="1" t="s">
        <v>69</v>
      </c>
      <c r="F354" s="1" t="s">
        <v>83</v>
      </c>
      <c r="G354" s="1" t="s">
        <v>69</v>
      </c>
      <c r="H354" s="1" t="s">
        <v>69</v>
      </c>
      <c r="I354" s="1" t="s">
        <v>106</v>
      </c>
      <c r="J354" s="1" t="s">
        <v>1180</v>
      </c>
      <c r="K354" s="1">
        <v>52</v>
      </c>
      <c r="L354" s="1" t="s">
        <v>383</v>
      </c>
      <c r="M354" s="1" t="s">
        <v>93</v>
      </c>
      <c r="N354" s="1" t="s">
        <v>74</v>
      </c>
      <c r="O354" s="1">
        <v>4</v>
      </c>
      <c r="P354" s="1">
        <v>4</v>
      </c>
      <c r="Q354" s="1">
        <f>data[[#This Row],[Nilai Kepentingan Dimensi Persyaratan]]-data[[#This Row],[Nilai Kepuasan Dimensi Persyaratan]]</f>
        <v>0</v>
      </c>
      <c r="R354" s="1">
        <v>4</v>
      </c>
      <c r="S354" s="1">
        <v>4</v>
      </c>
      <c r="T354" s="1">
        <f>data[[#This Row],[Nilai Kepentingan Dimensi Prosedur]]-data[[#This Row],[Nilai Kepuasan Dimensi Prosedur]]</f>
        <v>0</v>
      </c>
      <c r="U354" s="1">
        <v>4</v>
      </c>
      <c r="V354" s="1">
        <v>4</v>
      </c>
      <c r="W354" s="1">
        <f>data[[#This Row],[Nilai Kepentingan Dimensi Waktu Pelayanan/Penyelesaian]]-data[[#This Row],[Nilai Kepuasan Dimensi Waktu Pelayanan/Penyelesaian]]</f>
        <v>0</v>
      </c>
      <c r="X354" s="1">
        <v>0</v>
      </c>
      <c r="Y354" s="1">
        <v>0</v>
      </c>
      <c r="Z354" s="1">
        <f>data[[#This Row],[Nilai Kepentingan Dimensi Tarif/ Biaya]]-data[[#This Row],[Nilai Kepuasan Dimensi Tarif / Biaya]]</f>
        <v>0</v>
      </c>
      <c r="AA354" s="1">
        <v>4</v>
      </c>
      <c r="AB354" s="1">
        <v>4</v>
      </c>
      <c r="AC354" s="1">
        <f>data[[#This Row],[Nilai Kepentingan Dimensi Produk Spesifikasi Jenis Layanan]]-data[[#This Row],[Nilai Kepuasan Dimensi Produk Spesifikasi Jenis Layanan]]</f>
        <v>0</v>
      </c>
      <c r="AD354" s="1">
        <v>4</v>
      </c>
      <c r="AE354" s="1">
        <v>4</v>
      </c>
      <c r="AF354" s="1">
        <f>data[[#This Row],[Nilai Kepentingan Dimensi Kompetensi Pelaksana]]-data[[#This Row],[Nilai Kepuasan Dimensi Kompetensi Pelaksana]]</f>
        <v>0</v>
      </c>
      <c r="AG354" s="1">
        <v>4</v>
      </c>
      <c r="AH354" s="1">
        <v>4</v>
      </c>
      <c r="AI354" s="1">
        <f>data[[#This Row],[Nilai Kepentingan Dimensi Perilaku Pelaksana]]-data[[#This Row],[Nilai Kepuasan Dimensi Perilaku Pelaksana]]</f>
        <v>0</v>
      </c>
      <c r="AJ354" s="1">
        <v>4</v>
      </c>
      <c r="AK354" s="1">
        <v>4</v>
      </c>
      <c r="AL354" s="1">
        <f>data[[#This Row],[Nilai Kepentingan Dimensi Penanganan Pengaduan, Saran &amp; Masukan]]-data[[#This Row],[Nilai Kepuasan Dimensi Penanganan Pengaduan, Saran &amp; Masukan]]</f>
        <v>0</v>
      </c>
      <c r="AM354" s="1">
        <v>4</v>
      </c>
      <c r="AN354" s="1">
        <v>4</v>
      </c>
      <c r="AO354" s="1">
        <f>data[[#This Row],[Nilai Kepentingan Dimensi Kualitas Sarana dan Prasarana]]-data[[#This Row],[Nilai Kepuasan Dimensi Kualitas Sarana dan Prasarana]]</f>
        <v>0</v>
      </c>
      <c r="AP354" s="1">
        <v>0</v>
      </c>
      <c r="AQ354" s="1" t="s">
        <v>69</v>
      </c>
      <c r="AR354" s="1">
        <v>0</v>
      </c>
      <c r="AS354" s="1" t="s">
        <v>69</v>
      </c>
      <c r="AT354" s="1">
        <v>0</v>
      </c>
      <c r="AU354" s="1" t="s">
        <v>69</v>
      </c>
      <c r="AV354" s="1" t="s">
        <v>1718</v>
      </c>
      <c r="AW354" s="1" t="s">
        <v>186</v>
      </c>
      <c r="AX354" s="1">
        <v>2</v>
      </c>
      <c r="AY354" s="1">
        <v>3</v>
      </c>
      <c r="AZ354" s="1" t="s">
        <v>2177</v>
      </c>
      <c r="BA354" s="1" t="s">
        <v>99</v>
      </c>
      <c r="BB354" s="1" t="s">
        <v>248</v>
      </c>
      <c r="BC354" s="1" t="s">
        <v>79</v>
      </c>
      <c r="BD354" s="1" t="s">
        <v>503</v>
      </c>
      <c r="BE354" s="1" t="s">
        <v>79</v>
      </c>
      <c r="BF354" s="5" t="s">
        <v>83</v>
      </c>
    </row>
    <row r="355" spans="1:58" x14ac:dyDescent="0.35">
      <c r="A355" s="4">
        <v>354</v>
      </c>
      <c r="B355" s="1" t="s">
        <v>2178</v>
      </c>
      <c r="C355" s="1" t="s">
        <v>63</v>
      </c>
      <c r="D355" s="1" t="s">
        <v>63</v>
      </c>
      <c r="E355" s="1" t="s">
        <v>69</v>
      </c>
      <c r="F355" s="1" t="s">
        <v>69</v>
      </c>
      <c r="G355" s="1" t="s">
        <v>69</v>
      </c>
      <c r="H355" s="1" t="s">
        <v>69</v>
      </c>
      <c r="I355" s="1" t="s">
        <v>70</v>
      </c>
      <c r="J355" s="1" t="s">
        <v>1180</v>
      </c>
      <c r="K355" s="1">
        <v>47</v>
      </c>
      <c r="L355" s="1" t="s">
        <v>225</v>
      </c>
      <c r="M355" s="1" t="s">
        <v>73</v>
      </c>
      <c r="N355" s="1" t="s">
        <v>110</v>
      </c>
      <c r="O355" s="1">
        <v>3</v>
      </c>
      <c r="P355" s="1">
        <v>4</v>
      </c>
      <c r="Q355" s="1">
        <f>data[[#This Row],[Nilai Kepentingan Dimensi Persyaratan]]-data[[#This Row],[Nilai Kepuasan Dimensi Persyaratan]]</f>
        <v>1</v>
      </c>
      <c r="R355" s="1">
        <v>4</v>
      </c>
      <c r="S355" s="1">
        <v>4</v>
      </c>
      <c r="T355" s="1">
        <f>data[[#This Row],[Nilai Kepentingan Dimensi Prosedur]]-data[[#This Row],[Nilai Kepuasan Dimensi Prosedur]]</f>
        <v>0</v>
      </c>
      <c r="U355" s="1">
        <v>3</v>
      </c>
      <c r="V355" s="1">
        <v>3</v>
      </c>
      <c r="W355" s="1">
        <f>data[[#This Row],[Nilai Kepentingan Dimensi Waktu Pelayanan/Penyelesaian]]-data[[#This Row],[Nilai Kepuasan Dimensi Waktu Pelayanan/Penyelesaian]]</f>
        <v>0</v>
      </c>
      <c r="X355" s="1">
        <v>0</v>
      </c>
      <c r="Y355" s="1">
        <v>0</v>
      </c>
      <c r="Z355" s="1">
        <f>data[[#This Row],[Nilai Kepentingan Dimensi Tarif/ Biaya]]-data[[#This Row],[Nilai Kepuasan Dimensi Tarif / Biaya]]</f>
        <v>0</v>
      </c>
      <c r="AA355" s="1">
        <v>4</v>
      </c>
      <c r="AB355" s="1">
        <v>4</v>
      </c>
      <c r="AC355" s="1">
        <f>data[[#This Row],[Nilai Kepentingan Dimensi Produk Spesifikasi Jenis Layanan]]-data[[#This Row],[Nilai Kepuasan Dimensi Produk Spesifikasi Jenis Layanan]]</f>
        <v>0</v>
      </c>
      <c r="AD355" s="1">
        <v>4</v>
      </c>
      <c r="AE355" s="1">
        <v>4</v>
      </c>
      <c r="AF355" s="1">
        <f>data[[#This Row],[Nilai Kepentingan Dimensi Kompetensi Pelaksana]]-data[[#This Row],[Nilai Kepuasan Dimensi Kompetensi Pelaksana]]</f>
        <v>0</v>
      </c>
      <c r="AG355" s="1">
        <v>4</v>
      </c>
      <c r="AH355" s="1">
        <v>3</v>
      </c>
      <c r="AI355" s="1">
        <f>data[[#This Row],[Nilai Kepentingan Dimensi Perilaku Pelaksana]]-data[[#This Row],[Nilai Kepuasan Dimensi Perilaku Pelaksana]]</f>
        <v>-1</v>
      </c>
      <c r="AJ355" s="1">
        <v>3</v>
      </c>
      <c r="AK355" s="1">
        <v>3</v>
      </c>
      <c r="AL355" s="1">
        <f>data[[#This Row],[Nilai Kepentingan Dimensi Penanganan Pengaduan, Saran &amp; Masukan]]-data[[#This Row],[Nilai Kepuasan Dimensi Penanganan Pengaduan, Saran &amp; Masukan]]</f>
        <v>0</v>
      </c>
      <c r="AM355" s="1">
        <v>3</v>
      </c>
      <c r="AN355" s="1">
        <v>4</v>
      </c>
      <c r="AO355" s="1">
        <f>data[[#This Row],[Nilai Kepentingan Dimensi Kualitas Sarana dan Prasarana]]-data[[#This Row],[Nilai Kepuasan Dimensi Kualitas Sarana dan Prasarana]]</f>
        <v>1</v>
      </c>
      <c r="AP355" s="1">
        <v>0</v>
      </c>
      <c r="AQ355" s="1" t="s">
        <v>69</v>
      </c>
      <c r="AR355" s="1">
        <v>0</v>
      </c>
      <c r="AS355" s="1" t="s">
        <v>69</v>
      </c>
      <c r="AT355" s="1">
        <v>3</v>
      </c>
      <c r="AU355" s="1" t="s">
        <v>75</v>
      </c>
      <c r="AV355" s="1" t="s">
        <v>83</v>
      </c>
      <c r="AW355" s="1" t="s">
        <v>96</v>
      </c>
      <c r="AX355" s="1">
        <v>0</v>
      </c>
      <c r="AY355" s="1">
        <v>0</v>
      </c>
      <c r="AZ355" s="1" t="s">
        <v>2182</v>
      </c>
      <c r="BA355" s="1" t="s">
        <v>452</v>
      </c>
      <c r="BB355" s="1" t="s">
        <v>98</v>
      </c>
      <c r="BC355" s="1" t="s">
        <v>99</v>
      </c>
      <c r="BD355" s="1" t="s">
        <v>98</v>
      </c>
      <c r="BE355" s="1" t="s">
        <v>99</v>
      </c>
      <c r="BF355" s="5" t="s">
        <v>98</v>
      </c>
    </row>
    <row r="356" spans="1:58" x14ac:dyDescent="0.35">
      <c r="A356" s="4">
        <v>355</v>
      </c>
      <c r="B356" s="1" t="s">
        <v>2183</v>
      </c>
      <c r="C356" s="1" t="s">
        <v>63</v>
      </c>
      <c r="D356" s="1" t="s">
        <v>397</v>
      </c>
      <c r="E356" s="1" t="s">
        <v>69</v>
      </c>
      <c r="F356" s="1" t="s">
        <v>69</v>
      </c>
      <c r="G356" s="1" t="s">
        <v>69</v>
      </c>
      <c r="H356" s="1" t="s">
        <v>69</v>
      </c>
      <c r="I356" s="1" t="s">
        <v>106</v>
      </c>
      <c r="J356" s="1" t="s">
        <v>1168</v>
      </c>
      <c r="K356" s="1">
        <v>48</v>
      </c>
      <c r="L356" s="1" t="s">
        <v>225</v>
      </c>
      <c r="M356" s="1" t="s">
        <v>93</v>
      </c>
      <c r="N356" s="1" t="s">
        <v>110</v>
      </c>
      <c r="O356" s="1">
        <v>4</v>
      </c>
      <c r="P356" s="1">
        <v>3</v>
      </c>
      <c r="Q356" s="1">
        <f>data[[#This Row],[Nilai Kepentingan Dimensi Persyaratan]]-data[[#This Row],[Nilai Kepuasan Dimensi Persyaratan]]</f>
        <v>-1</v>
      </c>
      <c r="R356" s="1">
        <v>4</v>
      </c>
      <c r="S356" s="1">
        <v>3</v>
      </c>
      <c r="T356" s="1">
        <f>data[[#This Row],[Nilai Kepentingan Dimensi Prosedur]]-data[[#This Row],[Nilai Kepuasan Dimensi Prosedur]]</f>
        <v>-1</v>
      </c>
      <c r="U356" s="1">
        <v>3</v>
      </c>
      <c r="V356" s="1">
        <v>3</v>
      </c>
      <c r="W356" s="1">
        <f>data[[#This Row],[Nilai Kepentingan Dimensi Waktu Pelayanan/Penyelesaian]]-data[[#This Row],[Nilai Kepuasan Dimensi Waktu Pelayanan/Penyelesaian]]</f>
        <v>0</v>
      </c>
      <c r="X356" s="1">
        <v>0</v>
      </c>
      <c r="Y356" s="1">
        <v>0</v>
      </c>
      <c r="Z356" s="1">
        <f>data[[#This Row],[Nilai Kepentingan Dimensi Tarif/ Biaya]]-data[[#This Row],[Nilai Kepuasan Dimensi Tarif / Biaya]]</f>
        <v>0</v>
      </c>
      <c r="AA356" s="1">
        <v>3</v>
      </c>
      <c r="AB356" s="1">
        <v>3</v>
      </c>
      <c r="AC356" s="1">
        <f>data[[#This Row],[Nilai Kepentingan Dimensi Produk Spesifikasi Jenis Layanan]]-data[[#This Row],[Nilai Kepuasan Dimensi Produk Spesifikasi Jenis Layanan]]</f>
        <v>0</v>
      </c>
      <c r="AD356" s="1">
        <v>4</v>
      </c>
      <c r="AE356" s="1">
        <v>4</v>
      </c>
      <c r="AF356" s="1">
        <f>data[[#This Row],[Nilai Kepentingan Dimensi Kompetensi Pelaksana]]-data[[#This Row],[Nilai Kepuasan Dimensi Kompetensi Pelaksana]]</f>
        <v>0</v>
      </c>
      <c r="AG356" s="1">
        <v>4</v>
      </c>
      <c r="AH356" s="1">
        <v>4</v>
      </c>
      <c r="AI356" s="1">
        <f>data[[#This Row],[Nilai Kepentingan Dimensi Perilaku Pelaksana]]-data[[#This Row],[Nilai Kepuasan Dimensi Perilaku Pelaksana]]</f>
        <v>0</v>
      </c>
      <c r="AJ356" s="1">
        <v>4</v>
      </c>
      <c r="AK356" s="1">
        <v>4</v>
      </c>
      <c r="AL356" s="1">
        <f>data[[#This Row],[Nilai Kepentingan Dimensi Penanganan Pengaduan, Saran &amp; Masukan]]-data[[#This Row],[Nilai Kepuasan Dimensi Penanganan Pengaduan, Saran &amp; Masukan]]</f>
        <v>0</v>
      </c>
      <c r="AM356" s="1">
        <v>4</v>
      </c>
      <c r="AN356" s="1">
        <v>4</v>
      </c>
      <c r="AO356" s="1">
        <f>data[[#This Row],[Nilai Kepentingan Dimensi Kualitas Sarana dan Prasarana]]-data[[#This Row],[Nilai Kepuasan Dimensi Kualitas Sarana dan Prasarana]]</f>
        <v>0</v>
      </c>
      <c r="AP356" s="1">
        <v>0</v>
      </c>
      <c r="AQ356" s="1" t="s">
        <v>69</v>
      </c>
      <c r="AR356" s="1">
        <v>0</v>
      </c>
      <c r="AS356" s="1" t="s">
        <v>69</v>
      </c>
      <c r="AT356" s="1">
        <v>4</v>
      </c>
      <c r="AU356" s="1" t="s">
        <v>75</v>
      </c>
      <c r="AV356" s="1" t="s">
        <v>83</v>
      </c>
      <c r="AW356" s="1" t="s">
        <v>96</v>
      </c>
      <c r="AX356" s="1">
        <v>0</v>
      </c>
      <c r="AY356" s="1">
        <v>0</v>
      </c>
      <c r="AZ356" s="1" t="s">
        <v>2188</v>
      </c>
      <c r="BA356" s="1" t="s">
        <v>79</v>
      </c>
      <c r="BB356" s="1" t="s">
        <v>2189</v>
      </c>
      <c r="BC356" s="1" t="s">
        <v>157</v>
      </c>
      <c r="BD356" s="1" t="s">
        <v>985</v>
      </c>
      <c r="BE356" s="1" t="s">
        <v>79</v>
      </c>
      <c r="BF356" s="5" t="s">
        <v>83</v>
      </c>
    </row>
    <row r="357" spans="1:58" x14ac:dyDescent="0.35">
      <c r="A357" s="4">
        <v>356</v>
      </c>
      <c r="B357" s="1" t="s">
        <v>2190</v>
      </c>
      <c r="C357" s="1" t="s">
        <v>63</v>
      </c>
      <c r="D357" s="1" t="s">
        <v>63</v>
      </c>
      <c r="E357" s="1" t="s">
        <v>69</v>
      </c>
      <c r="F357" s="1" t="s">
        <v>69</v>
      </c>
      <c r="G357" s="1" t="s">
        <v>69</v>
      </c>
      <c r="H357" s="1" t="s">
        <v>69</v>
      </c>
      <c r="I357" s="1" t="s">
        <v>106</v>
      </c>
      <c r="J357" s="1" t="s">
        <v>1168</v>
      </c>
      <c r="K357" s="1">
        <v>44</v>
      </c>
      <c r="L357" s="1" t="s">
        <v>197</v>
      </c>
      <c r="M357" s="1" t="s">
        <v>254</v>
      </c>
      <c r="N357" s="1" t="s">
        <v>110</v>
      </c>
      <c r="O357" s="1">
        <v>3</v>
      </c>
      <c r="P357" s="1">
        <v>4</v>
      </c>
      <c r="Q357" s="1">
        <f>data[[#This Row],[Nilai Kepentingan Dimensi Persyaratan]]-data[[#This Row],[Nilai Kepuasan Dimensi Persyaratan]]</f>
        <v>1</v>
      </c>
      <c r="R357" s="1">
        <v>4</v>
      </c>
      <c r="S357" s="1">
        <v>4</v>
      </c>
      <c r="T357" s="1">
        <f>data[[#This Row],[Nilai Kepentingan Dimensi Prosedur]]-data[[#This Row],[Nilai Kepuasan Dimensi Prosedur]]</f>
        <v>0</v>
      </c>
      <c r="U357" s="1">
        <v>3</v>
      </c>
      <c r="V357" s="1">
        <v>4</v>
      </c>
      <c r="W357" s="1">
        <f>data[[#This Row],[Nilai Kepentingan Dimensi Waktu Pelayanan/Penyelesaian]]-data[[#This Row],[Nilai Kepuasan Dimensi Waktu Pelayanan/Penyelesaian]]</f>
        <v>1</v>
      </c>
      <c r="X357" s="1">
        <v>0</v>
      </c>
      <c r="Y357" s="1">
        <v>0</v>
      </c>
      <c r="Z357" s="1">
        <f>data[[#This Row],[Nilai Kepentingan Dimensi Tarif/ Biaya]]-data[[#This Row],[Nilai Kepuasan Dimensi Tarif / Biaya]]</f>
        <v>0</v>
      </c>
      <c r="AA357" s="1">
        <v>3</v>
      </c>
      <c r="AB357" s="1">
        <v>3</v>
      </c>
      <c r="AC357" s="1">
        <f>data[[#This Row],[Nilai Kepentingan Dimensi Produk Spesifikasi Jenis Layanan]]-data[[#This Row],[Nilai Kepuasan Dimensi Produk Spesifikasi Jenis Layanan]]</f>
        <v>0</v>
      </c>
      <c r="AD357" s="1">
        <v>3</v>
      </c>
      <c r="AE357" s="1">
        <v>3</v>
      </c>
      <c r="AF357" s="1">
        <f>data[[#This Row],[Nilai Kepentingan Dimensi Kompetensi Pelaksana]]-data[[#This Row],[Nilai Kepuasan Dimensi Kompetensi Pelaksana]]</f>
        <v>0</v>
      </c>
      <c r="AG357" s="1">
        <v>4</v>
      </c>
      <c r="AH357" s="1">
        <v>4</v>
      </c>
      <c r="AI357" s="1">
        <f>data[[#This Row],[Nilai Kepentingan Dimensi Perilaku Pelaksana]]-data[[#This Row],[Nilai Kepuasan Dimensi Perilaku Pelaksana]]</f>
        <v>0</v>
      </c>
      <c r="AJ357" s="1">
        <v>4</v>
      </c>
      <c r="AK357" s="1">
        <v>4</v>
      </c>
      <c r="AL357" s="1">
        <f>data[[#This Row],[Nilai Kepentingan Dimensi Penanganan Pengaduan, Saran &amp; Masukan]]-data[[#This Row],[Nilai Kepuasan Dimensi Penanganan Pengaduan, Saran &amp; Masukan]]</f>
        <v>0</v>
      </c>
      <c r="AM357" s="1">
        <v>3</v>
      </c>
      <c r="AN357" s="1">
        <v>3</v>
      </c>
      <c r="AO357" s="1">
        <f>data[[#This Row],[Nilai Kepentingan Dimensi Kualitas Sarana dan Prasarana]]-data[[#This Row],[Nilai Kepuasan Dimensi Kualitas Sarana dan Prasarana]]</f>
        <v>0</v>
      </c>
      <c r="AP357" s="1">
        <v>0</v>
      </c>
      <c r="AQ357" s="1" t="s">
        <v>69</v>
      </c>
      <c r="AR357" s="1">
        <v>0</v>
      </c>
      <c r="AS357" s="1" t="s">
        <v>69</v>
      </c>
      <c r="AT357" s="1">
        <v>3</v>
      </c>
      <c r="AU357" s="1" t="s">
        <v>75</v>
      </c>
      <c r="AV357" s="1" t="s">
        <v>83</v>
      </c>
      <c r="AW357" s="1" t="s">
        <v>96</v>
      </c>
      <c r="AX357" s="1">
        <v>0</v>
      </c>
      <c r="AY357" s="1">
        <v>0</v>
      </c>
      <c r="AZ357" s="1" t="s">
        <v>98</v>
      </c>
      <c r="BA357" s="1" t="s">
        <v>99</v>
      </c>
      <c r="BB357" s="1" t="s">
        <v>98</v>
      </c>
      <c r="BC357" s="1" t="s">
        <v>99</v>
      </c>
      <c r="BD357" s="1" t="s">
        <v>2194</v>
      </c>
      <c r="BE357" s="1" t="s">
        <v>190</v>
      </c>
      <c r="BF357" s="5" t="s">
        <v>83</v>
      </c>
    </row>
    <row r="358" spans="1:58" x14ac:dyDescent="0.35">
      <c r="A358" s="4">
        <v>357</v>
      </c>
      <c r="B358" s="1" t="s">
        <v>2195</v>
      </c>
      <c r="C358" s="1" t="s">
        <v>63</v>
      </c>
      <c r="D358" s="1" t="s">
        <v>240</v>
      </c>
      <c r="E358" s="1" t="s">
        <v>69</v>
      </c>
      <c r="F358" s="1" t="s">
        <v>69</v>
      </c>
      <c r="G358" s="1" t="s">
        <v>69</v>
      </c>
      <c r="H358" s="1" t="s">
        <v>69</v>
      </c>
      <c r="I358" s="1" t="s">
        <v>70</v>
      </c>
      <c r="J358" s="1" t="s">
        <v>1168</v>
      </c>
      <c r="K358" s="1">
        <v>36</v>
      </c>
      <c r="L358" s="1" t="s">
        <v>153</v>
      </c>
      <c r="M358" s="1" t="s">
        <v>273</v>
      </c>
      <c r="N358" s="1" t="s">
        <v>110</v>
      </c>
      <c r="O358" s="1">
        <v>4</v>
      </c>
      <c r="P358" s="1">
        <v>4</v>
      </c>
      <c r="Q358" s="1">
        <f>data[[#This Row],[Nilai Kepentingan Dimensi Persyaratan]]-data[[#This Row],[Nilai Kepuasan Dimensi Persyaratan]]</f>
        <v>0</v>
      </c>
      <c r="R358" s="1">
        <v>4</v>
      </c>
      <c r="S358" s="1">
        <v>4</v>
      </c>
      <c r="T358" s="1">
        <f>data[[#This Row],[Nilai Kepentingan Dimensi Prosedur]]-data[[#This Row],[Nilai Kepuasan Dimensi Prosedur]]</f>
        <v>0</v>
      </c>
      <c r="U358" s="1">
        <v>4</v>
      </c>
      <c r="V358" s="1">
        <v>4</v>
      </c>
      <c r="W358" s="1">
        <f>data[[#This Row],[Nilai Kepentingan Dimensi Waktu Pelayanan/Penyelesaian]]-data[[#This Row],[Nilai Kepuasan Dimensi Waktu Pelayanan/Penyelesaian]]</f>
        <v>0</v>
      </c>
      <c r="X358" s="1">
        <v>0</v>
      </c>
      <c r="Y358" s="1">
        <v>0</v>
      </c>
      <c r="Z358" s="1">
        <f>data[[#This Row],[Nilai Kepentingan Dimensi Tarif/ Biaya]]-data[[#This Row],[Nilai Kepuasan Dimensi Tarif / Biaya]]</f>
        <v>0</v>
      </c>
      <c r="AA358" s="1">
        <v>4</v>
      </c>
      <c r="AB358" s="1">
        <v>4</v>
      </c>
      <c r="AC358" s="1">
        <f>data[[#This Row],[Nilai Kepentingan Dimensi Produk Spesifikasi Jenis Layanan]]-data[[#This Row],[Nilai Kepuasan Dimensi Produk Spesifikasi Jenis Layanan]]</f>
        <v>0</v>
      </c>
      <c r="AD358" s="1">
        <v>4</v>
      </c>
      <c r="AE358" s="1">
        <v>4</v>
      </c>
      <c r="AF358" s="1">
        <f>data[[#This Row],[Nilai Kepentingan Dimensi Kompetensi Pelaksana]]-data[[#This Row],[Nilai Kepuasan Dimensi Kompetensi Pelaksana]]</f>
        <v>0</v>
      </c>
      <c r="AG358" s="1">
        <v>4</v>
      </c>
      <c r="AH358" s="1">
        <v>4</v>
      </c>
      <c r="AI358" s="1">
        <f>data[[#This Row],[Nilai Kepentingan Dimensi Perilaku Pelaksana]]-data[[#This Row],[Nilai Kepuasan Dimensi Perilaku Pelaksana]]</f>
        <v>0</v>
      </c>
      <c r="AJ358" s="1">
        <v>4</v>
      </c>
      <c r="AK358" s="1">
        <v>4</v>
      </c>
      <c r="AL358" s="1">
        <f>data[[#This Row],[Nilai Kepentingan Dimensi Penanganan Pengaduan, Saran &amp; Masukan]]-data[[#This Row],[Nilai Kepuasan Dimensi Penanganan Pengaduan, Saran &amp; Masukan]]</f>
        <v>0</v>
      </c>
      <c r="AM358" s="1">
        <v>4</v>
      </c>
      <c r="AN358" s="1">
        <v>4</v>
      </c>
      <c r="AO358" s="1">
        <f>data[[#This Row],[Nilai Kepentingan Dimensi Kualitas Sarana dan Prasarana]]-data[[#This Row],[Nilai Kepuasan Dimensi Kualitas Sarana dan Prasarana]]</f>
        <v>0</v>
      </c>
      <c r="AP358" s="1">
        <v>0</v>
      </c>
      <c r="AQ358" s="1" t="s">
        <v>69</v>
      </c>
      <c r="AR358" s="1">
        <v>0</v>
      </c>
      <c r="AS358" s="1" t="s">
        <v>69</v>
      </c>
      <c r="AT358" s="1">
        <v>0</v>
      </c>
      <c r="AU358" s="1" t="s">
        <v>69</v>
      </c>
      <c r="AV358" s="1" t="s">
        <v>83</v>
      </c>
      <c r="AW358" s="1" t="s">
        <v>96</v>
      </c>
      <c r="AX358" s="1">
        <v>0</v>
      </c>
      <c r="AY358" s="1">
        <v>0</v>
      </c>
      <c r="AZ358" s="1" t="s">
        <v>985</v>
      </c>
      <c r="BA358" s="1" t="s">
        <v>79</v>
      </c>
      <c r="BB358" s="1" t="s">
        <v>985</v>
      </c>
      <c r="BC358" s="1" t="s">
        <v>79</v>
      </c>
      <c r="BD358" s="1" t="s">
        <v>985</v>
      </c>
      <c r="BE358" s="1" t="s">
        <v>79</v>
      </c>
      <c r="BF358" s="5" t="s">
        <v>83</v>
      </c>
    </row>
    <row r="359" spans="1:58" x14ac:dyDescent="0.35">
      <c r="A359" s="4">
        <v>358</v>
      </c>
      <c r="B359" s="1" t="s">
        <v>2199</v>
      </c>
      <c r="C359" s="1" t="s">
        <v>63</v>
      </c>
      <c r="D359" s="1" t="s">
        <v>480</v>
      </c>
      <c r="E359" s="1" t="s">
        <v>69</v>
      </c>
      <c r="F359" s="1" t="s">
        <v>69</v>
      </c>
      <c r="G359" s="1" t="s">
        <v>69</v>
      </c>
      <c r="H359" s="1" t="s">
        <v>69</v>
      </c>
      <c r="I359" s="1" t="s">
        <v>70</v>
      </c>
      <c r="J359" s="1" t="s">
        <v>1168</v>
      </c>
      <c r="K359" s="1">
        <v>47</v>
      </c>
      <c r="L359" s="1" t="s">
        <v>225</v>
      </c>
      <c r="M359" s="1" t="s">
        <v>73</v>
      </c>
      <c r="N359" s="1" t="s">
        <v>232</v>
      </c>
      <c r="O359" s="1">
        <v>4</v>
      </c>
      <c r="P359" s="1">
        <v>4</v>
      </c>
      <c r="Q359" s="1">
        <f>data[[#This Row],[Nilai Kepentingan Dimensi Persyaratan]]-data[[#This Row],[Nilai Kepuasan Dimensi Persyaratan]]</f>
        <v>0</v>
      </c>
      <c r="R359" s="1">
        <v>4</v>
      </c>
      <c r="S359" s="1">
        <v>4</v>
      </c>
      <c r="T359" s="1">
        <f>data[[#This Row],[Nilai Kepentingan Dimensi Prosedur]]-data[[#This Row],[Nilai Kepuasan Dimensi Prosedur]]</f>
        <v>0</v>
      </c>
      <c r="U359" s="1">
        <v>3</v>
      </c>
      <c r="V359" s="1">
        <v>4</v>
      </c>
      <c r="W359" s="1">
        <f>data[[#This Row],[Nilai Kepentingan Dimensi Waktu Pelayanan/Penyelesaian]]-data[[#This Row],[Nilai Kepuasan Dimensi Waktu Pelayanan/Penyelesaian]]</f>
        <v>1</v>
      </c>
      <c r="X359" s="1">
        <v>0</v>
      </c>
      <c r="Y359" s="1">
        <v>0</v>
      </c>
      <c r="Z359" s="1">
        <f>data[[#This Row],[Nilai Kepentingan Dimensi Tarif/ Biaya]]-data[[#This Row],[Nilai Kepuasan Dimensi Tarif / Biaya]]</f>
        <v>0</v>
      </c>
      <c r="AA359" s="1">
        <v>4</v>
      </c>
      <c r="AB359" s="1">
        <v>4</v>
      </c>
      <c r="AC359" s="1">
        <f>data[[#This Row],[Nilai Kepentingan Dimensi Produk Spesifikasi Jenis Layanan]]-data[[#This Row],[Nilai Kepuasan Dimensi Produk Spesifikasi Jenis Layanan]]</f>
        <v>0</v>
      </c>
      <c r="AD359" s="1">
        <v>4</v>
      </c>
      <c r="AE359" s="1">
        <v>4</v>
      </c>
      <c r="AF359" s="1">
        <f>data[[#This Row],[Nilai Kepentingan Dimensi Kompetensi Pelaksana]]-data[[#This Row],[Nilai Kepuasan Dimensi Kompetensi Pelaksana]]</f>
        <v>0</v>
      </c>
      <c r="AG359" s="1">
        <v>4</v>
      </c>
      <c r="AH359" s="1">
        <v>4</v>
      </c>
      <c r="AI359" s="1">
        <f>data[[#This Row],[Nilai Kepentingan Dimensi Perilaku Pelaksana]]-data[[#This Row],[Nilai Kepuasan Dimensi Perilaku Pelaksana]]</f>
        <v>0</v>
      </c>
      <c r="AJ359" s="1">
        <v>4</v>
      </c>
      <c r="AK359" s="1">
        <v>4</v>
      </c>
      <c r="AL359" s="1">
        <f>data[[#This Row],[Nilai Kepentingan Dimensi Penanganan Pengaduan, Saran &amp; Masukan]]-data[[#This Row],[Nilai Kepuasan Dimensi Penanganan Pengaduan, Saran &amp; Masukan]]</f>
        <v>0</v>
      </c>
      <c r="AM359" s="1">
        <v>4</v>
      </c>
      <c r="AN359" s="1">
        <v>4</v>
      </c>
      <c r="AO359" s="1">
        <f>data[[#This Row],[Nilai Kepentingan Dimensi Kualitas Sarana dan Prasarana]]-data[[#This Row],[Nilai Kepuasan Dimensi Kualitas Sarana dan Prasarana]]</f>
        <v>0</v>
      </c>
      <c r="AP359" s="1">
        <v>0</v>
      </c>
      <c r="AQ359" s="1" t="s">
        <v>69</v>
      </c>
      <c r="AR359" s="1">
        <v>0</v>
      </c>
      <c r="AS359" s="1" t="s">
        <v>69</v>
      </c>
      <c r="AT359" s="1">
        <v>0</v>
      </c>
      <c r="AU359" s="1" t="s">
        <v>75</v>
      </c>
      <c r="AV359" s="1" t="s">
        <v>83</v>
      </c>
      <c r="AW359" s="1" t="s">
        <v>96</v>
      </c>
      <c r="AX359" s="1">
        <v>0</v>
      </c>
      <c r="AY359" s="1">
        <v>0</v>
      </c>
      <c r="AZ359" s="1" t="s">
        <v>985</v>
      </c>
      <c r="BA359" s="1" t="s">
        <v>79</v>
      </c>
      <c r="BB359" s="1" t="s">
        <v>985</v>
      </c>
      <c r="BC359" s="1" t="s">
        <v>79</v>
      </c>
      <c r="BD359" s="1" t="s">
        <v>985</v>
      </c>
      <c r="BE359" s="1" t="s">
        <v>79</v>
      </c>
      <c r="BF359" s="5" t="s">
        <v>83</v>
      </c>
    </row>
    <row r="360" spans="1:58" x14ac:dyDescent="0.35">
      <c r="A360" s="4">
        <v>359</v>
      </c>
      <c r="B360" s="1" t="s">
        <v>2202</v>
      </c>
      <c r="C360" s="1" t="s">
        <v>63</v>
      </c>
      <c r="D360" s="1" t="s">
        <v>136</v>
      </c>
      <c r="E360" s="1" t="s">
        <v>69</v>
      </c>
      <c r="F360" s="1" t="s">
        <v>69</v>
      </c>
      <c r="G360" s="1" t="s">
        <v>69</v>
      </c>
      <c r="H360" s="1" t="s">
        <v>69</v>
      </c>
      <c r="I360" s="1" t="s">
        <v>70</v>
      </c>
      <c r="J360" s="1" t="s">
        <v>1168</v>
      </c>
      <c r="K360" s="1">
        <v>23</v>
      </c>
      <c r="L360" s="1" t="s">
        <v>72</v>
      </c>
      <c r="M360" s="1" t="s">
        <v>73</v>
      </c>
      <c r="N360" s="1" t="s">
        <v>74</v>
      </c>
      <c r="O360" s="1">
        <v>3</v>
      </c>
      <c r="P360" s="1">
        <v>3</v>
      </c>
      <c r="Q360" s="1">
        <f>data[[#This Row],[Nilai Kepentingan Dimensi Persyaratan]]-data[[#This Row],[Nilai Kepuasan Dimensi Persyaratan]]</f>
        <v>0</v>
      </c>
      <c r="R360" s="1">
        <v>3</v>
      </c>
      <c r="S360" s="1">
        <v>3</v>
      </c>
      <c r="T360" s="1">
        <f>data[[#This Row],[Nilai Kepentingan Dimensi Prosedur]]-data[[#This Row],[Nilai Kepuasan Dimensi Prosedur]]</f>
        <v>0</v>
      </c>
      <c r="U360" s="1">
        <v>3</v>
      </c>
      <c r="V360" s="1">
        <v>3</v>
      </c>
      <c r="W360" s="1">
        <f>data[[#This Row],[Nilai Kepentingan Dimensi Waktu Pelayanan/Penyelesaian]]-data[[#This Row],[Nilai Kepuasan Dimensi Waktu Pelayanan/Penyelesaian]]</f>
        <v>0</v>
      </c>
      <c r="X360" s="1">
        <v>4</v>
      </c>
      <c r="Y360" s="1">
        <v>4</v>
      </c>
      <c r="Z360" s="1">
        <f>data[[#This Row],[Nilai Kepentingan Dimensi Tarif/ Biaya]]-data[[#This Row],[Nilai Kepuasan Dimensi Tarif / Biaya]]</f>
        <v>0</v>
      </c>
      <c r="AA360" s="1">
        <v>3</v>
      </c>
      <c r="AB360" s="1">
        <v>3</v>
      </c>
      <c r="AC360" s="1">
        <f>data[[#This Row],[Nilai Kepentingan Dimensi Produk Spesifikasi Jenis Layanan]]-data[[#This Row],[Nilai Kepuasan Dimensi Produk Spesifikasi Jenis Layanan]]</f>
        <v>0</v>
      </c>
      <c r="AD360" s="1">
        <v>3</v>
      </c>
      <c r="AE360" s="1">
        <v>3</v>
      </c>
      <c r="AF360" s="1">
        <f>data[[#This Row],[Nilai Kepentingan Dimensi Kompetensi Pelaksana]]-data[[#This Row],[Nilai Kepuasan Dimensi Kompetensi Pelaksana]]</f>
        <v>0</v>
      </c>
      <c r="AG360" s="1">
        <v>3</v>
      </c>
      <c r="AH360" s="1">
        <v>3</v>
      </c>
      <c r="AI360" s="1">
        <f>data[[#This Row],[Nilai Kepentingan Dimensi Perilaku Pelaksana]]-data[[#This Row],[Nilai Kepuasan Dimensi Perilaku Pelaksana]]</f>
        <v>0</v>
      </c>
      <c r="AJ360" s="1">
        <v>3</v>
      </c>
      <c r="AK360" s="1">
        <v>3</v>
      </c>
      <c r="AL360" s="1">
        <f>data[[#This Row],[Nilai Kepentingan Dimensi Penanganan Pengaduan, Saran &amp; Masukan]]-data[[#This Row],[Nilai Kepuasan Dimensi Penanganan Pengaduan, Saran &amp; Masukan]]</f>
        <v>0</v>
      </c>
      <c r="AM360" s="1">
        <v>3</v>
      </c>
      <c r="AN360" s="1">
        <v>3</v>
      </c>
      <c r="AO360" s="1">
        <f>data[[#This Row],[Nilai Kepentingan Dimensi Kualitas Sarana dan Prasarana]]-data[[#This Row],[Nilai Kepuasan Dimensi Kualitas Sarana dan Prasarana]]</f>
        <v>0</v>
      </c>
      <c r="AP360" s="1">
        <v>3</v>
      </c>
      <c r="AQ360" s="1" t="s">
        <v>75</v>
      </c>
      <c r="AR360" s="1">
        <v>0</v>
      </c>
      <c r="AS360" s="1" t="s">
        <v>69</v>
      </c>
      <c r="AT360" s="1">
        <v>0</v>
      </c>
      <c r="AU360" s="1" t="s">
        <v>69</v>
      </c>
      <c r="AV360" s="1" t="s">
        <v>83</v>
      </c>
      <c r="AW360" s="1" t="s">
        <v>96</v>
      </c>
      <c r="AX360" s="1">
        <v>0</v>
      </c>
      <c r="AY360" s="1">
        <v>0</v>
      </c>
      <c r="AZ360" s="1" t="s">
        <v>98</v>
      </c>
      <c r="BA360" s="1" t="s">
        <v>99</v>
      </c>
      <c r="BB360" s="1" t="s">
        <v>98</v>
      </c>
      <c r="BC360" s="1" t="s">
        <v>99</v>
      </c>
      <c r="BD360" s="1" t="s">
        <v>98</v>
      </c>
      <c r="BE360" s="1" t="s">
        <v>99</v>
      </c>
      <c r="BF360" s="5" t="s">
        <v>98</v>
      </c>
    </row>
    <row r="361" spans="1:58" x14ac:dyDescent="0.35">
      <c r="A361" s="4">
        <v>360</v>
      </c>
      <c r="B361" s="1" t="s">
        <v>2206</v>
      </c>
      <c r="C361" s="1" t="s">
        <v>904</v>
      </c>
      <c r="D361" s="1" t="s">
        <v>2208</v>
      </c>
      <c r="E361" s="1" t="s">
        <v>69</v>
      </c>
      <c r="F361" s="1" t="s">
        <v>69</v>
      </c>
      <c r="G361" s="1" t="s">
        <v>69</v>
      </c>
      <c r="H361" s="1" t="s">
        <v>69</v>
      </c>
      <c r="I361" s="1" t="s">
        <v>106</v>
      </c>
      <c r="J361" s="1" t="s">
        <v>1180</v>
      </c>
      <c r="K361" s="1">
        <v>27</v>
      </c>
      <c r="L361" s="1" t="s">
        <v>92</v>
      </c>
      <c r="M361" s="1" t="s">
        <v>93</v>
      </c>
      <c r="N361" s="1" t="s">
        <v>74</v>
      </c>
      <c r="O361" s="1">
        <v>3</v>
      </c>
      <c r="P361" s="1">
        <v>3</v>
      </c>
      <c r="Q361" s="1">
        <f>data[[#This Row],[Nilai Kepentingan Dimensi Persyaratan]]-data[[#This Row],[Nilai Kepuasan Dimensi Persyaratan]]</f>
        <v>0</v>
      </c>
      <c r="R361" s="1">
        <v>3</v>
      </c>
      <c r="S361" s="1">
        <v>3</v>
      </c>
      <c r="T361" s="1">
        <f>data[[#This Row],[Nilai Kepentingan Dimensi Prosedur]]-data[[#This Row],[Nilai Kepuasan Dimensi Prosedur]]</f>
        <v>0</v>
      </c>
      <c r="U361" s="1">
        <v>4</v>
      </c>
      <c r="V361" s="1">
        <v>3</v>
      </c>
      <c r="W361" s="1">
        <f>data[[#This Row],[Nilai Kepentingan Dimensi Waktu Pelayanan/Penyelesaian]]-data[[#This Row],[Nilai Kepuasan Dimensi Waktu Pelayanan/Penyelesaian]]</f>
        <v>-1</v>
      </c>
      <c r="X361" s="1">
        <v>0</v>
      </c>
      <c r="Y361" s="1">
        <v>0</v>
      </c>
      <c r="Z361" s="1">
        <f>data[[#This Row],[Nilai Kepentingan Dimensi Tarif/ Biaya]]-data[[#This Row],[Nilai Kepuasan Dimensi Tarif / Biaya]]</f>
        <v>0</v>
      </c>
      <c r="AA361" s="1">
        <v>3</v>
      </c>
      <c r="AB361" s="1">
        <v>3</v>
      </c>
      <c r="AC361" s="1">
        <f>data[[#This Row],[Nilai Kepentingan Dimensi Produk Spesifikasi Jenis Layanan]]-data[[#This Row],[Nilai Kepuasan Dimensi Produk Spesifikasi Jenis Layanan]]</f>
        <v>0</v>
      </c>
      <c r="AD361" s="1">
        <v>3</v>
      </c>
      <c r="AE361" s="1">
        <v>3</v>
      </c>
      <c r="AF361" s="1">
        <f>data[[#This Row],[Nilai Kepentingan Dimensi Kompetensi Pelaksana]]-data[[#This Row],[Nilai Kepuasan Dimensi Kompetensi Pelaksana]]</f>
        <v>0</v>
      </c>
      <c r="AG361" s="1">
        <v>3</v>
      </c>
      <c r="AH361" s="1">
        <v>3</v>
      </c>
      <c r="AI361" s="1">
        <f>data[[#This Row],[Nilai Kepentingan Dimensi Perilaku Pelaksana]]-data[[#This Row],[Nilai Kepuasan Dimensi Perilaku Pelaksana]]</f>
        <v>0</v>
      </c>
      <c r="AJ361" s="1">
        <v>3</v>
      </c>
      <c r="AK361" s="1">
        <v>3</v>
      </c>
      <c r="AL361" s="1">
        <f>data[[#This Row],[Nilai Kepentingan Dimensi Penanganan Pengaduan, Saran &amp; Masukan]]-data[[#This Row],[Nilai Kepuasan Dimensi Penanganan Pengaduan, Saran &amp; Masukan]]</f>
        <v>0</v>
      </c>
      <c r="AM361" s="1">
        <v>3</v>
      </c>
      <c r="AN361" s="1">
        <v>3</v>
      </c>
      <c r="AO361" s="1">
        <f>data[[#This Row],[Nilai Kepentingan Dimensi Kualitas Sarana dan Prasarana]]-data[[#This Row],[Nilai Kepuasan Dimensi Kualitas Sarana dan Prasarana]]</f>
        <v>0</v>
      </c>
      <c r="AP361" s="1">
        <v>0</v>
      </c>
      <c r="AQ361" s="1" t="s">
        <v>69</v>
      </c>
      <c r="AR361" s="1">
        <v>0</v>
      </c>
      <c r="AS361" s="1" t="s">
        <v>69</v>
      </c>
      <c r="AT361" s="1">
        <v>0</v>
      </c>
      <c r="AU361" s="1" t="s">
        <v>69</v>
      </c>
      <c r="AV361" s="1" t="s">
        <v>2210</v>
      </c>
      <c r="AW361" s="1" t="s">
        <v>144</v>
      </c>
      <c r="AX361" s="1">
        <v>1</v>
      </c>
      <c r="AY361" s="1">
        <v>4</v>
      </c>
      <c r="AZ361" s="1" t="s">
        <v>98</v>
      </c>
      <c r="BA361" s="1" t="s">
        <v>99</v>
      </c>
      <c r="BB361" s="1" t="s">
        <v>98</v>
      </c>
      <c r="BC361" s="1" t="s">
        <v>99</v>
      </c>
      <c r="BD361" s="1" t="s">
        <v>98</v>
      </c>
      <c r="BE361" s="1" t="s">
        <v>99</v>
      </c>
      <c r="BF361" s="5" t="s">
        <v>98</v>
      </c>
    </row>
    <row r="362" spans="1:58" x14ac:dyDescent="0.35">
      <c r="A362" s="4">
        <v>361</v>
      </c>
      <c r="B362" s="1" t="s">
        <v>2211</v>
      </c>
      <c r="C362" s="1" t="s">
        <v>63</v>
      </c>
      <c r="D362" s="1" t="s">
        <v>179</v>
      </c>
      <c r="E362" s="1" t="s">
        <v>69</v>
      </c>
      <c r="F362" s="1" t="s">
        <v>69</v>
      </c>
      <c r="G362" s="1" t="s">
        <v>69</v>
      </c>
      <c r="H362" s="1" t="s">
        <v>69</v>
      </c>
      <c r="I362" s="1" t="s">
        <v>70</v>
      </c>
      <c r="J362" s="1" t="s">
        <v>1168</v>
      </c>
      <c r="K362" s="1">
        <v>26</v>
      </c>
      <c r="L362" s="1" t="s">
        <v>92</v>
      </c>
      <c r="M362" s="1" t="s">
        <v>73</v>
      </c>
      <c r="N362" s="1" t="s">
        <v>74</v>
      </c>
      <c r="O362" s="1">
        <v>4</v>
      </c>
      <c r="P362" s="1">
        <v>4</v>
      </c>
      <c r="Q362" s="1">
        <f>data[[#This Row],[Nilai Kepentingan Dimensi Persyaratan]]-data[[#This Row],[Nilai Kepuasan Dimensi Persyaratan]]</f>
        <v>0</v>
      </c>
      <c r="R362" s="1">
        <v>4</v>
      </c>
      <c r="S362" s="1">
        <v>4</v>
      </c>
      <c r="T362" s="1">
        <f>data[[#This Row],[Nilai Kepentingan Dimensi Prosedur]]-data[[#This Row],[Nilai Kepuasan Dimensi Prosedur]]</f>
        <v>0</v>
      </c>
      <c r="U362" s="1">
        <v>4</v>
      </c>
      <c r="V362" s="1">
        <v>4</v>
      </c>
      <c r="W362" s="1">
        <f>data[[#This Row],[Nilai Kepentingan Dimensi Waktu Pelayanan/Penyelesaian]]-data[[#This Row],[Nilai Kepuasan Dimensi Waktu Pelayanan/Penyelesaian]]</f>
        <v>0</v>
      </c>
      <c r="X362" s="1">
        <v>4</v>
      </c>
      <c r="Y362" s="1">
        <v>4</v>
      </c>
      <c r="Z362" s="1">
        <f>data[[#This Row],[Nilai Kepentingan Dimensi Tarif/ Biaya]]-data[[#This Row],[Nilai Kepuasan Dimensi Tarif / Biaya]]</f>
        <v>0</v>
      </c>
      <c r="AA362" s="1">
        <v>4</v>
      </c>
      <c r="AB362" s="1">
        <v>4</v>
      </c>
      <c r="AC362" s="1">
        <f>data[[#This Row],[Nilai Kepentingan Dimensi Produk Spesifikasi Jenis Layanan]]-data[[#This Row],[Nilai Kepuasan Dimensi Produk Spesifikasi Jenis Layanan]]</f>
        <v>0</v>
      </c>
      <c r="AD362" s="1">
        <v>4</v>
      </c>
      <c r="AE362" s="1">
        <v>4</v>
      </c>
      <c r="AF362" s="1">
        <f>data[[#This Row],[Nilai Kepentingan Dimensi Kompetensi Pelaksana]]-data[[#This Row],[Nilai Kepuasan Dimensi Kompetensi Pelaksana]]</f>
        <v>0</v>
      </c>
      <c r="AG362" s="1">
        <v>4</v>
      </c>
      <c r="AH362" s="1">
        <v>4</v>
      </c>
      <c r="AI362" s="1">
        <f>data[[#This Row],[Nilai Kepentingan Dimensi Perilaku Pelaksana]]-data[[#This Row],[Nilai Kepuasan Dimensi Perilaku Pelaksana]]</f>
        <v>0</v>
      </c>
      <c r="AJ362" s="1">
        <v>4</v>
      </c>
      <c r="AK362" s="1">
        <v>4</v>
      </c>
      <c r="AL362" s="1">
        <f>data[[#This Row],[Nilai Kepentingan Dimensi Penanganan Pengaduan, Saran &amp; Masukan]]-data[[#This Row],[Nilai Kepuasan Dimensi Penanganan Pengaduan, Saran &amp; Masukan]]</f>
        <v>0</v>
      </c>
      <c r="AM362" s="1">
        <v>4</v>
      </c>
      <c r="AN362" s="1">
        <v>4</v>
      </c>
      <c r="AO362" s="1">
        <f>data[[#This Row],[Nilai Kepentingan Dimensi Kualitas Sarana dan Prasarana]]-data[[#This Row],[Nilai Kepuasan Dimensi Kualitas Sarana dan Prasarana]]</f>
        <v>0</v>
      </c>
      <c r="AP362" s="1">
        <v>3</v>
      </c>
      <c r="AQ362" s="1" t="s">
        <v>75</v>
      </c>
      <c r="AR362" s="1">
        <v>0</v>
      </c>
      <c r="AS362" s="1" t="s">
        <v>69</v>
      </c>
      <c r="AT362" s="1">
        <v>0</v>
      </c>
      <c r="AU362" s="1" t="s">
        <v>69</v>
      </c>
      <c r="AV362" s="1" t="s">
        <v>83</v>
      </c>
      <c r="AW362" s="1" t="s">
        <v>96</v>
      </c>
      <c r="AX362" s="1">
        <v>0</v>
      </c>
      <c r="AY362" s="1">
        <v>0</v>
      </c>
      <c r="AZ362" s="1" t="s">
        <v>98</v>
      </c>
      <c r="BA362" s="1" t="s">
        <v>99</v>
      </c>
      <c r="BB362" s="1" t="s">
        <v>98</v>
      </c>
      <c r="BC362" s="1" t="s">
        <v>99</v>
      </c>
      <c r="BD362" s="1" t="s">
        <v>98</v>
      </c>
      <c r="BE362" s="1" t="s">
        <v>99</v>
      </c>
      <c r="BF362" s="5" t="s">
        <v>98</v>
      </c>
    </row>
    <row r="363" spans="1:58" x14ac:dyDescent="0.35">
      <c r="A363" s="4">
        <v>362</v>
      </c>
      <c r="B363" s="1" t="s">
        <v>2215</v>
      </c>
      <c r="C363" s="1" t="s">
        <v>63</v>
      </c>
      <c r="D363" s="1" t="s">
        <v>136</v>
      </c>
      <c r="E363" s="1" t="s">
        <v>69</v>
      </c>
      <c r="F363" s="1" t="s">
        <v>69</v>
      </c>
      <c r="G363" s="1" t="s">
        <v>69</v>
      </c>
      <c r="H363" s="1" t="s">
        <v>69</v>
      </c>
      <c r="I363" s="1" t="s">
        <v>70</v>
      </c>
      <c r="J363" s="1" t="s">
        <v>1168</v>
      </c>
      <c r="K363" s="1">
        <v>42</v>
      </c>
      <c r="L363" s="1" t="s">
        <v>197</v>
      </c>
      <c r="M363" s="1" t="s">
        <v>73</v>
      </c>
      <c r="N363" s="1" t="s">
        <v>232</v>
      </c>
      <c r="O363" s="1">
        <v>3</v>
      </c>
      <c r="P363" s="1">
        <v>4</v>
      </c>
      <c r="Q363" s="1">
        <f>data[[#This Row],[Nilai Kepentingan Dimensi Persyaratan]]-data[[#This Row],[Nilai Kepuasan Dimensi Persyaratan]]</f>
        <v>1</v>
      </c>
      <c r="R363" s="1">
        <v>4</v>
      </c>
      <c r="S363" s="1">
        <v>4</v>
      </c>
      <c r="T363" s="1">
        <f>data[[#This Row],[Nilai Kepentingan Dimensi Prosedur]]-data[[#This Row],[Nilai Kepuasan Dimensi Prosedur]]</f>
        <v>0</v>
      </c>
      <c r="U363" s="1">
        <v>4</v>
      </c>
      <c r="V363" s="1">
        <v>4</v>
      </c>
      <c r="W363" s="1">
        <f>data[[#This Row],[Nilai Kepentingan Dimensi Waktu Pelayanan/Penyelesaian]]-data[[#This Row],[Nilai Kepuasan Dimensi Waktu Pelayanan/Penyelesaian]]</f>
        <v>0</v>
      </c>
      <c r="X363" s="1">
        <v>0</v>
      </c>
      <c r="Y363" s="1">
        <v>0</v>
      </c>
      <c r="Z363" s="1">
        <f>data[[#This Row],[Nilai Kepentingan Dimensi Tarif/ Biaya]]-data[[#This Row],[Nilai Kepuasan Dimensi Tarif / Biaya]]</f>
        <v>0</v>
      </c>
      <c r="AA363" s="1">
        <v>4</v>
      </c>
      <c r="AB363" s="1">
        <v>4</v>
      </c>
      <c r="AC363" s="1">
        <f>data[[#This Row],[Nilai Kepentingan Dimensi Produk Spesifikasi Jenis Layanan]]-data[[#This Row],[Nilai Kepuasan Dimensi Produk Spesifikasi Jenis Layanan]]</f>
        <v>0</v>
      </c>
      <c r="AD363" s="1">
        <v>3</v>
      </c>
      <c r="AE363" s="1">
        <v>4</v>
      </c>
      <c r="AF363" s="1">
        <f>data[[#This Row],[Nilai Kepentingan Dimensi Kompetensi Pelaksana]]-data[[#This Row],[Nilai Kepuasan Dimensi Kompetensi Pelaksana]]</f>
        <v>1</v>
      </c>
      <c r="AG363" s="1">
        <v>3</v>
      </c>
      <c r="AH363" s="1">
        <v>4</v>
      </c>
      <c r="AI363" s="1">
        <f>data[[#This Row],[Nilai Kepentingan Dimensi Perilaku Pelaksana]]-data[[#This Row],[Nilai Kepuasan Dimensi Perilaku Pelaksana]]</f>
        <v>1</v>
      </c>
      <c r="AJ363" s="1">
        <v>3</v>
      </c>
      <c r="AK363" s="1">
        <v>4</v>
      </c>
      <c r="AL363" s="1">
        <f>data[[#This Row],[Nilai Kepentingan Dimensi Penanganan Pengaduan, Saran &amp; Masukan]]-data[[#This Row],[Nilai Kepuasan Dimensi Penanganan Pengaduan, Saran &amp; Masukan]]</f>
        <v>1</v>
      </c>
      <c r="AM363" s="1">
        <v>4</v>
      </c>
      <c r="AN363" s="1">
        <v>4</v>
      </c>
      <c r="AO363" s="1">
        <f>data[[#This Row],[Nilai Kepentingan Dimensi Kualitas Sarana dan Prasarana]]-data[[#This Row],[Nilai Kepuasan Dimensi Kualitas Sarana dan Prasarana]]</f>
        <v>0</v>
      </c>
      <c r="AP363" s="1">
        <v>0</v>
      </c>
      <c r="AQ363" s="1" t="s">
        <v>69</v>
      </c>
      <c r="AR363" s="1">
        <v>0</v>
      </c>
      <c r="AS363" s="1" t="s">
        <v>69</v>
      </c>
      <c r="AT363" s="1">
        <v>4</v>
      </c>
      <c r="AU363" s="1" t="s">
        <v>75</v>
      </c>
      <c r="AV363" s="1" t="s">
        <v>83</v>
      </c>
      <c r="AW363" s="1" t="s">
        <v>96</v>
      </c>
      <c r="AX363" s="1">
        <v>0</v>
      </c>
      <c r="AY363" s="1">
        <v>0</v>
      </c>
      <c r="AZ363" s="1" t="s">
        <v>248</v>
      </c>
      <c r="BA363" s="1" t="s">
        <v>79</v>
      </c>
      <c r="BB363" s="1" t="s">
        <v>248</v>
      </c>
      <c r="BC363" s="1" t="s">
        <v>79</v>
      </c>
      <c r="BD363" s="1" t="s">
        <v>248</v>
      </c>
      <c r="BE363" s="1" t="s">
        <v>79</v>
      </c>
      <c r="BF363" s="5" t="s">
        <v>2219</v>
      </c>
    </row>
    <row r="364" spans="1:58" x14ac:dyDescent="0.35">
      <c r="A364" s="4">
        <v>363</v>
      </c>
      <c r="B364" s="1" t="s">
        <v>2220</v>
      </c>
      <c r="C364" s="1" t="s">
        <v>63</v>
      </c>
      <c r="D364" s="1" t="s">
        <v>86</v>
      </c>
      <c r="E364" s="1" t="s">
        <v>69</v>
      </c>
      <c r="F364" s="1" t="s">
        <v>69</v>
      </c>
      <c r="G364" s="1" t="s">
        <v>69</v>
      </c>
      <c r="H364" s="1" t="s">
        <v>69</v>
      </c>
      <c r="I364" s="1" t="s">
        <v>106</v>
      </c>
      <c r="J364" s="1" t="s">
        <v>1168</v>
      </c>
      <c r="K364" s="1">
        <v>23</v>
      </c>
      <c r="L364" s="1" t="s">
        <v>72</v>
      </c>
      <c r="M364" s="1" t="s">
        <v>273</v>
      </c>
      <c r="N364" s="1" t="s">
        <v>74</v>
      </c>
      <c r="O364" s="1">
        <v>3</v>
      </c>
      <c r="P364" s="1">
        <v>3</v>
      </c>
      <c r="Q364" s="1">
        <f>data[[#This Row],[Nilai Kepentingan Dimensi Persyaratan]]-data[[#This Row],[Nilai Kepuasan Dimensi Persyaratan]]</f>
        <v>0</v>
      </c>
      <c r="R364" s="1">
        <v>3</v>
      </c>
      <c r="S364" s="1">
        <v>3</v>
      </c>
      <c r="T364" s="1">
        <f>data[[#This Row],[Nilai Kepentingan Dimensi Prosedur]]-data[[#This Row],[Nilai Kepuasan Dimensi Prosedur]]</f>
        <v>0</v>
      </c>
      <c r="U364" s="1">
        <v>3</v>
      </c>
      <c r="V364" s="1">
        <v>3</v>
      </c>
      <c r="W364" s="1">
        <f>data[[#This Row],[Nilai Kepentingan Dimensi Waktu Pelayanan/Penyelesaian]]-data[[#This Row],[Nilai Kepuasan Dimensi Waktu Pelayanan/Penyelesaian]]</f>
        <v>0</v>
      </c>
      <c r="X364" s="1">
        <v>0</v>
      </c>
      <c r="Y364" s="1">
        <v>0</v>
      </c>
      <c r="Z364" s="1">
        <f>data[[#This Row],[Nilai Kepentingan Dimensi Tarif/ Biaya]]-data[[#This Row],[Nilai Kepuasan Dimensi Tarif / Biaya]]</f>
        <v>0</v>
      </c>
      <c r="AA364" s="1">
        <v>3</v>
      </c>
      <c r="AB364" s="1">
        <v>3</v>
      </c>
      <c r="AC364" s="1">
        <f>data[[#This Row],[Nilai Kepentingan Dimensi Produk Spesifikasi Jenis Layanan]]-data[[#This Row],[Nilai Kepuasan Dimensi Produk Spesifikasi Jenis Layanan]]</f>
        <v>0</v>
      </c>
      <c r="AD364" s="1">
        <v>3</v>
      </c>
      <c r="AE364" s="1">
        <v>3</v>
      </c>
      <c r="AF364" s="1">
        <f>data[[#This Row],[Nilai Kepentingan Dimensi Kompetensi Pelaksana]]-data[[#This Row],[Nilai Kepuasan Dimensi Kompetensi Pelaksana]]</f>
        <v>0</v>
      </c>
      <c r="AG364" s="1">
        <v>3</v>
      </c>
      <c r="AH364" s="1">
        <v>3</v>
      </c>
      <c r="AI364" s="1">
        <f>data[[#This Row],[Nilai Kepentingan Dimensi Perilaku Pelaksana]]-data[[#This Row],[Nilai Kepuasan Dimensi Perilaku Pelaksana]]</f>
        <v>0</v>
      </c>
      <c r="AJ364" s="1">
        <v>3</v>
      </c>
      <c r="AK364" s="1">
        <v>3</v>
      </c>
      <c r="AL364" s="1">
        <f>data[[#This Row],[Nilai Kepentingan Dimensi Penanganan Pengaduan, Saran &amp; Masukan]]-data[[#This Row],[Nilai Kepuasan Dimensi Penanganan Pengaduan, Saran &amp; Masukan]]</f>
        <v>0</v>
      </c>
      <c r="AM364" s="1">
        <v>3</v>
      </c>
      <c r="AN364" s="1">
        <v>3</v>
      </c>
      <c r="AO364" s="1">
        <f>data[[#This Row],[Nilai Kepentingan Dimensi Kualitas Sarana dan Prasarana]]-data[[#This Row],[Nilai Kepuasan Dimensi Kualitas Sarana dan Prasarana]]</f>
        <v>0</v>
      </c>
      <c r="AP364" s="1">
        <v>0</v>
      </c>
      <c r="AQ364" s="1" t="s">
        <v>69</v>
      </c>
      <c r="AR364" s="1">
        <v>0</v>
      </c>
      <c r="AS364" s="1" t="s">
        <v>69</v>
      </c>
      <c r="AT364" s="1">
        <v>0</v>
      </c>
      <c r="AU364" s="1" t="s">
        <v>69</v>
      </c>
      <c r="AV364" s="1" t="s">
        <v>2224</v>
      </c>
      <c r="AW364" s="1" t="s">
        <v>1515</v>
      </c>
      <c r="AX364" s="1">
        <v>2</v>
      </c>
      <c r="AY364" s="1">
        <v>3</v>
      </c>
      <c r="AZ364" s="1" t="s">
        <v>2225</v>
      </c>
      <c r="BA364" s="1" t="s">
        <v>79</v>
      </c>
      <c r="BB364" s="1" t="s">
        <v>248</v>
      </c>
      <c r="BC364" s="1" t="s">
        <v>79</v>
      </c>
      <c r="BD364" s="1" t="s">
        <v>248</v>
      </c>
      <c r="BE364" s="1" t="s">
        <v>79</v>
      </c>
      <c r="BF364" s="5" t="s">
        <v>1857</v>
      </c>
    </row>
    <row r="365" spans="1:58" x14ac:dyDescent="0.35">
      <c r="A365" s="4">
        <v>364</v>
      </c>
      <c r="B365" s="1" t="s">
        <v>2226</v>
      </c>
      <c r="C365" s="1" t="s">
        <v>63</v>
      </c>
      <c r="D365" s="1" t="s">
        <v>86</v>
      </c>
      <c r="E365" s="1" t="s">
        <v>69</v>
      </c>
      <c r="F365" s="1" t="s">
        <v>69</v>
      </c>
      <c r="G365" s="1" t="s">
        <v>69</v>
      </c>
      <c r="H365" s="1" t="s">
        <v>69</v>
      </c>
      <c r="I365" s="1" t="s">
        <v>70</v>
      </c>
      <c r="J365" s="1" t="s">
        <v>1168</v>
      </c>
      <c r="K365" s="1">
        <v>19</v>
      </c>
      <c r="L365" s="1" t="s">
        <v>131</v>
      </c>
      <c r="M365" s="1" t="s">
        <v>73</v>
      </c>
      <c r="N365" s="1" t="s">
        <v>74</v>
      </c>
      <c r="O365" s="1">
        <v>4</v>
      </c>
      <c r="P365" s="1">
        <v>4</v>
      </c>
      <c r="Q365" s="1">
        <f>data[[#This Row],[Nilai Kepentingan Dimensi Persyaratan]]-data[[#This Row],[Nilai Kepuasan Dimensi Persyaratan]]</f>
        <v>0</v>
      </c>
      <c r="R365" s="1">
        <v>4</v>
      </c>
      <c r="S365" s="1">
        <v>4</v>
      </c>
      <c r="T365" s="1">
        <f>data[[#This Row],[Nilai Kepentingan Dimensi Prosedur]]-data[[#This Row],[Nilai Kepuasan Dimensi Prosedur]]</f>
        <v>0</v>
      </c>
      <c r="U365" s="1">
        <v>4</v>
      </c>
      <c r="V365" s="1">
        <v>4</v>
      </c>
      <c r="W365" s="1">
        <f>data[[#This Row],[Nilai Kepentingan Dimensi Waktu Pelayanan/Penyelesaian]]-data[[#This Row],[Nilai Kepuasan Dimensi Waktu Pelayanan/Penyelesaian]]</f>
        <v>0</v>
      </c>
      <c r="X365" s="1">
        <v>4</v>
      </c>
      <c r="Y365" s="1">
        <v>4</v>
      </c>
      <c r="Z365" s="1">
        <f>data[[#This Row],[Nilai Kepentingan Dimensi Tarif/ Biaya]]-data[[#This Row],[Nilai Kepuasan Dimensi Tarif / Biaya]]</f>
        <v>0</v>
      </c>
      <c r="AA365" s="1">
        <v>4</v>
      </c>
      <c r="AB365" s="1">
        <v>4</v>
      </c>
      <c r="AC365" s="1">
        <f>data[[#This Row],[Nilai Kepentingan Dimensi Produk Spesifikasi Jenis Layanan]]-data[[#This Row],[Nilai Kepuasan Dimensi Produk Spesifikasi Jenis Layanan]]</f>
        <v>0</v>
      </c>
      <c r="AD365" s="1">
        <v>4</v>
      </c>
      <c r="AE365" s="1">
        <v>4</v>
      </c>
      <c r="AF365" s="1">
        <f>data[[#This Row],[Nilai Kepentingan Dimensi Kompetensi Pelaksana]]-data[[#This Row],[Nilai Kepuasan Dimensi Kompetensi Pelaksana]]</f>
        <v>0</v>
      </c>
      <c r="AG365" s="1">
        <v>4</v>
      </c>
      <c r="AH365" s="1">
        <v>4</v>
      </c>
      <c r="AI365" s="1">
        <f>data[[#This Row],[Nilai Kepentingan Dimensi Perilaku Pelaksana]]-data[[#This Row],[Nilai Kepuasan Dimensi Perilaku Pelaksana]]</f>
        <v>0</v>
      </c>
      <c r="AJ365" s="1">
        <v>4</v>
      </c>
      <c r="AK365" s="1">
        <v>4</v>
      </c>
      <c r="AL365" s="1">
        <f>data[[#This Row],[Nilai Kepentingan Dimensi Penanganan Pengaduan, Saran &amp; Masukan]]-data[[#This Row],[Nilai Kepuasan Dimensi Penanganan Pengaduan, Saran &amp; Masukan]]</f>
        <v>0</v>
      </c>
      <c r="AM365" s="1">
        <v>4</v>
      </c>
      <c r="AN365" s="1">
        <v>4</v>
      </c>
      <c r="AO365" s="1">
        <f>data[[#This Row],[Nilai Kepentingan Dimensi Kualitas Sarana dan Prasarana]]-data[[#This Row],[Nilai Kepuasan Dimensi Kualitas Sarana dan Prasarana]]</f>
        <v>0</v>
      </c>
      <c r="AP365" s="1">
        <v>4</v>
      </c>
      <c r="AQ365" s="1" t="s">
        <v>75</v>
      </c>
      <c r="AR365" s="1">
        <v>0</v>
      </c>
      <c r="AS365" s="1" t="s">
        <v>69</v>
      </c>
      <c r="AT365" s="1">
        <v>0</v>
      </c>
      <c r="AU365" s="1" t="s">
        <v>69</v>
      </c>
      <c r="AV365" s="1" t="s">
        <v>83</v>
      </c>
      <c r="AW365" s="1" t="s">
        <v>96</v>
      </c>
      <c r="AX365" s="1">
        <v>0</v>
      </c>
      <c r="AY365" s="1">
        <v>0</v>
      </c>
      <c r="AZ365" s="1" t="s">
        <v>98</v>
      </c>
      <c r="BA365" s="1" t="s">
        <v>99</v>
      </c>
      <c r="BB365" s="1" t="s">
        <v>98</v>
      </c>
      <c r="BC365" s="1" t="s">
        <v>99</v>
      </c>
      <c r="BD365" s="1" t="s">
        <v>98</v>
      </c>
      <c r="BE365" s="1" t="s">
        <v>99</v>
      </c>
      <c r="BF365" s="5" t="s">
        <v>98</v>
      </c>
    </row>
    <row r="366" spans="1:58" x14ac:dyDescent="0.35">
      <c r="A366" s="4">
        <v>365</v>
      </c>
      <c r="B366" s="1" t="s">
        <v>2229</v>
      </c>
      <c r="C366" s="1" t="s">
        <v>63</v>
      </c>
      <c r="D366" s="1" t="s">
        <v>338</v>
      </c>
      <c r="E366" s="1" t="s">
        <v>69</v>
      </c>
      <c r="F366" s="1" t="s">
        <v>69</v>
      </c>
      <c r="G366" s="1" t="s">
        <v>69</v>
      </c>
      <c r="H366" s="1" t="s">
        <v>69</v>
      </c>
      <c r="I366" s="1" t="s">
        <v>70</v>
      </c>
      <c r="J366" s="1" t="s">
        <v>1168</v>
      </c>
      <c r="K366" s="1">
        <v>55</v>
      </c>
      <c r="L366" s="1" t="s">
        <v>383</v>
      </c>
      <c r="M366" s="1" t="s">
        <v>273</v>
      </c>
      <c r="N366" s="1" t="s">
        <v>232</v>
      </c>
      <c r="O366" s="1">
        <v>3</v>
      </c>
      <c r="P366" s="1">
        <v>4</v>
      </c>
      <c r="Q366" s="1">
        <f>data[[#This Row],[Nilai Kepentingan Dimensi Persyaratan]]-data[[#This Row],[Nilai Kepuasan Dimensi Persyaratan]]</f>
        <v>1</v>
      </c>
      <c r="R366" s="1">
        <v>2</v>
      </c>
      <c r="S366" s="1">
        <v>4</v>
      </c>
      <c r="T366" s="1">
        <f>data[[#This Row],[Nilai Kepentingan Dimensi Prosedur]]-data[[#This Row],[Nilai Kepuasan Dimensi Prosedur]]</f>
        <v>2</v>
      </c>
      <c r="U366" s="1">
        <v>2</v>
      </c>
      <c r="V366" s="1">
        <v>4</v>
      </c>
      <c r="W366" s="1">
        <f>data[[#This Row],[Nilai Kepentingan Dimensi Waktu Pelayanan/Penyelesaian]]-data[[#This Row],[Nilai Kepuasan Dimensi Waktu Pelayanan/Penyelesaian]]</f>
        <v>2</v>
      </c>
      <c r="X366" s="1">
        <v>0</v>
      </c>
      <c r="Y366" s="1">
        <v>0</v>
      </c>
      <c r="Z366" s="1">
        <f>data[[#This Row],[Nilai Kepentingan Dimensi Tarif/ Biaya]]-data[[#This Row],[Nilai Kepuasan Dimensi Tarif / Biaya]]</f>
        <v>0</v>
      </c>
      <c r="AA366" s="1">
        <v>3</v>
      </c>
      <c r="AB366" s="1">
        <v>4</v>
      </c>
      <c r="AC366" s="1">
        <f>data[[#This Row],[Nilai Kepentingan Dimensi Produk Spesifikasi Jenis Layanan]]-data[[#This Row],[Nilai Kepuasan Dimensi Produk Spesifikasi Jenis Layanan]]</f>
        <v>1</v>
      </c>
      <c r="AD366" s="1">
        <v>3</v>
      </c>
      <c r="AE366" s="1">
        <v>3</v>
      </c>
      <c r="AF366" s="1">
        <f>data[[#This Row],[Nilai Kepentingan Dimensi Kompetensi Pelaksana]]-data[[#This Row],[Nilai Kepuasan Dimensi Kompetensi Pelaksana]]</f>
        <v>0</v>
      </c>
      <c r="AG366" s="1">
        <v>3</v>
      </c>
      <c r="AH366" s="1">
        <v>4</v>
      </c>
      <c r="AI366" s="1">
        <f>data[[#This Row],[Nilai Kepentingan Dimensi Perilaku Pelaksana]]-data[[#This Row],[Nilai Kepuasan Dimensi Perilaku Pelaksana]]</f>
        <v>1</v>
      </c>
      <c r="AJ366" s="1">
        <v>3</v>
      </c>
      <c r="AK366" s="1">
        <v>3</v>
      </c>
      <c r="AL366" s="1">
        <f>data[[#This Row],[Nilai Kepentingan Dimensi Penanganan Pengaduan, Saran &amp; Masukan]]-data[[#This Row],[Nilai Kepuasan Dimensi Penanganan Pengaduan, Saran &amp; Masukan]]</f>
        <v>0</v>
      </c>
      <c r="AM366" s="1">
        <v>1</v>
      </c>
      <c r="AN366" s="1">
        <v>4</v>
      </c>
      <c r="AO366" s="1">
        <f>data[[#This Row],[Nilai Kepentingan Dimensi Kualitas Sarana dan Prasarana]]-data[[#This Row],[Nilai Kepuasan Dimensi Kualitas Sarana dan Prasarana]]</f>
        <v>3</v>
      </c>
      <c r="AP366" s="1">
        <v>0</v>
      </c>
      <c r="AQ366" s="1" t="s">
        <v>69</v>
      </c>
      <c r="AR366" s="1">
        <v>0</v>
      </c>
      <c r="AS366" s="1" t="s">
        <v>69</v>
      </c>
      <c r="AT366" s="1">
        <v>0</v>
      </c>
      <c r="AU366" s="1" t="s">
        <v>69</v>
      </c>
      <c r="AV366" s="1" t="s">
        <v>1515</v>
      </c>
      <c r="AW366" s="1" t="s">
        <v>1515</v>
      </c>
      <c r="AX366" s="1">
        <v>2</v>
      </c>
      <c r="AY366" s="1">
        <v>3</v>
      </c>
      <c r="AZ366" s="1" t="s">
        <v>98</v>
      </c>
      <c r="BA366" s="1" t="s">
        <v>99</v>
      </c>
      <c r="BB366" s="1" t="s">
        <v>98</v>
      </c>
      <c r="BC366" s="1" t="s">
        <v>99</v>
      </c>
      <c r="BD366" s="1" t="s">
        <v>98</v>
      </c>
      <c r="BE366" s="1" t="s">
        <v>99</v>
      </c>
      <c r="BF366" s="5" t="s">
        <v>98</v>
      </c>
    </row>
    <row r="367" spans="1:58" x14ac:dyDescent="0.35">
      <c r="A367" s="4">
        <v>366</v>
      </c>
      <c r="B367" s="1" t="s">
        <v>2232</v>
      </c>
      <c r="C367" s="1" t="s">
        <v>63</v>
      </c>
      <c r="D367" s="1" t="s">
        <v>63</v>
      </c>
      <c r="E367" s="1" t="s">
        <v>69</v>
      </c>
      <c r="F367" s="1" t="s">
        <v>69</v>
      </c>
      <c r="G367" s="1" t="s">
        <v>69</v>
      </c>
      <c r="H367" s="1" t="s">
        <v>69</v>
      </c>
      <c r="I367" s="1" t="s">
        <v>106</v>
      </c>
      <c r="J367" s="1" t="s">
        <v>1168</v>
      </c>
      <c r="K367" s="1">
        <v>44</v>
      </c>
      <c r="L367" s="1" t="s">
        <v>197</v>
      </c>
      <c r="M367" s="1" t="s">
        <v>73</v>
      </c>
      <c r="N367" s="1" t="s">
        <v>110</v>
      </c>
      <c r="O367" s="1">
        <v>3</v>
      </c>
      <c r="P367" s="1">
        <v>3</v>
      </c>
      <c r="Q367" s="1">
        <f>data[[#This Row],[Nilai Kepentingan Dimensi Persyaratan]]-data[[#This Row],[Nilai Kepuasan Dimensi Persyaratan]]</f>
        <v>0</v>
      </c>
      <c r="R367" s="1">
        <v>3</v>
      </c>
      <c r="S367" s="1">
        <v>3</v>
      </c>
      <c r="T367" s="1">
        <f>data[[#This Row],[Nilai Kepentingan Dimensi Prosedur]]-data[[#This Row],[Nilai Kepuasan Dimensi Prosedur]]</f>
        <v>0</v>
      </c>
      <c r="U367" s="1">
        <v>3</v>
      </c>
      <c r="V367" s="1">
        <v>3</v>
      </c>
      <c r="W367" s="1">
        <f>data[[#This Row],[Nilai Kepentingan Dimensi Waktu Pelayanan/Penyelesaian]]-data[[#This Row],[Nilai Kepuasan Dimensi Waktu Pelayanan/Penyelesaian]]</f>
        <v>0</v>
      </c>
      <c r="X367" s="1">
        <v>0</v>
      </c>
      <c r="Y367" s="1">
        <v>0</v>
      </c>
      <c r="Z367" s="1">
        <f>data[[#This Row],[Nilai Kepentingan Dimensi Tarif/ Biaya]]-data[[#This Row],[Nilai Kepuasan Dimensi Tarif / Biaya]]</f>
        <v>0</v>
      </c>
      <c r="AA367" s="1">
        <v>3</v>
      </c>
      <c r="AB367" s="1">
        <v>3</v>
      </c>
      <c r="AC367" s="1">
        <f>data[[#This Row],[Nilai Kepentingan Dimensi Produk Spesifikasi Jenis Layanan]]-data[[#This Row],[Nilai Kepuasan Dimensi Produk Spesifikasi Jenis Layanan]]</f>
        <v>0</v>
      </c>
      <c r="AD367" s="1">
        <v>3</v>
      </c>
      <c r="AE367" s="1">
        <v>3</v>
      </c>
      <c r="AF367" s="1">
        <f>data[[#This Row],[Nilai Kepentingan Dimensi Kompetensi Pelaksana]]-data[[#This Row],[Nilai Kepuasan Dimensi Kompetensi Pelaksana]]</f>
        <v>0</v>
      </c>
      <c r="AG367" s="1">
        <v>3</v>
      </c>
      <c r="AH367" s="1">
        <v>3</v>
      </c>
      <c r="AI367" s="1">
        <f>data[[#This Row],[Nilai Kepentingan Dimensi Perilaku Pelaksana]]-data[[#This Row],[Nilai Kepuasan Dimensi Perilaku Pelaksana]]</f>
        <v>0</v>
      </c>
      <c r="AJ367" s="1">
        <v>3</v>
      </c>
      <c r="AK367" s="1">
        <v>3</v>
      </c>
      <c r="AL367" s="1">
        <f>data[[#This Row],[Nilai Kepentingan Dimensi Penanganan Pengaduan, Saran &amp; Masukan]]-data[[#This Row],[Nilai Kepuasan Dimensi Penanganan Pengaduan, Saran &amp; Masukan]]</f>
        <v>0</v>
      </c>
      <c r="AM367" s="1">
        <v>3</v>
      </c>
      <c r="AN367" s="1">
        <v>3</v>
      </c>
      <c r="AO367" s="1">
        <f>data[[#This Row],[Nilai Kepentingan Dimensi Kualitas Sarana dan Prasarana]]-data[[#This Row],[Nilai Kepuasan Dimensi Kualitas Sarana dan Prasarana]]</f>
        <v>0</v>
      </c>
      <c r="AP367" s="1">
        <v>0</v>
      </c>
      <c r="AQ367" s="1" t="s">
        <v>69</v>
      </c>
      <c r="AR367" s="1">
        <v>0</v>
      </c>
      <c r="AS367" s="1" t="s">
        <v>69</v>
      </c>
      <c r="AT367" s="1">
        <v>4</v>
      </c>
      <c r="AU367" s="1" t="s">
        <v>75</v>
      </c>
      <c r="AV367" s="1" t="s">
        <v>83</v>
      </c>
      <c r="AW367" s="1" t="s">
        <v>96</v>
      </c>
      <c r="AX367" s="1">
        <v>0</v>
      </c>
      <c r="AY367" s="1">
        <v>0</v>
      </c>
      <c r="AZ367" s="1" t="s">
        <v>98</v>
      </c>
      <c r="BA367" s="1" t="s">
        <v>99</v>
      </c>
      <c r="BB367" s="1" t="s">
        <v>98</v>
      </c>
      <c r="BC367" s="1" t="s">
        <v>99</v>
      </c>
      <c r="BD367" s="1" t="s">
        <v>98</v>
      </c>
      <c r="BE367" s="1" t="s">
        <v>99</v>
      </c>
      <c r="BF367" s="5" t="s">
        <v>2237</v>
      </c>
    </row>
    <row r="368" spans="1:58" x14ac:dyDescent="0.35">
      <c r="A368" s="4">
        <v>367</v>
      </c>
      <c r="B368" s="1" t="s">
        <v>2238</v>
      </c>
      <c r="C368" s="1" t="s">
        <v>63</v>
      </c>
      <c r="D368" s="1" t="s">
        <v>1372</v>
      </c>
      <c r="E368" s="1" t="s">
        <v>69</v>
      </c>
      <c r="F368" s="1" t="s">
        <v>69</v>
      </c>
      <c r="G368" s="1" t="s">
        <v>69</v>
      </c>
      <c r="H368" s="1" t="s">
        <v>69</v>
      </c>
      <c r="I368" s="1" t="s">
        <v>70</v>
      </c>
      <c r="J368" s="1" t="s">
        <v>1168</v>
      </c>
      <c r="K368" s="1">
        <v>24</v>
      </c>
      <c r="L368" s="1" t="s">
        <v>72</v>
      </c>
      <c r="M368" s="1" t="s">
        <v>93</v>
      </c>
      <c r="N368" s="1" t="s">
        <v>74</v>
      </c>
      <c r="O368" s="1">
        <v>3</v>
      </c>
      <c r="P368" s="1">
        <v>3</v>
      </c>
      <c r="Q368" s="1">
        <f>data[[#This Row],[Nilai Kepentingan Dimensi Persyaratan]]-data[[#This Row],[Nilai Kepuasan Dimensi Persyaratan]]</f>
        <v>0</v>
      </c>
      <c r="R368" s="1">
        <v>3</v>
      </c>
      <c r="S368" s="1">
        <v>4</v>
      </c>
      <c r="T368" s="1">
        <f>data[[#This Row],[Nilai Kepentingan Dimensi Prosedur]]-data[[#This Row],[Nilai Kepuasan Dimensi Prosedur]]</f>
        <v>1</v>
      </c>
      <c r="U368" s="1">
        <v>3</v>
      </c>
      <c r="V368" s="1">
        <v>4</v>
      </c>
      <c r="W368" s="1">
        <f>data[[#This Row],[Nilai Kepentingan Dimensi Waktu Pelayanan/Penyelesaian]]-data[[#This Row],[Nilai Kepuasan Dimensi Waktu Pelayanan/Penyelesaian]]</f>
        <v>1</v>
      </c>
      <c r="X368" s="1">
        <v>4</v>
      </c>
      <c r="Y368" s="1">
        <v>4</v>
      </c>
      <c r="Z368" s="1">
        <f>data[[#This Row],[Nilai Kepentingan Dimensi Tarif/ Biaya]]-data[[#This Row],[Nilai Kepuasan Dimensi Tarif / Biaya]]</f>
        <v>0</v>
      </c>
      <c r="AA368" s="1">
        <v>4</v>
      </c>
      <c r="AB368" s="1">
        <v>4</v>
      </c>
      <c r="AC368" s="1">
        <f>data[[#This Row],[Nilai Kepentingan Dimensi Produk Spesifikasi Jenis Layanan]]-data[[#This Row],[Nilai Kepuasan Dimensi Produk Spesifikasi Jenis Layanan]]</f>
        <v>0</v>
      </c>
      <c r="AD368" s="1">
        <v>3</v>
      </c>
      <c r="AE368" s="1">
        <v>4</v>
      </c>
      <c r="AF368" s="1">
        <f>data[[#This Row],[Nilai Kepentingan Dimensi Kompetensi Pelaksana]]-data[[#This Row],[Nilai Kepuasan Dimensi Kompetensi Pelaksana]]</f>
        <v>1</v>
      </c>
      <c r="AG368" s="1">
        <v>3</v>
      </c>
      <c r="AH368" s="1">
        <v>4</v>
      </c>
      <c r="AI368" s="1">
        <f>data[[#This Row],[Nilai Kepentingan Dimensi Perilaku Pelaksana]]-data[[#This Row],[Nilai Kepuasan Dimensi Perilaku Pelaksana]]</f>
        <v>1</v>
      </c>
      <c r="AJ368" s="1">
        <v>3</v>
      </c>
      <c r="AK368" s="1">
        <v>4</v>
      </c>
      <c r="AL368" s="1">
        <f>data[[#This Row],[Nilai Kepentingan Dimensi Penanganan Pengaduan, Saran &amp; Masukan]]-data[[#This Row],[Nilai Kepuasan Dimensi Penanganan Pengaduan, Saran &amp; Masukan]]</f>
        <v>1</v>
      </c>
      <c r="AM368" s="1">
        <v>3</v>
      </c>
      <c r="AN368" s="1">
        <v>4</v>
      </c>
      <c r="AO368" s="1">
        <f>data[[#This Row],[Nilai Kepentingan Dimensi Kualitas Sarana dan Prasarana]]-data[[#This Row],[Nilai Kepuasan Dimensi Kualitas Sarana dan Prasarana]]</f>
        <v>1</v>
      </c>
      <c r="AP368" s="1">
        <v>4</v>
      </c>
      <c r="AQ368" s="1" t="s">
        <v>69</v>
      </c>
      <c r="AR368" s="1">
        <v>0</v>
      </c>
      <c r="AS368" s="1" t="s">
        <v>69</v>
      </c>
      <c r="AT368" s="1">
        <v>0</v>
      </c>
      <c r="AU368" s="1" t="s">
        <v>69</v>
      </c>
      <c r="AV368" s="1" t="s">
        <v>83</v>
      </c>
      <c r="AW368" s="1" t="s">
        <v>96</v>
      </c>
      <c r="AX368" s="1">
        <v>0</v>
      </c>
      <c r="AY368" s="1">
        <v>0</v>
      </c>
      <c r="AZ368" s="1" t="s">
        <v>98</v>
      </c>
      <c r="BA368" s="1" t="s">
        <v>99</v>
      </c>
      <c r="BB368" s="1" t="s">
        <v>98</v>
      </c>
      <c r="BC368" s="1" t="s">
        <v>99</v>
      </c>
      <c r="BD368" s="1" t="s">
        <v>98</v>
      </c>
      <c r="BE368" s="1" t="s">
        <v>99</v>
      </c>
      <c r="BF368" s="5" t="s">
        <v>2242</v>
      </c>
    </row>
    <row r="369" spans="1:58" x14ac:dyDescent="0.35">
      <c r="A369" s="4">
        <v>368</v>
      </c>
      <c r="B369" s="1" t="s">
        <v>2243</v>
      </c>
      <c r="C369" s="1" t="s">
        <v>63</v>
      </c>
      <c r="D369" s="1" t="s">
        <v>466</v>
      </c>
      <c r="E369" s="1" t="s">
        <v>69</v>
      </c>
      <c r="F369" s="1" t="s">
        <v>69</v>
      </c>
      <c r="G369" s="1" t="s">
        <v>69</v>
      </c>
      <c r="H369" s="1" t="s">
        <v>69</v>
      </c>
      <c r="I369" s="1" t="s">
        <v>70</v>
      </c>
      <c r="J369" s="1" t="s">
        <v>1168</v>
      </c>
      <c r="K369" s="1">
        <v>27</v>
      </c>
      <c r="L369" s="1" t="s">
        <v>92</v>
      </c>
      <c r="M369" s="1" t="s">
        <v>93</v>
      </c>
      <c r="N369" s="1" t="s">
        <v>74</v>
      </c>
      <c r="O369" s="1">
        <v>4</v>
      </c>
      <c r="P369" s="1">
        <v>4</v>
      </c>
      <c r="Q369" s="1">
        <f>data[[#This Row],[Nilai Kepentingan Dimensi Persyaratan]]-data[[#This Row],[Nilai Kepuasan Dimensi Persyaratan]]</f>
        <v>0</v>
      </c>
      <c r="R369" s="1">
        <v>4</v>
      </c>
      <c r="S369" s="1">
        <v>4</v>
      </c>
      <c r="T369" s="1">
        <f>data[[#This Row],[Nilai Kepentingan Dimensi Prosedur]]-data[[#This Row],[Nilai Kepuasan Dimensi Prosedur]]</f>
        <v>0</v>
      </c>
      <c r="U369" s="1">
        <v>3</v>
      </c>
      <c r="V369" s="1">
        <v>3</v>
      </c>
      <c r="W369" s="1">
        <f>data[[#This Row],[Nilai Kepentingan Dimensi Waktu Pelayanan/Penyelesaian]]-data[[#This Row],[Nilai Kepuasan Dimensi Waktu Pelayanan/Penyelesaian]]</f>
        <v>0</v>
      </c>
      <c r="X369" s="1">
        <v>4</v>
      </c>
      <c r="Y369" s="1">
        <v>4</v>
      </c>
      <c r="Z369" s="1">
        <f>data[[#This Row],[Nilai Kepentingan Dimensi Tarif/ Biaya]]-data[[#This Row],[Nilai Kepuasan Dimensi Tarif / Biaya]]</f>
        <v>0</v>
      </c>
      <c r="AA369" s="1">
        <v>4</v>
      </c>
      <c r="AB369" s="1">
        <v>4</v>
      </c>
      <c r="AC369" s="1">
        <f>data[[#This Row],[Nilai Kepentingan Dimensi Produk Spesifikasi Jenis Layanan]]-data[[#This Row],[Nilai Kepuasan Dimensi Produk Spesifikasi Jenis Layanan]]</f>
        <v>0</v>
      </c>
      <c r="AD369" s="1">
        <v>4</v>
      </c>
      <c r="AE369" s="1">
        <v>4</v>
      </c>
      <c r="AF369" s="1">
        <f>data[[#This Row],[Nilai Kepentingan Dimensi Kompetensi Pelaksana]]-data[[#This Row],[Nilai Kepuasan Dimensi Kompetensi Pelaksana]]</f>
        <v>0</v>
      </c>
      <c r="AG369" s="1">
        <v>4</v>
      </c>
      <c r="AH369" s="1">
        <v>4</v>
      </c>
      <c r="AI369" s="1">
        <f>data[[#This Row],[Nilai Kepentingan Dimensi Perilaku Pelaksana]]-data[[#This Row],[Nilai Kepuasan Dimensi Perilaku Pelaksana]]</f>
        <v>0</v>
      </c>
      <c r="AJ369" s="1">
        <v>3</v>
      </c>
      <c r="AK369" s="1">
        <v>3</v>
      </c>
      <c r="AL369" s="1">
        <f>data[[#This Row],[Nilai Kepentingan Dimensi Penanganan Pengaduan, Saran &amp; Masukan]]-data[[#This Row],[Nilai Kepuasan Dimensi Penanganan Pengaduan, Saran &amp; Masukan]]</f>
        <v>0</v>
      </c>
      <c r="AM369" s="1">
        <v>4</v>
      </c>
      <c r="AN369" s="1">
        <v>4</v>
      </c>
      <c r="AO369" s="1">
        <f>data[[#This Row],[Nilai Kepentingan Dimensi Kualitas Sarana dan Prasarana]]-data[[#This Row],[Nilai Kepuasan Dimensi Kualitas Sarana dan Prasarana]]</f>
        <v>0</v>
      </c>
      <c r="AP369" s="1">
        <v>0</v>
      </c>
      <c r="AQ369" s="1" t="s">
        <v>69</v>
      </c>
      <c r="AR369" s="1">
        <v>3</v>
      </c>
      <c r="AS369" s="1" t="s">
        <v>75</v>
      </c>
      <c r="AT369" s="1">
        <v>0</v>
      </c>
      <c r="AU369" s="1" t="s">
        <v>69</v>
      </c>
      <c r="AV369" s="1" t="s">
        <v>83</v>
      </c>
      <c r="AW369" s="1" t="s">
        <v>96</v>
      </c>
      <c r="AX369" s="1">
        <v>0</v>
      </c>
      <c r="AY369" s="1">
        <v>0</v>
      </c>
      <c r="AZ369" s="1" t="s">
        <v>98</v>
      </c>
      <c r="BA369" s="1" t="s">
        <v>99</v>
      </c>
      <c r="BB369" s="1" t="s">
        <v>98</v>
      </c>
      <c r="BC369" s="1" t="s">
        <v>99</v>
      </c>
      <c r="BD369" s="1" t="s">
        <v>98</v>
      </c>
      <c r="BE369" s="1" t="s">
        <v>99</v>
      </c>
      <c r="BF369" s="5" t="s">
        <v>2247</v>
      </c>
    </row>
    <row r="370" spans="1:58" x14ac:dyDescent="0.35">
      <c r="A370" s="4">
        <v>369</v>
      </c>
      <c r="B370" s="1" t="s">
        <v>2248</v>
      </c>
      <c r="C370" s="1" t="s">
        <v>63</v>
      </c>
      <c r="D370" s="1" t="s">
        <v>1372</v>
      </c>
      <c r="E370" s="1" t="s">
        <v>69</v>
      </c>
      <c r="F370" s="1" t="s">
        <v>69</v>
      </c>
      <c r="G370" s="1" t="s">
        <v>69</v>
      </c>
      <c r="H370" s="1" t="s">
        <v>69</v>
      </c>
      <c r="I370" s="1" t="s">
        <v>106</v>
      </c>
      <c r="J370" s="1" t="s">
        <v>1168</v>
      </c>
      <c r="K370" s="1">
        <v>34</v>
      </c>
      <c r="L370" s="1" t="s">
        <v>109</v>
      </c>
      <c r="M370" s="1" t="s">
        <v>93</v>
      </c>
      <c r="N370" s="1" t="s">
        <v>110</v>
      </c>
      <c r="O370" s="1">
        <v>3</v>
      </c>
      <c r="P370" s="1">
        <v>3</v>
      </c>
      <c r="Q370" s="1">
        <f>data[[#This Row],[Nilai Kepentingan Dimensi Persyaratan]]-data[[#This Row],[Nilai Kepuasan Dimensi Persyaratan]]</f>
        <v>0</v>
      </c>
      <c r="R370" s="1">
        <v>3</v>
      </c>
      <c r="S370" s="1">
        <v>3</v>
      </c>
      <c r="T370" s="1">
        <f>data[[#This Row],[Nilai Kepentingan Dimensi Prosedur]]-data[[#This Row],[Nilai Kepuasan Dimensi Prosedur]]</f>
        <v>0</v>
      </c>
      <c r="U370" s="1">
        <v>4</v>
      </c>
      <c r="V370" s="1">
        <v>4</v>
      </c>
      <c r="W370" s="1">
        <f>data[[#This Row],[Nilai Kepentingan Dimensi Waktu Pelayanan/Penyelesaian]]-data[[#This Row],[Nilai Kepuasan Dimensi Waktu Pelayanan/Penyelesaian]]</f>
        <v>0</v>
      </c>
      <c r="X370" s="1">
        <v>4</v>
      </c>
      <c r="Y370" s="1">
        <v>4</v>
      </c>
      <c r="Z370" s="1">
        <f>data[[#This Row],[Nilai Kepentingan Dimensi Tarif/ Biaya]]-data[[#This Row],[Nilai Kepuasan Dimensi Tarif / Biaya]]</f>
        <v>0</v>
      </c>
      <c r="AA370" s="1">
        <v>4</v>
      </c>
      <c r="AB370" s="1">
        <v>4</v>
      </c>
      <c r="AC370" s="1">
        <f>data[[#This Row],[Nilai Kepentingan Dimensi Produk Spesifikasi Jenis Layanan]]-data[[#This Row],[Nilai Kepuasan Dimensi Produk Spesifikasi Jenis Layanan]]</f>
        <v>0</v>
      </c>
      <c r="AD370" s="1">
        <v>4</v>
      </c>
      <c r="AE370" s="1">
        <v>4</v>
      </c>
      <c r="AF370" s="1">
        <f>data[[#This Row],[Nilai Kepentingan Dimensi Kompetensi Pelaksana]]-data[[#This Row],[Nilai Kepuasan Dimensi Kompetensi Pelaksana]]</f>
        <v>0</v>
      </c>
      <c r="AG370" s="1">
        <v>4</v>
      </c>
      <c r="AH370" s="1">
        <v>4</v>
      </c>
      <c r="AI370" s="1">
        <f>data[[#This Row],[Nilai Kepentingan Dimensi Perilaku Pelaksana]]-data[[#This Row],[Nilai Kepuasan Dimensi Perilaku Pelaksana]]</f>
        <v>0</v>
      </c>
      <c r="AJ370" s="1">
        <v>3</v>
      </c>
      <c r="AK370" s="1">
        <v>3</v>
      </c>
      <c r="AL370" s="1">
        <f>data[[#This Row],[Nilai Kepentingan Dimensi Penanganan Pengaduan, Saran &amp; Masukan]]-data[[#This Row],[Nilai Kepuasan Dimensi Penanganan Pengaduan, Saran &amp; Masukan]]</f>
        <v>0</v>
      </c>
      <c r="AM370" s="1">
        <v>4</v>
      </c>
      <c r="AN370" s="1">
        <v>4</v>
      </c>
      <c r="AO370" s="1">
        <f>data[[#This Row],[Nilai Kepentingan Dimensi Kualitas Sarana dan Prasarana]]-data[[#This Row],[Nilai Kepuasan Dimensi Kualitas Sarana dan Prasarana]]</f>
        <v>0</v>
      </c>
      <c r="AP370" s="1">
        <v>0</v>
      </c>
      <c r="AQ370" s="1" t="s">
        <v>69</v>
      </c>
      <c r="AR370" s="1">
        <v>3</v>
      </c>
      <c r="AS370" s="1" t="s">
        <v>75</v>
      </c>
      <c r="AT370" s="1">
        <v>0</v>
      </c>
      <c r="AU370" s="1" t="s">
        <v>69</v>
      </c>
      <c r="AV370" s="1" t="s">
        <v>83</v>
      </c>
      <c r="AW370" s="1" t="s">
        <v>96</v>
      </c>
      <c r="AX370" s="1">
        <v>0</v>
      </c>
      <c r="AY370" s="1">
        <v>0</v>
      </c>
      <c r="AZ370" s="1" t="s">
        <v>98</v>
      </c>
      <c r="BA370" s="1" t="s">
        <v>99</v>
      </c>
      <c r="BB370" s="1" t="s">
        <v>98</v>
      </c>
      <c r="BC370" s="1" t="s">
        <v>99</v>
      </c>
      <c r="BD370" s="1" t="s">
        <v>98</v>
      </c>
      <c r="BE370" s="1" t="s">
        <v>99</v>
      </c>
      <c r="BF370" s="5" t="s">
        <v>98</v>
      </c>
    </row>
    <row r="371" spans="1:58" x14ac:dyDescent="0.35">
      <c r="A371" s="4">
        <v>370</v>
      </c>
      <c r="B371" s="1" t="s">
        <v>2251</v>
      </c>
      <c r="C371" s="1" t="s">
        <v>63</v>
      </c>
      <c r="D371" s="1" t="s">
        <v>86</v>
      </c>
      <c r="E371" s="1" t="s">
        <v>69</v>
      </c>
      <c r="F371" s="1" t="s">
        <v>69</v>
      </c>
      <c r="G371" s="1" t="s">
        <v>69</v>
      </c>
      <c r="H371" s="1" t="s">
        <v>69</v>
      </c>
      <c r="I371" s="1" t="s">
        <v>106</v>
      </c>
      <c r="J371" s="1" t="s">
        <v>1168</v>
      </c>
      <c r="K371" s="1">
        <v>27</v>
      </c>
      <c r="L371" s="1" t="s">
        <v>92</v>
      </c>
      <c r="M371" s="1" t="s">
        <v>73</v>
      </c>
      <c r="N371" s="1" t="s">
        <v>74</v>
      </c>
      <c r="O371" s="1">
        <v>3</v>
      </c>
      <c r="P371" s="1">
        <v>3</v>
      </c>
      <c r="Q371" s="1">
        <f>data[[#This Row],[Nilai Kepentingan Dimensi Persyaratan]]-data[[#This Row],[Nilai Kepuasan Dimensi Persyaratan]]</f>
        <v>0</v>
      </c>
      <c r="R371" s="1">
        <v>3</v>
      </c>
      <c r="S371" s="1">
        <v>3</v>
      </c>
      <c r="T371" s="1">
        <f>data[[#This Row],[Nilai Kepentingan Dimensi Prosedur]]-data[[#This Row],[Nilai Kepuasan Dimensi Prosedur]]</f>
        <v>0</v>
      </c>
      <c r="U371" s="1">
        <v>3</v>
      </c>
      <c r="V371" s="1">
        <v>3</v>
      </c>
      <c r="W371" s="1">
        <f>data[[#This Row],[Nilai Kepentingan Dimensi Waktu Pelayanan/Penyelesaian]]-data[[#This Row],[Nilai Kepuasan Dimensi Waktu Pelayanan/Penyelesaian]]</f>
        <v>0</v>
      </c>
      <c r="X371" s="1">
        <v>3</v>
      </c>
      <c r="Y371" s="1">
        <v>3</v>
      </c>
      <c r="Z371" s="1">
        <f>data[[#This Row],[Nilai Kepentingan Dimensi Tarif/ Biaya]]-data[[#This Row],[Nilai Kepuasan Dimensi Tarif / Biaya]]</f>
        <v>0</v>
      </c>
      <c r="AA371" s="1">
        <v>3</v>
      </c>
      <c r="AB371" s="1">
        <v>3</v>
      </c>
      <c r="AC371" s="1">
        <f>data[[#This Row],[Nilai Kepentingan Dimensi Produk Spesifikasi Jenis Layanan]]-data[[#This Row],[Nilai Kepuasan Dimensi Produk Spesifikasi Jenis Layanan]]</f>
        <v>0</v>
      </c>
      <c r="AD371" s="1">
        <v>3</v>
      </c>
      <c r="AE371" s="1">
        <v>3</v>
      </c>
      <c r="AF371" s="1">
        <f>data[[#This Row],[Nilai Kepentingan Dimensi Kompetensi Pelaksana]]-data[[#This Row],[Nilai Kepuasan Dimensi Kompetensi Pelaksana]]</f>
        <v>0</v>
      </c>
      <c r="AG371" s="1">
        <v>3</v>
      </c>
      <c r="AH371" s="1">
        <v>3</v>
      </c>
      <c r="AI371" s="1">
        <f>data[[#This Row],[Nilai Kepentingan Dimensi Perilaku Pelaksana]]-data[[#This Row],[Nilai Kepuasan Dimensi Perilaku Pelaksana]]</f>
        <v>0</v>
      </c>
      <c r="AJ371" s="1">
        <v>3</v>
      </c>
      <c r="AK371" s="1">
        <v>3</v>
      </c>
      <c r="AL371" s="1">
        <f>data[[#This Row],[Nilai Kepentingan Dimensi Penanganan Pengaduan, Saran &amp; Masukan]]-data[[#This Row],[Nilai Kepuasan Dimensi Penanganan Pengaduan, Saran &amp; Masukan]]</f>
        <v>0</v>
      </c>
      <c r="AM371" s="1">
        <v>3</v>
      </c>
      <c r="AN371" s="1">
        <v>3</v>
      </c>
      <c r="AO371" s="1">
        <f>data[[#This Row],[Nilai Kepentingan Dimensi Kualitas Sarana dan Prasarana]]-data[[#This Row],[Nilai Kepuasan Dimensi Kualitas Sarana dan Prasarana]]</f>
        <v>0</v>
      </c>
      <c r="AP371" s="1">
        <v>0</v>
      </c>
      <c r="AQ371" s="1" t="s">
        <v>69</v>
      </c>
      <c r="AR371" s="1">
        <v>3</v>
      </c>
      <c r="AS371" s="1" t="s">
        <v>75</v>
      </c>
      <c r="AT371" s="1">
        <v>0</v>
      </c>
      <c r="AU371" s="1" t="s">
        <v>69</v>
      </c>
      <c r="AV371" s="1" t="s">
        <v>83</v>
      </c>
      <c r="AW371" s="1" t="s">
        <v>96</v>
      </c>
      <c r="AX371" s="1">
        <v>0</v>
      </c>
      <c r="AY371" s="1">
        <v>0</v>
      </c>
      <c r="AZ371" s="1" t="s">
        <v>98</v>
      </c>
      <c r="BA371" s="1" t="s">
        <v>99</v>
      </c>
      <c r="BB371" s="1" t="s">
        <v>98</v>
      </c>
      <c r="BC371" s="1" t="s">
        <v>99</v>
      </c>
      <c r="BD371" s="1" t="s">
        <v>98</v>
      </c>
      <c r="BE371" s="1" t="s">
        <v>99</v>
      </c>
      <c r="BF371" s="5" t="s">
        <v>2255</v>
      </c>
    </row>
    <row r="372" spans="1:58" x14ac:dyDescent="0.35">
      <c r="A372" s="4">
        <v>371</v>
      </c>
      <c r="B372" s="1" t="s">
        <v>2256</v>
      </c>
      <c r="C372" s="1" t="s">
        <v>63</v>
      </c>
      <c r="D372" s="1" t="s">
        <v>86</v>
      </c>
      <c r="E372" s="1" t="s">
        <v>69</v>
      </c>
      <c r="F372" s="1" t="s">
        <v>69</v>
      </c>
      <c r="G372" s="1" t="s">
        <v>69</v>
      </c>
      <c r="H372" s="1" t="s">
        <v>69</v>
      </c>
      <c r="I372" s="1" t="s">
        <v>70</v>
      </c>
      <c r="J372" s="1" t="s">
        <v>1168</v>
      </c>
      <c r="K372" s="1">
        <v>25</v>
      </c>
      <c r="L372" s="1" t="s">
        <v>72</v>
      </c>
      <c r="M372" s="1" t="s">
        <v>93</v>
      </c>
      <c r="N372" s="1" t="s">
        <v>74</v>
      </c>
      <c r="O372" s="1">
        <v>3</v>
      </c>
      <c r="P372" s="1">
        <v>3</v>
      </c>
      <c r="Q372" s="1">
        <f>data[[#This Row],[Nilai Kepentingan Dimensi Persyaratan]]-data[[#This Row],[Nilai Kepuasan Dimensi Persyaratan]]</f>
        <v>0</v>
      </c>
      <c r="R372" s="1">
        <v>4</v>
      </c>
      <c r="S372" s="1">
        <v>4</v>
      </c>
      <c r="T372" s="1">
        <f>data[[#This Row],[Nilai Kepentingan Dimensi Prosedur]]-data[[#This Row],[Nilai Kepuasan Dimensi Prosedur]]</f>
        <v>0</v>
      </c>
      <c r="U372" s="1">
        <v>4</v>
      </c>
      <c r="V372" s="1">
        <v>4</v>
      </c>
      <c r="W372" s="1">
        <f>data[[#This Row],[Nilai Kepentingan Dimensi Waktu Pelayanan/Penyelesaian]]-data[[#This Row],[Nilai Kepuasan Dimensi Waktu Pelayanan/Penyelesaian]]</f>
        <v>0</v>
      </c>
      <c r="X372" s="1">
        <v>4</v>
      </c>
      <c r="Y372" s="1">
        <v>4</v>
      </c>
      <c r="Z372" s="1">
        <f>data[[#This Row],[Nilai Kepentingan Dimensi Tarif/ Biaya]]-data[[#This Row],[Nilai Kepuasan Dimensi Tarif / Biaya]]</f>
        <v>0</v>
      </c>
      <c r="AA372" s="1">
        <v>4</v>
      </c>
      <c r="AB372" s="1">
        <v>4</v>
      </c>
      <c r="AC372" s="1">
        <f>data[[#This Row],[Nilai Kepentingan Dimensi Produk Spesifikasi Jenis Layanan]]-data[[#This Row],[Nilai Kepuasan Dimensi Produk Spesifikasi Jenis Layanan]]</f>
        <v>0</v>
      </c>
      <c r="AD372" s="1">
        <v>4</v>
      </c>
      <c r="AE372" s="1">
        <v>4</v>
      </c>
      <c r="AF372" s="1">
        <f>data[[#This Row],[Nilai Kepentingan Dimensi Kompetensi Pelaksana]]-data[[#This Row],[Nilai Kepuasan Dimensi Kompetensi Pelaksana]]</f>
        <v>0</v>
      </c>
      <c r="AG372" s="1">
        <v>4</v>
      </c>
      <c r="AH372" s="1">
        <v>4</v>
      </c>
      <c r="AI372" s="1">
        <f>data[[#This Row],[Nilai Kepentingan Dimensi Perilaku Pelaksana]]-data[[#This Row],[Nilai Kepuasan Dimensi Perilaku Pelaksana]]</f>
        <v>0</v>
      </c>
      <c r="AJ372" s="1">
        <v>4</v>
      </c>
      <c r="AK372" s="1">
        <v>4</v>
      </c>
      <c r="AL372" s="1">
        <f>data[[#This Row],[Nilai Kepentingan Dimensi Penanganan Pengaduan, Saran &amp; Masukan]]-data[[#This Row],[Nilai Kepuasan Dimensi Penanganan Pengaduan, Saran &amp; Masukan]]</f>
        <v>0</v>
      </c>
      <c r="AM372" s="1">
        <v>4</v>
      </c>
      <c r="AN372" s="1">
        <v>4</v>
      </c>
      <c r="AO372" s="1">
        <f>data[[#This Row],[Nilai Kepentingan Dimensi Kualitas Sarana dan Prasarana]]-data[[#This Row],[Nilai Kepuasan Dimensi Kualitas Sarana dan Prasarana]]</f>
        <v>0</v>
      </c>
      <c r="AP372" s="1">
        <v>3</v>
      </c>
      <c r="AQ372" s="1" t="s">
        <v>75</v>
      </c>
      <c r="AR372" s="1">
        <v>0</v>
      </c>
      <c r="AS372" s="1" t="s">
        <v>69</v>
      </c>
      <c r="AT372" s="1">
        <v>0</v>
      </c>
      <c r="AU372" s="1" t="s">
        <v>69</v>
      </c>
      <c r="AV372" s="1" t="s">
        <v>83</v>
      </c>
      <c r="AW372" s="1" t="s">
        <v>96</v>
      </c>
      <c r="AX372" s="1">
        <v>0</v>
      </c>
      <c r="AY372" s="1">
        <v>0</v>
      </c>
      <c r="AZ372" s="1" t="s">
        <v>98</v>
      </c>
      <c r="BA372" s="1" t="s">
        <v>99</v>
      </c>
      <c r="BB372" s="1" t="s">
        <v>98</v>
      </c>
      <c r="BC372" s="1" t="s">
        <v>99</v>
      </c>
      <c r="BD372" s="1" t="s">
        <v>98</v>
      </c>
      <c r="BE372" s="1" t="s">
        <v>99</v>
      </c>
      <c r="BF372" s="5" t="s">
        <v>98</v>
      </c>
    </row>
    <row r="373" spans="1:58" x14ac:dyDescent="0.35">
      <c r="A373" s="4">
        <v>372</v>
      </c>
      <c r="B373" s="1" t="s">
        <v>2259</v>
      </c>
      <c r="C373" s="1" t="s">
        <v>1841</v>
      </c>
      <c r="D373" s="1" t="s">
        <v>2261</v>
      </c>
      <c r="E373" s="1" t="s">
        <v>69</v>
      </c>
      <c r="F373" s="1" t="s">
        <v>69</v>
      </c>
      <c r="G373" s="1" t="s">
        <v>69</v>
      </c>
      <c r="H373" s="1" t="s">
        <v>69</v>
      </c>
      <c r="I373" s="1" t="s">
        <v>70</v>
      </c>
      <c r="J373" s="1" t="s">
        <v>1168</v>
      </c>
      <c r="K373" s="1">
        <v>23</v>
      </c>
      <c r="L373" s="1" t="s">
        <v>72</v>
      </c>
      <c r="M373" s="1" t="s">
        <v>93</v>
      </c>
      <c r="N373" s="1" t="s">
        <v>74</v>
      </c>
      <c r="O373" s="1">
        <v>3</v>
      </c>
      <c r="P373" s="1">
        <v>4</v>
      </c>
      <c r="Q373" s="1">
        <f>data[[#This Row],[Nilai Kepentingan Dimensi Persyaratan]]-data[[#This Row],[Nilai Kepuasan Dimensi Persyaratan]]</f>
        <v>1</v>
      </c>
      <c r="R373" s="1">
        <v>4</v>
      </c>
      <c r="S373" s="1">
        <v>4</v>
      </c>
      <c r="T373" s="1">
        <f>data[[#This Row],[Nilai Kepentingan Dimensi Prosedur]]-data[[#This Row],[Nilai Kepuasan Dimensi Prosedur]]</f>
        <v>0</v>
      </c>
      <c r="U373" s="1">
        <v>3</v>
      </c>
      <c r="V373" s="1">
        <v>4</v>
      </c>
      <c r="W373" s="1">
        <f>data[[#This Row],[Nilai Kepentingan Dimensi Waktu Pelayanan/Penyelesaian]]-data[[#This Row],[Nilai Kepuasan Dimensi Waktu Pelayanan/Penyelesaian]]</f>
        <v>1</v>
      </c>
      <c r="X373" s="1">
        <v>4</v>
      </c>
      <c r="Y373" s="1">
        <v>4</v>
      </c>
      <c r="Z373" s="1">
        <f>data[[#This Row],[Nilai Kepentingan Dimensi Tarif/ Biaya]]-data[[#This Row],[Nilai Kepuasan Dimensi Tarif / Biaya]]</f>
        <v>0</v>
      </c>
      <c r="AA373" s="1">
        <v>4</v>
      </c>
      <c r="AB373" s="1">
        <v>4</v>
      </c>
      <c r="AC373" s="1">
        <f>data[[#This Row],[Nilai Kepentingan Dimensi Produk Spesifikasi Jenis Layanan]]-data[[#This Row],[Nilai Kepuasan Dimensi Produk Spesifikasi Jenis Layanan]]</f>
        <v>0</v>
      </c>
      <c r="AD373" s="1">
        <v>4</v>
      </c>
      <c r="AE373" s="1">
        <v>4</v>
      </c>
      <c r="AF373" s="1">
        <f>data[[#This Row],[Nilai Kepentingan Dimensi Kompetensi Pelaksana]]-data[[#This Row],[Nilai Kepuasan Dimensi Kompetensi Pelaksana]]</f>
        <v>0</v>
      </c>
      <c r="AG373" s="1">
        <v>3</v>
      </c>
      <c r="AH373" s="1">
        <v>3</v>
      </c>
      <c r="AI373" s="1">
        <f>data[[#This Row],[Nilai Kepentingan Dimensi Perilaku Pelaksana]]-data[[#This Row],[Nilai Kepuasan Dimensi Perilaku Pelaksana]]</f>
        <v>0</v>
      </c>
      <c r="AJ373" s="1">
        <v>4</v>
      </c>
      <c r="AK373" s="1">
        <v>4</v>
      </c>
      <c r="AL373" s="1">
        <f>data[[#This Row],[Nilai Kepentingan Dimensi Penanganan Pengaduan, Saran &amp; Masukan]]-data[[#This Row],[Nilai Kepuasan Dimensi Penanganan Pengaduan, Saran &amp; Masukan]]</f>
        <v>0</v>
      </c>
      <c r="AM373" s="1">
        <v>4</v>
      </c>
      <c r="AN373" s="1">
        <v>4</v>
      </c>
      <c r="AO373" s="1">
        <f>data[[#This Row],[Nilai Kepentingan Dimensi Kualitas Sarana dan Prasarana]]-data[[#This Row],[Nilai Kepuasan Dimensi Kualitas Sarana dan Prasarana]]</f>
        <v>0</v>
      </c>
      <c r="AP373" s="1">
        <v>4</v>
      </c>
      <c r="AQ373" s="1" t="s">
        <v>75</v>
      </c>
      <c r="AR373" s="1">
        <v>0</v>
      </c>
      <c r="AS373" s="1" t="s">
        <v>69</v>
      </c>
      <c r="AT373" s="1">
        <v>0</v>
      </c>
      <c r="AU373" s="1" t="s">
        <v>69</v>
      </c>
      <c r="AV373" s="1" t="s">
        <v>83</v>
      </c>
      <c r="AW373" s="1" t="s">
        <v>96</v>
      </c>
      <c r="AX373" s="1">
        <v>0</v>
      </c>
      <c r="AY373" s="1">
        <v>0</v>
      </c>
      <c r="AZ373" s="1" t="s">
        <v>98</v>
      </c>
      <c r="BA373" s="1" t="s">
        <v>99</v>
      </c>
      <c r="BB373" s="1" t="s">
        <v>98</v>
      </c>
      <c r="BC373" s="1" t="s">
        <v>99</v>
      </c>
      <c r="BD373" s="1" t="s">
        <v>98</v>
      </c>
      <c r="BE373" s="1" t="s">
        <v>99</v>
      </c>
      <c r="BF373" s="5" t="s">
        <v>2264</v>
      </c>
    </row>
    <row r="374" spans="1:58" x14ac:dyDescent="0.35">
      <c r="A374" s="4">
        <v>373</v>
      </c>
      <c r="B374" s="1" t="s">
        <v>2265</v>
      </c>
      <c r="C374" s="1" t="s">
        <v>63</v>
      </c>
      <c r="D374" s="1" t="s">
        <v>338</v>
      </c>
      <c r="E374" s="1" t="s">
        <v>69</v>
      </c>
      <c r="F374" s="1" t="s">
        <v>69</v>
      </c>
      <c r="G374" s="1" t="s">
        <v>69</v>
      </c>
      <c r="H374" s="1" t="s">
        <v>69</v>
      </c>
      <c r="I374" s="1" t="s">
        <v>106</v>
      </c>
      <c r="J374" s="1" t="s">
        <v>1180</v>
      </c>
      <c r="K374" s="1">
        <v>40</v>
      </c>
      <c r="L374" s="1" t="s">
        <v>153</v>
      </c>
      <c r="M374" s="1" t="s">
        <v>93</v>
      </c>
      <c r="N374" s="1" t="s">
        <v>74</v>
      </c>
      <c r="O374" s="1">
        <v>4</v>
      </c>
      <c r="P374" s="1">
        <v>4</v>
      </c>
      <c r="Q374" s="1">
        <f>data[[#This Row],[Nilai Kepentingan Dimensi Persyaratan]]-data[[#This Row],[Nilai Kepuasan Dimensi Persyaratan]]</f>
        <v>0</v>
      </c>
      <c r="R374" s="1">
        <v>4</v>
      </c>
      <c r="S374" s="1">
        <v>4</v>
      </c>
      <c r="T374" s="1">
        <f>data[[#This Row],[Nilai Kepentingan Dimensi Prosedur]]-data[[#This Row],[Nilai Kepuasan Dimensi Prosedur]]</f>
        <v>0</v>
      </c>
      <c r="U374" s="1">
        <v>4</v>
      </c>
      <c r="V374" s="1">
        <v>4</v>
      </c>
      <c r="W374" s="1">
        <f>data[[#This Row],[Nilai Kepentingan Dimensi Waktu Pelayanan/Penyelesaian]]-data[[#This Row],[Nilai Kepuasan Dimensi Waktu Pelayanan/Penyelesaian]]</f>
        <v>0</v>
      </c>
      <c r="X374" s="1">
        <v>4</v>
      </c>
      <c r="Y374" s="1">
        <v>4</v>
      </c>
      <c r="Z374" s="1">
        <f>data[[#This Row],[Nilai Kepentingan Dimensi Tarif/ Biaya]]-data[[#This Row],[Nilai Kepuasan Dimensi Tarif / Biaya]]</f>
        <v>0</v>
      </c>
      <c r="AA374" s="1">
        <v>4</v>
      </c>
      <c r="AB374" s="1">
        <v>4</v>
      </c>
      <c r="AC374" s="1">
        <f>data[[#This Row],[Nilai Kepentingan Dimensi Produk Spesifikasi Jenis Layanan]]-data[[#This Row],[Nilai Kepuasan Dimensi Produk Spesifikasi Jenis Layanan]]</f>
        <v>0</v>
      </c>
      <c r="AD374" s="1">
        <v>4</v>
      </c>
      <c r="AE374" s="1">
        <v>4</v>
      </c>
      <c r="AF374" s="1">
        <f>data[[#This Row],[Nilai Kepentingan Dimensi Kompetensi Pelaksana]]-data[[#This Row],[Nilai Kepuasan Dimensi Kompetensi Pelaksana]]</f>
        <v>0</v>
      </c>
      <c r="AG374" s="1">
        <v>4</v>
      </c>
      <c r="AH374" s="1">
        <v>4</v>
      </c>
      <c r="AI374" s="1">
        <f>data[[#This Row],[Nilai Kepentingan Dimensi Perilaku Pelaksana]]-data[[#This Row],[Nilai Kepuasan Dimensi Perilaku Pelaksana]]</f>
        <v>0</v>
      </c>
      <c r="AJ374" s="1">
        <v>3</v>
      </c>
      <c r="AK374" s="1">
        <v>3</v>
      </c>
      <c r="AL374" s="1">
        <f>data[[#This Row],[Nilai Kepentingan Dimensi Penanganan Pengaduan, Saran &amp; Masukan]]-data[[#This Row],[Nilai Kepuasan Dimensi Penanganan Pengaduan, Saran &amp; Masukan]]</f>
        <v>0</v>
      </c>
      <c r="AM374" s="1">
        <v>4</v>
      </c>
      <c r="AN374" s="1">
        <v>4</v>
      </c>
      <c r="AO374" s="1">
        <f>data[[#This Row],[Nilai Kepentingan Dimensi Kualitas Sarana dan Prasarana]]-data[[#This Row],[Nilai Kepuasan Dimensi Kualitas Sarana dan Prasarana]]</f>
        <v>0</v>
      </c>
      <c r="AP374" s="1">
        <v>0</v>
      </c>
      <c r="AQ374" s="1" t="s">
        <v>69</v>
      </c>
      <c r="AR374" s="1">
        <v>0</v>
      </c>
      <c r="AS374" s="1" t="s">
        <v>69</v>
      </c>
      <c r="AT374" s="1">
        <v>0</v>
      </c>
      <c r="AU374" s="1" t="s">
        <v>69</v>
      </c>
      <c r="AV374" s="1" t="s">
        <v>144</v>
      </c>
      <c r="AW374" s="1" t="s">
        <v>144</v>
      </c>
      <c r="AX374" s="1">
        <v>2</v>
      </c>
      <c r="AY374" s="1">
        <v>3</v>
      </c>
      <c r="AZ374" s="1" t="s">
        <v>98</v>
      </c>
      <c r="BA374" s="1" t="s">
        <v>99</v>
      </c>
      <c r="BB374" s="1" t="s">
        <v>98</v>
      </c>
      <c r="BC374" s="1" t="s">
        <v>99</v>
      </c>
      <c r="BD374" s="1" t="s">
        <v>98</v>
      </c>
      <c r="BE374" s="1" t="s">
        <v>99</v>
      </c>
      <c r="BF374" s="5" t="s">
        <v>2268</v>
      </c>
    </row>
    <row r="375" spans="1:58" x14ac:dyDescent="0.35">
      <c r="A375" s="4">
        <v>374</v>
      </c>
      <c r="B375" s="1" t="s">
        <v>2269</v>
      </c>
      <c r="C375" s="1" t="s">
        <v>63</v>
      </c>
      <c r="D375" s="1" t="s">
        <v>63</v>
      </c>
      <c r="E375" s="1" t="s">
        <v>69</v>
      </c>
      <c r="F375" s="1" t="s">
        <v>69</v>
      </c>
      <c r="G375" s="1" t="s">
        <v>69</v>
      </c>
      <c r="H375" s="1" t="s">
        <v>69</v>
      </c>
      <c r="I375" s="1" t="s">
        <v>70</v>
      </c>
      <c r="J375" s="1" t="s">
        <v>1180</v>
      </c>
      <c r="K375" s="1">
        <v>49</v>
      </c>
      <c r="L375" s="1" t="s">
        <v>225</v>
      </c>
      <c r="M375" s="1" t="s">
        <v>93</v>
      </c>
      <c r="N375" s="1" t="s">
        <v>74</v>
      </c>
      <c r="O375" s="1">
        <v>4</v>
      </c>
      <c r="P375" s="1">
        <v>4</v>
      </c>
      <c r="Q375" s="1">
        <f>data[[#This Row],[Nilai Kepentingan Dimensi Persyaratan]]-data[[#This Row],[Nilai Kepuasan Dimensi Persyaratan]]</f>
        <v>0</v>
      </c>
      <c r="R375" s="1">
        <v>4</v>
      </c>
      <c r="S375" s="1">
        <v>4</v>
      </c>
      <c r="T375" s="1">
        <f>data[[#This Row],[Nilai Kepentingan Dimensi Prosedur]]-data[[#This Row],[Nilai Kepuasan Dimensi Prosedur]]</f>
        <v>0</v>
      </c>
      <c r="U375" s="1">
        <v>4</v>
      </c>
      <c r="V375" s="1">
        <v>4</v>
      </c>
      <c r="W375" s="1">
        <f>data[[#This Row],[Nilai Kepentingan Dimensi Waktu Pelayanan/Penyelesaian]]-data[[#This Row],[Nilai Kepuasan Dimensi Waktu Pelayanan/Penyelesaian]]</f>
        <v>0</v>
      </c>
      <c r="X375" s="1">
        <v>4</v>
      </c>
      <c r="Y375" s="1">
        <v>4</v>
      </c>
      <c r="Z375" s="1">
        <f>data[[#This Row],[Nilai Kepentingan Dimensi Tarif/ Biaya]]-data[[#This Row],[Nilai Kepuasan Dimensi Tarif / Biaya]]</f>
        <v>0</v>
      </c>
      <c r="AA375" s="1">
        <v>4</v>
      </c>
      <c r="AB375" s="1">
        <v>4</v>
      </c>
      <c r="AC375" s="1">
        <f>data[[#This Row],[Nilai Kepentingan Dimensi Produk Spesifikasi Jenis Layanan]]-data[[#This Row],[Nilai Kepuasan Dimensi Produk Spesifikasi Jenis Layanan]]</f>
        <v>0</v>
      </c>
      <c r="AD375" s="1">
        <v>3</v>
      </c>
      <c r="AE375" s="1">
        <v>3</v>
      </c>
      <c r="AF375" s="1">
        <f>data[[#This Row],[Nilai Kepentingan Dimensi Kompetensi Pelaksana]]-data[[#This Row],[Nilai Kepuasan Dimensi Kompetensi Pelaksana]]</f>
        <v>0</v>
      </c>
      <c r="AG375" s="1">
        <v>4</v>
      </c>
      <c r="AH375" s="1">
        <v>4</v>
      </c>
      <c r="AI375" s="1">
        <f>data[[#This Row],[Nilai Kepentingan Dimensi Perilaku Pelaksana]]-data[[#This Row],[Nilai Kepuasan Dimensi Perilaku Pelaksana]]</f>
        <v>0</v>
      </c>
      <c r="AJ375" s="1">
        <v>4</v>
      </c>
      <c r="AK375" s="1">
        <v>4</v>
      </c>
      <c r="AL375" s="1">
        <f>data[[#This Row],[Nilai Kepentingan Dimensi Penanganan Pengaduan, Saran &amp; Masukan]]-data[[#This Row],[Nilai Kepuasan Dimensi Penanganan Pengaduan, Saran &amp; Masukan]]</f>
        <v>0</v>
      </c>
      <c r="AM375" s="1">
        <v>3</v>
      </c>
      <c r="AN375" s="1">
        <v>3</v>
      </c>
      <c r="AO375" s="1">
        <f>data[[#This Row],[Nilai Kepentingan Dimensi Kualitas Sarana dan Prasarana]]-data[[#This Row],[Nilai Kepuasan Dimensi Kualitas Sarana dan Prasarana]]</f>
        <v>0</v>
      </c>
      <c r="AP375" s="1">
        <v>0</v>
      </c>
      <c r="AQ375" s="1" t="s">
        <v>69</v>
      </c>
      <c r="AR375" s="1">
        <v>0</v>
      </c>
      <c r="AS375" s="1" t="s">
        <v>69</v>
      </c>
      <c r="AT375" s="1">
        <v>0</v>
      </c>
      <c r="AU375" s="1" t="s">
        <v>69</v>
      </c>
      <c r="AV375" s="1" t="s">
        <v>384</v>
      </c>
      <c r="AW375" s="1" t="s">
        <v>186</v>
      </c>
      <c r="AX375" s="1">
        <v>2</v>
      </c>
      <c r="AY375" s="1">
        <v>3</v>
      </c>
      <c r="AZ375" s="1" t="s">
        <v>98</v>
      </c>
      <c r="BA375" s="1" t="s">
        <v>99</v>
      </c>
      <c r="BB375" s="1" t="s">
        <v>98</v>
      </c>
      <c r="BC375" s="1" t="s">
        <v>99</v>
      </c>
      <c r="BD375" s="1" t="s">
        <v>98</v>
      </c>
      <c r="BE375" s="1" t="s">
        <v>99</v>
      </c>
      <c r="BF375" s="5" t="s">
        <v>2271</v>
      </c>
    </row>
    <row r="376" spans="1:58" x14ac:dyDescent="0.35">
      <c r="A376" s="4">
        <v>375</v>
      </c>
      <c r="B376" s="1" t="s">
        <v>2272</v>
      </c>
      <c r="C376" s="1" t="s">
        <v>63</v>
      </c>
      <c r="D376" s="1" t="s">
        <v>63</v>
      </c>
      <c r="E376" s="1" t="s">
        <v>69</v>
      </c>
      <c r="F376" s="1" t="s">
        <v>69</v>
      </c>
      <c r="G376" s="1" t="s">
        <v>69</v>
      </c>
      <c r="H376" s="1" t="s">
        <v>69</v>
      </c>
      <c r="I376" s="1" t="s">
        <v>70</v>
      </c>
      <c r="J376" s="1" t="s">
        <v>1180</v>
      </c>
      <c r="K376" s="1">
        <v>54</v>
      </c>
      <c r="L376" s="1" t="s">
        <v>383</v>
      </c>
      <c r="M376" s="1" t="s">
        <v>254</v>
      </c>
      <c r="N376" s="1" t="s">
        <v>74</v>
      </c>
      <c r="O376" s="1">
        <v>4</v>
      </c>
      <c r="P376" s="1">
        <v>4</v>
      </c>
      <c r="Q376" s="1">
        <f>data[[#This Row],[Nilai Kepentingan Dimensi Persyaratan]]-data[[#This Row],[Nilai Kepuasan Dimensi Persyaratan]]</f>
        <v>0</v>
      </c>
      <c r="R376" s="1">
        <v>4</v>
      </c>
      <c r="S376" s="1">
        <v>4</v>
      </c>
      <c r="T376" s="1">
        <f>data[[#This Row],[Nilai Kepentingan Dimensi Prosedur]]-data[[#This Row],[Nilai Kepuasan Dimensi Prosedur]]</f>
        <v>0</v>
      </c>
      <c r="U376" s="1">
        <v>4</v>
      </c>
      <c r="V376" s="1">
        <v>4</v>
      </c>
      <c r="W376" s="1">
        <f>data[[#This Row],[Nilai Kepentingan Dimensi Waktu Pelayanan/Penyelesaian]]-data[[#This Row],[Nilai Kepuasan Dimensi Waktu Pelayanan/Penyelesaian]]</f>
        <v>0</v>
      </c>
      <c r="X376" s="1">
        <v>4</v>
      </c>
      <c r="Y376" s="1">
        <v>4</v>
      </c>
      <c r="Z376" s="1">
        <f>data[[#This Row],[Nilai Kepentingan Dimensi Tarif/ Biaya]]-data[[#This Row],[Nilai Kepuasan Dimensi Tarif / Biaya]]</f>
        <v>0</v>
      </c>
      <c r="AA376" s="1">
        <v>4</v>
      </c>
      <c r="AB376" s="1">
        <v>4</v>
      </c>
      <c r="AC376" s="1">
        <f>data[[#This Row],[Nilai Kepentingan Dimensi Produk Spesifikasi Jenis Layanan]]-data[[#This Row],[Nilai Kepuasan Dimensi Produk Spesifikasi Jenis Layanan]]</f>
        <v>0</v>
      </c>
      <c r="AD376" s="1">
        <v>4</v>
      </c>
      <c r="AE376" s="1">
        <v>4</v>
      </c>
      <c r="AF376" s="1">
        <f>data[[#This Row],[Nilai Kepentingan Dimensi Kompetensi Pelaksana]]-data[[#This Row],[Nilai Kepuasan Dimensi Kompetensi Pelaksana]]</f>
        <v>0</v>
      </c>
      <c r="AG376" s="1">
        <v>4</v>
      </c>
      <c r="AH376" s="1">
        <v>4</v>
      </c>
      <c r="AI376" s="1">
        <f>data[[#This Row],[Nilai Kepentingan Dimensi Perilaku Pelaksana]]-data[[#This Row],[Nilai Kepuasan Dimensi Perilaku Pelaksana]]</f>
        <v>0</v>
      </c>
      <c r="AJ376" s="1">
        <v>4</v>
      </c>
      <c r="AK376" s="1">
        <v>4</v>
      </c>
      <c r="AL376" s="1">
        <f>data[[#This Row],[Nilai Kepentingan Dimensi Penanganan Pengaduan, Saran &amp; Masukan]]-data[[#This Row],[Nilai Kepuasan Dimensi Penanganan Pengaduan, Saran &amp; Masukan]]</f>
        <v>0</v>
      </c>
      <c r="AM376" s="1">
        <v>4</v>
      </c>
      <c r="AN376" s="1">
        <v>4</v>
      </c>
      <c r="AO376" s="1">
        <f>data[[#This Row],[Nilai Kepentingan Dimensi Kualitas Sarana dan Prasarana]]-data[[#This Row],[Nilai Kepuasan Dimensi Kualitas Sarana dan Prasarana]]</f>
        <v>0</v>
      </c>
      <c r="AP376" s="1">
        <v>0</v>
      </c>
      <c r="AQ376" s="1" t="s">
        <v>69</v>
      </c>
      <c r="AR376" s="1">
        <v>3</v>
      </c>
      <c r="AS376" s="1" t="s">
        <v>75</v>
      </c>
      <c r="AT376" s="1">
        <v>0</v>
      </c>
      <c r="AU376" s="1" t="s">
        <v>69</v>
      </c>
      <c r="AV376" s="1" t="s">
        <v>83</v>
      </c>
      <c r="AW376" s="1" t="s">
        <v>96</v>
      </c>
      <c r="AX376" s="1">
        <v>0</v>
      </c>
      <c r="AY376" s="1">
        <v>0</v>
      </c>
      <c r="AZ376" s="1" t="s">
        <v>98</v>
      </c>
      <c r="BA376" s="1" t="s">
        <v>99</v>
      </c>
      <c r="BB376" s="1" t="s">
        <v>98</v>
      </c>
      <c r="BC376" s="1" t="s">
        <v>99</v>
      </c>
      <c r="BD376" s="1" t="s">
        <v>98</v>
      </c>
      <c r="BE376" s="1" t="s">
        <v>99</v>
      </c>
      <c r="BF376" s="5" t="s">
        <v>2276</v>
      </c>
    </row>
    <row r="377" spans="1:58" x14ac:dyDescent="0.35">
      <c r="A377" s="4">
        <v>376</v>
      </c>
      <c r="B377" s="1" t="s">
        <v>2277</v>
      </c>
      <c r="C377" s="1" t="s">
        <v>63</v>
      </c>
      <c r="D377" s="1" t="s">
        <v>179</v>
      </c>
      <c r="E377" s="1" t="s">
        <v>69</v>
      </c>
      <c r="F377" s="1" t="s">
        <v>69</v>
      </c>
      <c r="G377" s="1" t="s">
        <v>69</v>
      </c>
      <c r="H377" s="1" t="s">
        <v>69</v>
      </c>
      <c r="I377" s="1" t="s">
        <v>106</v>
      </c>
      <c r="J377" s="1" t="s">
        <v>1180</v>
      </c>
      <c r="K377" s="1">
        <v>29</v>
      </c>
      <c r="L377" s="1" t="s">
        <v>92</v>
      </c>
      <c r="M377" s="1" t="s">
        <v>93</v>
      </c>
      <c r="N377" s="1" t="s">
        <v>110</v>
      </c>
      <c r="O377" s="1">
        <v>4</v>
      </c>
      <c r="P377" s="1">
        <v>4</v>
      </c>
      <c r="Q377" s="1">
        <f>data[[#This Row],[Nilai Kepentingan Dimensi Persyaratan]]-data[[#This Row],[Nilai Kepuasan Dimensi Persyaratan]]</f>
        <v>0</v>
      </c>
      <c r="R377" s="1">
        <v>4</v>
      </c>
      <c r="S377" s="1">
        <v>4</v>
      </c>
      <c r="T377" s="1">
        <f>data[[#This Row],[Nilai Kepentingan Dimensi Prosedur]]-data[[#This Row],[Nilai Kepuasan Dimensi Prosedur]]</f>
        <v>0</v>
      </c>
      <c r="U377" s="1">
        <v>3</v>
      </c>
      <c r="V377" s="1">
        <v>3</v>
      </c>
      <c r="W377" s="1">
        <f>data[[#This Row],[Nilai Kepentingan Dimensi Waktu Pelayanan/Penyelesaian]]-data[[#This Row],[Nilai Kepuasan Dimensi Waktu Pelayanan/Penyelesaian]]</f>
        <v>0</v>
      </c>
      <c r="X377" s="1">
        <v>4</v>
      </c>
      <c r="Y377" s="1">
        <v>4</v>
      </c>
      <c r="Z377" s="1">
        <f>data[[#This Row],[Nilai Kepentingan Dimensi Tarif/ Biaya]]-data[[#This Row],[Nilai Kepuasan Dimensi Tarif / Biaya]]</f>
        <v>0</v>
      </c>
      <c r="AA377" s="1">
        <v>3</v>
      </c>
      <c r="AB377" s="1">
        <v>3</v>
      </c>
      <c r="AC377" s="1">
        <f>data[[#This Row],[Nilai Kepentingan Dimensi Produk Spesifikasi Jenis Layanan]]-data[[#This Row],[Nilai Kepuasan Dimensi Produk Spesifikasi Jenis Layanan]]</f>
        <v>0</v>
      </c>
      <c r="AD377" s="1">
        <v>3</v>
      </c>
      <c r="AE377" s="1">
        <v>3</v>
      </c>
      <c r="AF377" s="1">
        <f>data[[#This Row],[Nilai Kepentingan Dimensi Kompetensi Pelaksana]]-data[[#This Row],[Nilai Kepuasan Dimensi Kompetensi Pelaksana]]</f>
        <v>0</v>
      </c>
      <c r="AG377" s="1">
        <v>4</v>
      </c>
      <c r="AH377" s="1">
        <v>4</v>
      </c>
      <c r="AI377" s="1">
        <f>data[[#This Row],[Nilai Kepentingan Dimensi Perilaku Pelaksana]]-data[[#This Row],[Nilai Kepuasan Dimensi Perilaku Pelaksana]]</f>
        <v>0</v>
      </c>
      <c r="AJ377" s="1">
        <v>4</v>
      </c>
      <c r="AK377" s="1">
        <v>4</v>
      </c>
      <c r="AL377" s="1">
        <f>data[[#This Row],[Nilai Kepentingan Dimensi Penanganan Pengaduan, Saran &amp; Masukan]]-data[[#This Row],[Nilai Kepuasan Dimensi Penanganan Pengaduan, Saran &amp; Masukan]]</f>
        <v>0</v>
      </c>
      <c r="AM377" s="1">
        <v>4</v>
      </c>
      <c r="AN377" s="1">
        <v>4</v>
      </c>
      <c r="AO377" s="1">
        <f>data[[#This Row],[Nilai Kepentingan Dimensi Kualitas Sarana dan Prasarana]]-data[[#This Row],[Nilai Kepuasan Dimensi Kualitas Sarana dan Prasarana]]</f>
        <v>0</v>
      </c>
      <c r="AP377" s="1">
        <v>0</v>
      </c>
      <c r="AQ377" s="1" t="s">
        <v>69</v>
      </c>
      <c r="AR377" s="1">
        <v>0</v>
      </c>
      <c r="AS377" s="1" t="s">
        <v>69</v>
      </c>
      <c r="AT377" s="1">
        <v>0</v>
      </c>
      <c r="AU377" s="1" t="s">
        <v>69</v>
      </c>
      <c r="AV377" s="1" t="s">
        <v>144</v>
      </c>
      <c r="AW377" s="1" t="s">
        <v>144</v>
      </c>
      <c r="AX377" s="1">
        <v>1</v>
      </c>
      <c r="AY377" s="1">
        <v>4</v>
      </c>
      <c r="AZ377" s="1" t="s">
        <v>98</v>
      </c>
      <c r="BA377" s="1" t="s">
        <v>99</v>
      </c>
      <c r="BB377" s="1" t="s">
        <v>98</v>
      </c>
      <c r="BC377" s="1" t="s">
        <v>99</v>
      </c>
      <c r="BD377" s="1" t="s">
        <v>98</v>
      </c>
      <c r="BE377" s="1" t="s">
        <v>99</v>
      </c>
      <c r="BF377" s="5" t="s">
        <v>98</v>
      </c>
    </row>
    <row r="378" spans="1:58" x14ac:dyDescent="0.35">
      <c r="A378" s="4">
        <v>377</v>
      </c>
      <c r="B378" s="1" t="s">
        <v>2281</v>
      </c>
      <c r="C378" s="1" t="s">
        <v>1486</v>
      </c>
      <c r="D378" s="1" t="s">
        <v>2283</v>
      </c>
      <c r="E378" s="1" t="s">
        <v>69</v>
      </c>
      <c r="F378" s="1" t="s">
        <v>69</v>
      </c>
      <c r="G378" s="1" t="s">
        <v>69</v>
      </c>
      <c r="H378" s="1" t="s">
        <v>69</v>
      </c>
      <c r="I378" s="1" t="s">
        <v>70</v>
      </c>
      <c r="J378" s="1" t="s">
        <v>1168</v>
      </c>
      <c r="K378" s="1">
        <v>29</v>
      </c>
      <c r="L378" s="1" t="s">
        <v>92</v>
      </c>
      <c r="M378" s="1" t="s">
        <v>93</v>
      </c>
      <c r="N378" s="1" t="s">
        <v>74</v>
      </c>
      <c r="O378" s="1">
        <v>4</v>
      </c>
      <c r="P378" s="1">
        <v>4</v>
      </c>
      <c r="Q378" s="1">
        <f>data[[#This Row],[Nilai Kepentingan Dimensi Persyaratan]]-data[[#This Row],[Nilai Kepuasan Dimensi Persyaratan]]</f>
        <v>0</v>
      </c>
      <c r="R378" s="1">
        <v>4</v>
      </c>
      <c r="S378" s="1">
        <v>4</v>
      </c>
      <c r="T378" s="1">
        <f>data[[#This Row],[Nilai Kepentingan Dimensi Prosedur]]-data[[#This Row],[Nilai Kepuasan Dimensi Prosedur]]</f>
        <v>0</v>
      </c>
      <c r="U378" s="1">
        <v>4</v>
      </c>
      <c r="V378" s="1">
        <v>4</v>
      </c>
      <c r="W378" s="1">
        <f>data[[#This Row],[Nilai Kepentingan Dimensi Waktu Pelayanan/Penyelesaian]]-data[[#This Row],[Nilai Kepuasan Dimensi Waktu Pelayanan/Penyelesaian]]</f>
        <v>0</v>
      </c>
      <c r="X378" s="1">
        <v>4</v>
      </c>
      <c r="Y378" s="1">
        <v>4</v>
      </c>
      <c r="Z378" s="1">
        <f>data[[#This Row],[Nilai Kepentingan Dimensi Tarif/ Biaya]]-data[[#This Row],[Nilai Kepuasan Dimensi Tarif / Biaya]]</f>
        <v>0</v>
      </c>
      <c r="AA378" s="1">
        <v>4</v>
      </c>
      <c r="AB378" s="1">
        <v>4</v>
      </c>
      <c r="AC378" s="1">
        <f>data[[#This Row],[Nilai Kepentingan Dimensi Produk Spesifikasi Jenis Layanan]]-data[[#This Row],[Nilai Kepuasan Dimensi Produk Spesifikasi Jenis Layanan]]</f>
        <v>0</v>
      </c>
      <c r="AD378" s="1">
        <v>4</v>
      </c>
      <c r="AE378" s="1">
        <v>4</v>
      </c>
      <c r="AF378" s="1">
        <f>data[[#This Row],[Nilai Kepentingan Dimensi Kompetensi Pelaksana]]-data[[#This Row],[Nilai Kepuasan Dimensi Kompetensi Pelaksana]]</f>
        <v>0</v>
      </c>
      <c r="AG378" s="1">
        <v>4</v>
      </c>
      <c r="AH378" s="1">
        <v>4</v>
      </c>
      <c r="AI378" s="1">
        <f>data[[#This Row],[Nilai Kepentingan Dimensi Perilaku Pelaksana]]-data[[#This Row],[Nilai Kepuasan Dimensi Perilaku Pelaksana]]</f>
        <v>0</v>
      </c>
      <c r="AJ378" s="1">
        <v>4</v>
      </c>
      <c r="AK378" s="1">
        <v>4</v>
      </c>
      <c r="AL378" s="1">
        <f>data[[#This Row],[Nilai Kepentingan Dimensi Penanganan Pengaduan, Saran &amp; Masukan]]-data[[#This Row],[Nilai Kepuasan Dimensi Penanganan Pengaduan, Saran &amp; Masukan]]</f>
        <v>0</v>
      </c>
      <c r="AM378" s="1">
        <v>4</v>
      </c>
      <c r="AN378" s="1">
        <v>4</v>
      </c>
      <c r="AO378" s="1">
        <f>data[[#This Row],[Nilai Kepentingan Dimensi Kualitas Sarana dan Prasarana]]-data[[#This Row],[Nilai Kepuasan Dimensi Kualitas Sarana dan Prasarana]]</f>
        <v>0</v>
      </c>
      <c r="AP378" s="1">
        <v>0</v>
      </c>
      <c r="AQ378" s="1" t="s">
        <v>69</v>
      </c>
      <c r="AR378" s="1">
        <v>4</v>
      </c>
      <c r="AS378" s="1" t="s">
        <v>69</v>
      </c>
      <c r="AT378" s="1">
        <v>0</v>
      </c>
      <c r="AU378" s="1" t="s">
        <v>69</v>
      </c>
      <c r="AV378" s="1" t="s">
        <v>83</v>
      </c>
      <c r="AW378" s="1" t="s">
        <v>96</v>
      </c>
      <c r="AX378" s="1">
        <v>0</v>
      </c>
      <c r="AY378" s="1">
        <v>0</v>
      </c>
      <c r="AZ378" s="1" t="s">
        <v>98</v>
      </c>
      <c r="BA378" s="1" t="s">
        <v>99</v>
      </c>
      <c r="BB378" s="1" t="s">
        <v>98</v>
      </c>
      <c r="BC378" s="1" t="s">
        <v>99</v>
      </c>
      <c r="BD378" s="1" t="s">
        <v>98</v>
      </c>
      <c r="BE378" s="1" t="s">
        <v>99</v>
      </c>
      <c r="BF378" s="5" t="s">
        <v>98</v>
      </c>
    </row>
    <row r="379" spans="1:58" x14ac:dyDescent="0.35">
      <c r="A379" s="4">
        <v>378</v>
      </c>
      <c r="B379" s="1" t="s">
        <v>2286</v>
      </c>
      <c r="C379" s="1" t="s">
        <v>63</v>
      </c>
      <c r="D379" s="1" t="s">
        <v>416</v>
      </c>
      <c r="E379" s="1" t="s">
        <v>69</v>
      </c>
      <c r="F379" s="1" t="s">
        <v>69</v>
      </c>
      <c r="G379" s="1" t="s">
        <v>69</v>
      </c>
      <c r="H379" s="1" t="s">
        <v>69</v>
      </c>
      <c r="I379" s="1" t="s">
        <v>106</v>
      </c>
      <c r="J379" s="1" t="s">
        <v>1168</v>
      </c>
      <c r="K379" s="1">
        <v>30</v>
      </c>
      <c r="L379" s="1" t="s">
        <v>92</v>
      </c>
      <c r="M379" s="1" t="s">
        <v>93</v>
      </c>
      <c r="N379" s="1" t="s">
        <v>74</v>
      </c>
      <c r="O379" s="1">
        <v>4</v>
      </c>
      <c r="P379" s="1">
        <v>4</v>
      </c>
      <c r="Q379" s="1">
        <f>data[[#This Row],[Nilai Kepentingan Dimensi Persyaratan]]-data[[#This Row],[Nilai Kepuasan Dimensi Persyaratan]]</f>
        <v>0</v>
      </c>
      <c r="R379" s="1">
        <v>4</v>
      </c>
      <c r="S379" s="1">
        <v>4</v>
      </c>
      <c r="T379" s="1">
        <f>data[[#This Row],[Nilai Kepentingan Dimensi Prosedur]]-data[[#This Row],[Nilai Kepuasan Dimensi Prosedur]]</f>
        <v>0</v>
      </c>
      <c r="U379" s="1">
        <v>4</v>
      </c>
      <c r="V379" s="1">
        <v>4</v>
      </c>
      <c r="W379" s="1">
        <f>data[[#This Row],[Nilai Kepentingan Dimensi Waktu Pelayanan/Penyelesaian]]-data[[#This Row],[Nilai Kepuasan Dimensi Waktu Pelayanan/Penyelesaian]]</f>
        <v>0</v>
      </c>
      <c r="X379" s="1">
        <v>4</v>
      </c>
      <c r="Y379" s="1">
        <v>4</v>
      </c>
      <c r="Z379" s="1">
        <f>data[[#This Row],[Nilai Kepentingan Dimensi Tarif/ Biaya]]-data[[#This Row],[Nilai Kepuasan Dimensi Tarif / Biaya]]</f>
        <v>0</v>
      </c>
      <c r="AA379" s="1">
        <v>4</v>
      </c>
      <c r="AB379" s="1">
        <v>4</v>
      </c>
      <c r="AC379" s="1">
        <f>data[[#This Row],[Nilai Kepentingan Dimensi Produk Spesifikasi Jenis Layanan]]-data[[#This Row],[Nilai Kepuasan Dimensi Produk Spesifikasi Jenis Layanan]]</f>
        <v>0</v>
      </c>
      <c r="AD379" s="1">
        <v>4</v>
      </c>
      <c r="AE379" s="1">
        <v>4</v>
      </c>
      <c r="AF379" s="1">
        <f>data[[#This Row],[Nilai Kepentingan Dimensi Kompetensi Pelaksana]]-data[[#This Row],[Nilai Kepuasan Dimensi Kompetensi Pelaksana]]</f>
        <v>0</v>
      </c>
      <c r="AG379" s="1">
        <v>4</v>
      </c>
      <c r="AH379" s="1">
        <v>4</v>
      </c>
      <c r="AI379" s="1">
        <f>data[[#This Row],[Nilai Kepentingan Dimensi Perilaku Pelaksana]]-data[[#This Row],[Nilai Kepuasan Dimensi Perilaku Pelaksana]]</f>
        <v>0</v>
      </c>
      <c r="AJ379" s="1">
        <v>4</v>
      </c>
      <c r="AK379" s="1">
        <v>4</v>
      </c>
      <c r="AL379" s="1">
        <f>data[[#This Row],[Nilai Kepentingan Dimensi Penanganan Pengaduan, Saran &amp; Masukan]]-data[[#This Row],[Nilai Kepuasan Dimensi Penanganan Pengaduan, Saran &amp; Masukan]]</f>
        <v>0</v>
      </c>
      <c r="AM379" s="1">
        <v>4</v>
      </c>
      <c r="AN379" s="1">
        <v>4</v>
      </c>
      <c r="AO379" s="1">
        <f>data[[#This Row],[Nilai Kepentingan Dimensi Kualitas Sarana dan Prasarana]]-data[[#This Row],[Nilai Kepuasan Dimensi Kualitas Sarana dan Prasarana]]</f>
        <v>0</v>
      </c>
      <c r="AP379" s="1">
        <v>4</v>
      </c>
      <c r="AQ379" s="1" t="s">
        <v>75</v>
      </c>
      <c r="AR379" s="1">
        <v>0</v>
      </c>
      <c r="AS379" s="1" t="s">
        <v>69</v>
      </c>
      <c r="AT379" s="1">
        <v>0</v>
      </c>
      <c r="AU379" s="1" t="s">
        <v>69</v>
      </c>
      <c r="AV379" s="1" t="s">
        <v>83</v>
      </c>
      <c r="AW379" s="1" t="s">
        <v>96</v>
      </c>
      <c r="AX379" s="1">
        <v>0</v>
      </c>
      <c r="AY379" s="1">
        <v>0</v>
      </c>
      <c r="AZ379" s="1" t="s">
        <v>98</v>
      </c>
      <c r="BA379" s="1" t="s">
        <v>99</v>
      </c>
      <c r="BB379" s="1" t="s">
        <v>98</v>
      </c>
      <c r="BC379" s="1" t="s">
        <v>99</v>
      </c>
      <c r="BD379" s="1" t="s">
        <v>98</v>
      </c>
      <c r="BE379" s="1" t="s">
        <v>99</v>
      </c>
      <c r="BF379" s="5" t="s">
        <v>98</v>
      </c>
    </row>
    <row r="380" spans="1:58" x14ac:dyDescent="0.35">
      <c r="A380" s="4">
        <v>379</v>
      </c>
      <c r="B380" s="1" t="s">
        <v>2291</v>
      </c>
      <c r="C380" s="1" t="s">
        <v>1486</v>
      </c>
      <c r="D380" s="1" t="s">
        <v>2283</v>
      </c>
      <c r="E380" s="1" t="s">
        <v>69</v>
      </c>
      <c r="F380" s="1" t="s">
        <v>69</v>
      </c>
      <c r="G380" s="1" t="s">
        <v>69</v>
      </c>
      <c r="H380" s="1" t="s">
        <v>69</v>
      </c>
      <c r="I380" s="1" t="s">
        <v>70</v>
      </c>
      <c r="J380" s="1" t="s">
        <v>1168</v>
      </c>
      <c r="K380" s="1">
        <v>30</v>
      </c>
      <c r="L380" s="1" t="s">
        <v>92</v>
      </c>
      <c r="M380" s="1" t="s">
        <v>93</v>
      </c>
      <c r="N380" s="1" t="s">
        <v>74</v>
      </c>
      <c r="O380" s="1">
        <v>3</v>
      </c>
      <c r="P380" s="1">
        <v>3</v>
      </c>
      <c r="Q380" s="1">
        <f>data[[#This Row],[Nilai Kepentingan Dimensi Persyaratan]]-data[[#This Row],[Nilai Kepuasan Dimensi Persyaratan]]</f>
        <v>0</v>
      </c>
      <c r="R380" s="1">
        <v>3</v>
      </c>
      <c r="S380" s="1">
        <v>3</v>
      </c>
      <c r="T380" s="1">
        <f>data[[#This Row],[Nilai Kepentingan Dimensi Prosedur]]-data[[#This Row],[Nilai Kepuasan Dimensi Prosedur]]</f>
        <v>0</v>
      </c>
      <c r="U380" s="1">
        <v>3</v>
      </c>
      <c r="V380" s="1">
        <v>3</v>
      </c>
      <c r="W380" s="1">
        <f>data[[#This Row],[Nilai Kepentingan Dimensi Waktu Pelayanan/Penyelesaian]]-data[[#This Row],[Nilai Kepuasan Dimensi Waktu Pelayanan/Penyelesaian]]</f>
        <v>0</v>
      </c>
      <c r="X380" s="1">
        <v>3</v>
      </c>
      <c r="Y380" s="1">
        <v>3</v>
      </c>
      <c r="Z380" s="1">
        <f>data[[#This Row],[Nilai Kepentingan Dimensi Tarif/ Biaya]]-data[[#This Row],[Nilai Kepuasan Dimensi Tarif / Biaya]]</f>
        <v>0</v>
      </c>
      <c r="AA380" s="1">
        <v>4</v>
      </c>
      <c r="AB380" s="1">
        <v>4</v>
      </c>
      <c r="AC380" s="1">
        <f>data[[#This Row],[Nilai Kepentingan Dimensi Produk Spesifikasi Jenis Layanan]]-data[[#This Row],[Nilai Kepuasan Dimensi Produk Spesifikasi Jenis Layanan]]</f>
        <v>0</v>
      </c>
      <c r="AD380" s="1">
        <v>3</v>
      </c>
      <c r="AE380" s="1">
        <v>3</v>
      </c>
      <c r="AF380" s="1">
        <f>data[[#This Row],[Nilai Kepentingan Dimensi Kompetensi Pelaksana]]-data[[#This Row],[Nilai Kepuasan Dimensi Kompetensi Pelaksana]]</f>
        <v>0</v>
      </c>
      <c r="AG380" s="1">
        <v>3</v>
      </c>
      <c r="AH380" s="1">
        <v>3</v>
      </c>
      <c r="AI380" s="1">
        <f>data[[#This Row],[Nilai Kepentingan Dimensi Perilaku Pelaksana]]-data[[#This Row],[Nilai Kepuasan Dimensi Perilaku Pelaksana]]</f>
        <v>0</v>
      </c>
      <c r="AJ380" s="1">
        <v>3</v>
      </c>
      <c r="AK380" s="1">
        <v>3</v>
      </c>
      <c r="AL380" s="1">
        <f>data[[#This Row],[Nilai Kepentingan Dimensi Penanganan Pengaduan, Saran &amp; Masukan]]-data[[#This Row],[Nilai Kepuasan Dimensi Penanganan Pengaduan, Saran &amp; Masukan]]</f>
        <v>0</v>
      </c>
      <c r="AM380" s="1">
        <v>4</v>
      </c>
      <c r="AN380" s="1">
        <v>4</v>
      </c>
      <c r="AO380" s="1">
        <f>data[[#This Row],[Nilai Kepentingan Dimensi Kualitas Sarana dan Prasarana]]-data[[#This Row],[Nilai Kepuasan Dimensi Kualitas Sarana dan Prasarana]]</f>
        <v>0</v>
      </c>
      <c r="AP380" s="1">
        <v>3</v>
      </c>
      <c r="AQ380" s="1" t="s">
        <v>75</v>
      </c>
      <c r="AR380" s="1">
        <v>0</v>
      </c>
      <c r="AS380" s="1" t="s">
        <v>69</v>
      </c>
      <c r="AT380" s="1">
        <v>0</v>
      </c>
      <c r="AU380" s="1" t="s">
        <v>69</v>
      </c>
      <c r="AV380" s="1" t="s">
        <v>83</v>
      </c>
      <c r="AW380" s="1" t="s">
        <v>96</v>
      </c>
      <c r="AX380" s="1">
        <v>0</v>
      </c>
      <c r="AY380" s="1">
        <v>0</v>
      </c>
      <c r="AZ380" s="1" t="s">
        <v>98</v>
      </c>
      <c r="BA380" s="1" t="s">
        <v>99</v>
      </c>
      <c r="BB380" s="1" t="s">
        <v>98</v>
      </c>
      <c r="BC380" s="1" t="s">
        <v>99</v>
      </c>
      <c r="BD380" s="1" t="s">
        <v>98</v>
      </c>
      <c r="BE380" s="1" t="s">
        <v>99</v>
      </c>
      <c r="BF380" s="5" t="s">
        <v>98</v>
      </c>
    </row>
    <row r="381" spans="1:58" x14ac:dyDescent="0.35">
      <c r="A381" s="4">
        <v>380</v>
      </c>
      <c r="B381" s="1" t="s">
        <v>2294</v>
      </c>
      <c r="C381" s="1" t="s">
        <v>1486</v>
      </c>
      <c r="D381" s="1" t="s">
        <v>1372</v>
      </c>
      <c r="E381" s="1" t="s">
        <v>69</v>
      </c>
      <c r="F381" s="1" t="s">
        <v>69</v>
      </c>
      <c r="G381" s="1" t="s">
        <v>69</v>
      </c>
      <c r="H381" s="1" t="s">
        <v>69</v>
      </c>
      <c r="I381" s="1" t="s">
        <v>70</v>
      </c>
      <c r="J381" s="1" t="s">
        <v>1168</v>
      </c>
      <c r="K381" s="1">
        <v>34</v>
      </c>
      <c r="L381" s="1" t="s">
        <v>109</v>
      </c>
      <c r="M381" s="1" t="s">
        <v>73</v>
      </c>
      <c r="N381" s="1" t="s">
        <v>413</v>
      </c>
      <c r="O381" s="1">
        <v>4</v>
      </c>
      <c r="P381" s="1">
        <v>4</v>
      </c>
      <c r="Q381" s="1">
        <f>data[[#This Row],[Nilai Kepentingan Dimensi Persyaratan]]-data[[#This Row],[Nilai Kepuasan Dimensi Persyaratan]]</f>
        <v>0</v>
      </c>
      <c r="R381" s="1">
        <v>3</v>
      </c>
      <c r="S381" s="1">
        <v>3</v>
      </c>
      <c r="T381" s="1">
        <f>data[[#This Row],[Nilai Kepentingan Dimensi Prosedur]]-data[[#This Row],[Nilai Kepuasan Dimensi Prosedur]]</f>
        <v>0</v>
      </c>
      <c r="U381" s="1">
        <v>3</v>
      </c>
      <c r="V381" s="1">
        <v>3</v>
      </c>
      <c r="W381" s="1">
        <f>data[[#This Row],[Nilai Kepentingan Dimensi Waktu Pelayanan/Penyelesaian]]-data[[#This Row],[Nilai Kepuasan Dimensi Waktu Pelayanan/Penyelesaian]]</f>
        <v>0</v>
      </c>
      <c r="X381" s="1">
        <v>3</v>
      </c>
      <c r="Y381" s="1">
        <v>3</v>
      </c>
      <c r="Z381" s="1">
        <f>data[[#This Row],[Nilai Kepentingan Dimensi Tarif/ Biaya]]-data[[#This Row],[Nilai Kepuasan Dimensi Tarif / Biaya]]</f>
        <v>0</v>
      </c>
      <c r="AA381" s="1">
        <v>3</v>
      </c>
      <c r="AB381" s="1">
        <v>3</v>
      </c>
      <c r="AC381" s="1">
        <f>data[[#This Row],[Nilai Kepentingan Dimensi Produk Spesifikasi Jenis Layanan]]-data[[#This Row],[Nilai Kepuasan Dimensi Produk Spesifikasi Jenis Layanan]]</f>
        <v>0</v>
      </c>
      <c r="AD381" s="1">
        <v>4</v>
      </c>
      <c r="AE381" s="1">
        <v>4</v>
      </c>
      <c r="AF381" s="1">
        <f>data[[#This Row],[Nilai Kepentingan Dimensi Kompetensi Pelaksana]]-data[[#This Row],[Nilai Kepuasan Dimensi Kompetensi Pelaksana]]</f>
        <v>0</v>
      </c>
      <c r="AG381" s="1">
        <v>4</v>
      </c>
      <c r="AH381" s="1">
        <v>4</v>
      </c>
      <c r="AI381" s="1">
        <f>data[[#This Row],[Nilai Kepentingan Dimensi Perilaku Pelaksana]]-data[[#This Row],[Nilai Kepuasan Dimensi Perilaku Pelaksana]]</f>
        <v>0</v>
      </c>
      <c r="AJ381" s="1">
        <v>3</v>
      </c>
      <c r="AK381" s="1">
        <v>3</v>
      </c>
      <c r="AL381" s="1">
        <f>data[[#This Row],[Nilai Kepentingan Dimensi Penanganan Pengaduan, Saran &amp; Masukan]]-data[[#This Row],[Nilai Kepuasan Dimensi Penanganan Pengaduan, Saran &amp; Masukan]]</f>
        <v>0</v>
      </c>
      <c r="AM381" s="1">
        <v>3</v>
      </c>
      <c r="AN381" s="1">
        <v>3</v>
      </c>
      <c r="AO381" s="1">
        <f>data[[#This Row],[Nilai Kepentingan Dimensi Kualitas Sarana dan Prasarana]]-data[[#This Row],[Nilai Kepuasan Dimensi Kualitas Sarana dan Prasarana]]</f>
        <v>0</v>
      </c>
      <c r="AP381" s="1">
        <v>4</v>
      </c>
      <c r="AQ381" s="1" t="s">
        <v>75</v>
      </c>
      <c r="AR381" s="1">
        <v>0</v>
      </c>
      <c r="AS381" s="1" t="s">
        <v>69</v>
      </c>
      <c r="AT381" s="1">
        <v>0</v>
      </c>
      <c r="AU381" s="1" t="s">
        <v>69</v>
      </c>
      <c r="AV381" s="1" t="s">
        <v>83</v>
      </c>
      <c r="AW381" s="1" t="s">
        <v>96</v>
      </c>
      <c r="AX381" s="1">
        <v>0</v>
      </c>
      <c r="AY381" s="1">
        <v>0</v>
      </c>
      <c r="AZ381" s="1" t="s">
        <v>2298</v>
      </c>
      <c r="BA381" s="1" t="s">
        <v>235</v>
      </c>
      <c r="BB381" s="1" t="s">
        <v>98</v>
      </c>
      <c r="BC381" s="1" t="s">
        <v>99</v>
      </c>
      <c r="BD381" s="1" t="s">
        <v>98</v>
      </c>
      <c r="BE381" s="1" t="s">
        <v>99</v>
      </c>
      <c r="BF381" s="5" t="s">
        <v>98</v>
      </c>
    </row>
    <row r="382" spans="1:58" x14ac:dyDescent="0.35">
      <c r="A382" s="4">
        <v>381</v>
      </c>
      <c r="B382" s="1" t="s">
        <v>2238</v>
      </c>
      <c r="C382" s="1" t="s">
        <v>63</v>
      </c>
      <c r="D382" s="1" t="s">
        <v>2300</v>
      </c>
      <c r="E382" s="1" t="s">
        <v>69</v>
      </c>
      <c r="F382" s="1" t="s">
        <v>69</v>
      </c>
      <c r="G382" s="1" t="s">
        <v>69</v>
      </c>
      <c r="H382" s="1" t="s">
        <v>69</v>
      </c>
      <c r="I382" s="1" t="s">
        <v>70</v>
      </c>
      <c r="J382" s="1" t="s">
        <v>1168</v>
      </c>
      <c r="K382" s="1">
        <v>31</v>
      </c>
      <c r="L382" s="1" t="s">
        <v>109</v>
      </c>
      <c r="M382" s="1" t="s">
        <v>93</v>
      </c>
      <c r="N382" s="1" t="s">
        <v>110</v>
      </c>
      <c r="O382" s="1">
        <v>4</v>
      </c>
      <c r="P382" s="1">
        <v>4</v>
      </c>
      <c r="Q382" s="1">
        <f>data[[#This Row],[Nilai Kepentingan Dimensi Persyaratan]]-data[[#This Row],[Nilai Kepuasan Dimensi Persyaratan]]</f>
        <v>0</v>
      </c>
      <c r="R382" s="1">
        <v>4</v>
      </c>
      <c r="S382" s="1">
        <v>4</v>
      </c>
      <c r="T382" s="1">
        <f>data[[#This Row],[Nilai Kepentingan Dimensi Prosedur]]-data[[#This Row],[Nilai Kepuasan Dimensi Prosedur]]</f>
        <v>0</v>
      </c>
      <c r="U382" s="1">
        <v>4</v>
      </c>
      <c r="V382" s="1">
        <v>4</v>
      </c>
      <c r="W382" s="1">
        <f>data[[#This Row],[Nilai Kepentingan Dimensi Waktu Pelayanan/Penyelesaian]]-data[[#This Row],[Nilai Kepuasan Dimensi Waktu Pelayanan/Penyelesaian]]</f>
        <v>0</v>
      </c>
      <c r="X382" s="1">
        <v>4</v>
      </c>
      <c r="Y382" s="1">
        <v>4</v>
      </c>
      <c r="Z382" s="1">
        <f>data[[#This Row],[Nilai Kepentingan Dimensi Tarif/ Biaya]]-data[[#This Row],[Nilai Kepuasan Dimensi Tarif / Biaya]]</f>
        <v>0</v>
      </c>
      <c r="AA382" s="1">
        <v>4</v>
      </c>
      <c r="AB382" s="1">
        <v>4</v>
      </c>
      <c r="AC382" s="1">
        <f>data[[#This Row],[Nilai Kepentingan Dimensi Produk Spesifikasi Jenis Layanan]]-data[[#This Row],[Nilai Kepuasan Dimensi Produk Spesifikasi Jenis Layanan]]</f>
        <v>0</v>
      </c>
      <c r="AD382" s="1">
        <v>4</v>
      </c>
      <c r="AE382" s="1">
        <v>4</v>
      </c>
      <c r="AF382" s="1">
        <f>data[[#This Row],[Nilai Kepentingan Dimensi Kompetensi Pelaksana]]-data[[#This Row],[Nilai Kepuasan Dimensi Kompetensi Pelaksana]]</f>
        <v>0</v>
      </c>
      <c r="AG382" s="1">
        <v>4</v>
      </c>
      <c r="AH382" s="1">
        <v>4</v>
      </c>
      <c r="AI382" s="1">
        <f>data[[#This Row],[Nilai Kepentingan Dimensi Perilaku Pelaksana]]-data[[#This Row],[Nilai Kepuasan Dimensi Perilaku Pelaksana]]</f>
        <v>0</v>
      </c>
      <c r="AJ382" s="1">
        <v>4</v>
      </c>
      <c r="AK382" s="1">
        <v>4</v>
      </c>
      <c r="AL382" s="1">
        <f>data[[#This Row],[Nilai Kepentingan Dimensi Penanganan Pengaduan, Saran &amp; Masukan]]-data[[#This Row],[Nilai Kepuasan Dimensi Penanganan Pengaduan, Saran &amp; Masukan]]</f>
        <v>0</v>
      </c>
      <c r="AM382" s="1">
        <v>4</v>
      </c>
      <c r="AN382" s="1">
        <v>4</v>
      </c>
      <c r="AO382" s="1">
        <f>data[[#This Row],[Nilai Kepentingan Dimensi Kualitas Sarana dan Prasarana]]-data[[#This Row],[Nilai Kepuasan Dimensi Kualitas Sarana dan Prasarana]]</f>
        <v>0</v>
      </c>
      <c r="AP382" s="1">
        <v>0</v>
      </c>
      <c r="AQ382" s="1" t="s">
        <v>69</v>
      </c>
      <c r="AR382" s="1">
        <v>0</v>
      </c>
      <c r="AS382" s="1" t="s">
        <v>69</v>
      </c>
      <c r="AT382" s="1">
        <v>4</v>
      </c>
      <c r="AU382" s="1" t="s">
        <v>75</v>
      </c>
      <c r="AV382" s="1" t="s">
        <v>83</v>
      </c>
      <c r="AW382" s="1" t="s">
        <v>96</v>
      </c>
      <c r="AX382" s="1">
        <v>0</v>
      </c>
      <c r="AY382" s="1">
        <v>0</v>
      </c>
      <c r="AZ382" s="1" t="s">
        <v>98</v>
      </c>
      <c r="BA382" s="1" t="s">
        <v>99</v>
      </c>
      <c r="BB382" s="1" t="s">
        <v>98</v>
      </c>
      <c r="BC382" s="1" t="s">
        <v>99</v>
      </c>
      <c r="BD382" s="1" t="s">
        <v>98</v>
      </c>
      <c r="BE382" s="1" t="s">
        <v>99</v>
      </c>
      <c r="BF382" s="5" t="s">
        <v>98</v>
      </c>
    </row>
    <row r="383" spans="1:58" x14ac:dyDescent="0.35">
      <c r="A383" s="4">
        <v>382</v>
      </c>
      <c r="B383" s="1" t="s">
        <v>2303</v>
      </c>
      <c r="C383" s="1" t="s">
        <v>63</v>
      </c>
      <c r="D383" s="1" t="s">
        <v>338</v>
      </c>
      <c r="E383" s="1" t="s">
        <v>69</v>
      </c>
      <c r="F383" s="1" t="s">
        <v>69</v>
      </c>
      <c r="G383" s="1" t="s">
        <v>69</v>
      </c>
      <c r="H383" s="1" t="s">
        <v>69</v>
      </c>
      <c r="I383" s="1" t="s">
        <v>70</v>
      </c>
      <c r="J383" s="1" t="s">
        <v>1168</v>
      </c>
      <c r="K383" s="1">
        <v>22</v>
      </c>
      <c r="L383" s="1" t="s">
        <v>72</v>
      </c>
      <c r="M383" s="1" t="s">
        <v>73</v>
      </c>
      <c r="N383" s="1" t="s">
        <v>74</v>
      </c>
      <c r="O383" s="1">
        <v>4</v>
      </c>
      <c r="P383" s="1">
        <v>4</v>
      </c>
      <c r="Q383" s="1">
        <f>data[[#This Row],[Nilai Kepentingan Dimensi Persyaratan]]-data[[#This Row],[Nilai Kepuasan Dimensi Persyaratan]]</f>
        <v>0</v>
      </c>
      <c r="R383" s="1">
        <v>4</v>
      </c>
      <c r="S383" s="1">
        <v>4</v>
      </c>
      <c r="T383" s="1">
        <f>data[[#This Row],[Nilai Kepentingan Dimensi Prosedur]]-data[[#This Row],[Nilai Kepuasan Dimensi Prosedur]]</f>
        <v>0</v>
      </c>
      <c r="U383" s="1">
        <v>4</v>
      </c>
      <c r="V383" s="1">
        <v>4</v>
      </c>
      <c r="W383" s="1">
        <f>data[[#This Row],[Nilai Kepentingan Dimensi Waktu Pelayanan/Penyelesaian]]-data[[#This Row],[Nilai Kepuasan Dimensi Waktu Pelayanan/Penyelesaian]]</f>
        <v>0</v>
      </c>
      <c r="X383" s="1">
        <v>4</v>
      </c>
      <c r="Y383" s="1">
        <v>4</v>
      </c>
      <c r="Z383" s="1">
        <f>data[[#This Row],[Nilai Kepentingan Dimensi Tarif/ Biaya]]-data[[#This Row],[Nilai Kepuasan Dimensi Tarif / Biaya]]</f>
        <v>0</v>
      </c>
      <c r="AA383" s="1">
        <v>4</v>
      </c>
      <c r="AB383" s="1">
        <v>4</v>
      </c>
      <c r="AC383" s="1">
        <f>data[[#This Row],[Nilai Kepentingan Dimensi Produk Spesifikasi Jenis Layanan]]-data[[#This Row],[Nilai Kepuasan Dimensi Produk Spesifikasi Jenis Layanan]]</f>
        <v>0</v>
      </c>
      <c r="AD383" s="1">
        <v>4</v>
      </c>
      <c r="AE383" s="1">
        <v>4</v>
      </c>
      <c r="AF383" s="1">
        <f>data[[#This Row],[Nilai Kepentingan Dimensi Kompetensi Pelaksana]]-data[[#This Row],[Nilai Kepuasan Dimensi Kompetensi Pelaksana]]</f>
        <v>0</v>
      </c>
      <c r="AG383" s="1">
        <v>4</v>
      </c>
      <c r="AH383" s="1">
        <v>4</v>
      </c>
      <c r="AI383" s="1">
        <f>data[[#This Row],[Nilai Kepentingan Dimensi Perilaku Pelaksana]]-data[[#This Row],[Nilai Kepuasan Dimensi Perilaku Pelaksana]]</f>
        <v>0</v>
      </c>
      <c r="AJ383" s="1">
        <v>4</v>
      </c>
      <c r="AK383" s="1">
        <v>4</v>
      </c>
      <c r="AL383" s="1">
        <f>data[[#This Row],[Nilai Kepentingan Dimensi Penanganan Pengaduan, Saran &amp; Masukan]]-data[[#This Row],[Nilai Kepuasan Dimensi Penanganan Pengaduan, Saran &amp; Masukan]]</f>
        <v>0</v>
      </c>
      <c r="AM383" s="1">
        <v>4</v>
      </c>
      <c r="AN383" s="1">
        <v>4</v>
      </c>
      <c r="AO383" s="1">
        <f>data[[#This Row],[Nilai Kepentingan Dimensi Kualitas Sarana dan Prasarana]]-data[[#This Row],[Nilai Kepuasan Dimensi Kualitas Sarana dan Prasarana]]</f>
        <v>0</v>
      </c>
      <c r="AP383" s="1">
        <v>4</v>
      </c>
      <c r="AQ383" s="1" t="s">
        <v>75</v>
      </c>
      <c r="AR383" s="1">
        <v>0</v>
      </c>
      <c r="AS383" s="1" t="s">
        <v>69</v>
      </c>
      <c r="AT383" s="1">
        <v>0</v>
      </c>
      <c r="AU383" s="1" t="s">
        <v>69</v>
      </c>
      <c r="AV383" s="1" t="s">
        <v>83</v>
      </c>
      <c r="AW383" s="1" t="s">
        <v>96</v>
      </c>
      <c r="AX383" s="1">
        <v>0</v>
      </c>
      <c r="AY383" s="1">
        <v>0</v>
      </c>
      <c r="AZ383" s="1" t="s">
        <v>98</v>
      </c>
      <c r="BA383" s="1" t="s">
        <v>99</v>
      </c>
      <c r="BB383" s="1" t="s">
        <v>98</v>
      </c>
      <c r="BC383" s="1" t="s">
        <v>99</v>
      </c>
      <c r="BD383" s="1" t="s">
        <v>98</v>
      </c>
      <c r="BE383" s="1" t="s">
        <v>99</v>
      </c>
      <c r="BF383" s="5" t="s">
        <v>98</v>
      </c>
    </row>
    <row r="384" spans="1:58" x14ac:dyDescent="0.35">
      <c r="A384" s="4">
        <v>383</v>
      </c>
      <c r="B384" s="1" t="s">
        <v>2307</v>
      </c>
      <c r="C384" s="1" t="s">
        <v>63</v>
      </c>
      <c r="D384" s="1" t="s">
        <v>2308</v>
      </c>
      <c r="E384" s="1" t="s">
        <v>69</v>
      </c>
      <c r="F384" s="1" t="s">
        <v>69</v>
      </c>
      <c r="G384" s="1" t="s">
        <v>69</v>
      </c>
      <c r="H384" s="1" t="s">
        <v>69</v>
      </c>
      <c r="I384" s="1" t="s">
        <v>70</v>
      </c>
      <c r="J384" s="1" t="s">
        <v>1168</v>
      </c>
      <c r="K384" s="1">
        <v>25</v>
      </c>
      <c r="L384" s="1" t="s">
        <v>72</v>
      </c>
      <c r="M384" s="1" t="s">
        <v>93</v>
      </c>
      <c r="N384" s="1" t="s">
        <v>246</v>
      </c>
      <c r="O384" s="1">
        <v>3</v>
      </c>
      <c r="P384" s="1">
        <v>3</v>
      </c>
      <c r="Q384" s="1">
        <f>data[[#This Row],[Nilai Kepentingan Dimensi Persyaratan]]-data[[#This Row],[Nilai Kepuasan Dimensi Persyaratan]]</f>
        <v>0</v>
      </c>
      <c r="R384" s="1">
        <v>3</v>
      </c>
      <c r="S384" s="1">
        <v>3</v>
      </c>
      <c r="T384" s="1">
        <f>data[[#This Row],[Nilai Kepentingan Dimensi Prosedur]]-data[[#This Row],[Nilai Kepuasan Dimensi Prosedur]]</f>
        <v>0</v>
      </c>
      <c r="U384" s="1">
        <v>3</v>
      </c>
      <c r="V384" s="1">
        <v>3</v>
      </c>
      <c r="W384" s="1">
        <f>data[[#This Row],[Nilai Kepentingan Dimensi Waktu Pelayanan/Penyelesaian]]-data[[#This Row],[Nilai Kepuasan Dimensi Waktu Pelayanan/Penyelesaian]]</f>
        <v>0</v>
      </c>
      <c r="X384" s="1">
        <v>3</v>
      </c>
      <c r="Y384" s="1">
        <v>3</v>
      </c>
      <c r="Z384" s="1">
        <f>data[[#This Row],[Nilai Kepentingan Dimensi Tarif/ Biaya]]-data[[#This Row],[Nilai Kepuasan Dimensi Tarif / Biaya]]</f>
        <v>0</v>
      </c>
      <c r="AA384" s="1">
        <v>3</v>
      </c>
      <c r="AB384" s="1">
        <v>3</v>
      </c>
      <c r="AC384" s="1">
        <f>data[[#This Row],[Nilai Kepentingan Dimensi Produk Spesifikasi Jenis Layanan]]-data[[#This Row],[Nilai Kepuasan Dimensi Produk Spesifikasi Jenis Layanan]]</f>
        <v>0</v>
      </c>
      <c r="AD384" s="1">
        <v>3</v>
      </c>
      <c r="AE384" s="1">
        <v>3</v>
      </c>
      <c r="AF384" s="1">
        <f>data[[#This Row],[Nilai Kepentingan Dimensi Kompetensi Pelaksana]]-data[[#This Row],[Nilai Kepuasan Dimensi Kompetensi Pelaksana]]</f>
        <v>0</v>
      </c>
      <c r="AG384" s="1">
        <v>3</v>
      </c>
      <c r="AH384" s="1">
        <v>3</v>
      </c>
      <c r="AI384" s="1">
        <f>data[[#This Row],[Nilai Kepentingan Dimensi Perilaku Pelaksana]]-data[[#This Row],[Nilai Kepuasan Dimensi Perilaku Pelaksana]]</f>
        <v>0</v>
      </c>
      <c r="AJ384" s="1">
        <v>3</v>
      </c>
      <c r="AK384" s="1">
        <v>3</v>
      </c>
      <c r="AL384" s="1">
        <f>data[[#This Row],[Nilai Kepentingan Dimensi Penanganan Pengaduan, Saran &amp; Masukan]]-data[[#This Row],[Nilai Kepuasan Dimensi Penanganan Pengaduan, Saran &amp; Masukan]]</f>
        <v>0</v>
      </c>
      <c r="AM384" s="1">
        <v>3</v>
      </c>
      <c r="AN384" s="1">
        <v>3</v>
      </c>
      <c r="AO384" s="1">
        <f>data[[#This Row],[Nilai Kepentingan Dimensi Kualitas Sarana dan Prasarana]]-data[[#This Row],[Nilai Kepuasan Dimensi Kualitas Sarana dan Prasarana]]</f>
        <v>0</v>
      </c>
      <c r="AP384" s="1">
        <v>3</v>
      </c>
      <c r="AQ384" s="1" t="s">
        <v>75</v>
      </c>
      <c r="AR384" s="1">
        <v>0</v>
      </c>
      <c r="AS384" s="1" t="s">
        <v>69</v>
      </c>
      <c r="AT384" s="1">
        <v>0</v>
      </c>
      <c r="AU384" s="1" t="s">
        <v>69</v>
      </c>
      <c r="AV384" s="1" t="s">
        <v>83</v>
      </c>
      <c r="AW384" s="1" t="s">
        <v>96</v>
      </c>
      <c r="AX384" s="1">
        <v>0</v>
      </c>
      <c r="AY384" s="1">
        <v>0</v>
      </c>
      <c r="AZ384" s="1" t="s">
        <v>98</v>
      </c>
      <c r="BA384" s="1" t="s">
        <v>99</v>
      </c>
      <c r="BB384" s="1" t="s">
        <v>98</v>
      </c>
      <c r="BC384" s="1" t="s">
        <v>99</v>
      </c>
      <c r="BD384" s="1" t="s">
        <v>98</v>
      </c>
      <c r="BE384" s="1" t="s">
        <v>99</v>
      </c>
      <c r="BF384" s="5" t="s">
        <v>2312</v>
      </c>
    </row>
    <row r="385" spans="1:58" x14ac:dyDescent="0.35">
      <c r="A385" s="4">
        <v>384</v>
      </c>
      <c r="B385" s="1" t="s">
        <v>2313</v>
      </c>
      <c r="C385" s="1" t="s">
        <v>63</v>
      </c>
      <c r="D385" s="1" t="s">
        <v>757</v>
      </c>
      <c r="E385" s="1" t="s">
        <v>69</v>
      </c>
      <c r="F385" s="1" t="s">
        <v>69</v>
      </c>
      <c r="G385" s="1" t="s">
        <v>69</v>
      </c>
      <c r="H385" s="1" t="s">
        <v>69</v>
      </c>
      <c r="I385" s="1" t="s">
        <v>70</v>
      </c>
      <c r="J385" s="1" t="s">
        <v>1168</v>
      </c>
      <c r="K385" s="1">
        <v>27</v>
      </c>
      <c r="L385" s="1" t="s">
        <v>92</v>
      </c>
      <c r="M385" s="1" t="s">
        <v>93</v>
      </c>
      <c r="N385" s="1" t="s">
        <v>74</v>
      </c>
      <c r="O385" s="1">
        <v>4</v>
      </c>
      <c r="P385" s="1">
        <v>4</v>
      </c>
      <c r="Q385" s="1">
        <f>data[[#This Row],[Nilai Kepentingan Dimensi Persyaratan]]-data[[#This Row],[Nilai Kepuasan Dimensi Persyaratan]]</f>
        <v>0</v>
      </c>
      <c r="R385" s="1">
        <v>4</v>
      </c>
      <c r="S385" s="1">
        <v>4</v>
      </c>
      <c r="T385" s="1">
        <f>data[[#This Row],[Nilai Kepentingan Dimensi Prosedur]]-data[[#This Row],[Nilai Kepuasan Dimensi Prosedur]]</f>
        <v>0</v>
      </c>
      <c r="U385" s="1">
        <v>3</v>
      </c>
      <c r="V385" s="1">
        <v>3</v>
      </c>
      <c r="W385" s="1">
        <f>data[[#This Row],[Nilai Kepentingan Dimensi Waktu Pelayanan/Penyelesaian]]-data[[#This Row],[Nilai Kepuasan Dimensi Waktu Pelayanan/Penyelesaian]]</f>
        <v>0</v>
      </c>
      <c r="X385" s="1">
        <v>3</v>
      </c>
      <c r="Y385" s="1">
        <v>3</v>
      </c>
      <c r="Z385" s="1">
        <f>data[[#This Row],[Nilai Kepentingan Dimensi Tarif/ Biaya]]-data[[#This Row],[Nilai Kepuasan Dimensi Tarif / Biaya]]</f>
        <v>0</v>
      </c>
      <c r="AA385" s="1">
        <v>4</v>
      </c>
      <c r="AB385" s="1">
        <v>4</v>
      </c>
      <c r="AC385" s="1">
        <f>data[[#This Row],[Nilai Kepentingan Dimensi Produk Spesifikasi Jenis Layanan]]-data[[#This Row],[Nilai Kepuasan Dimensi Produk Spesifikasi Jenis Layanan]]</f>
        <v>0</v>
      </c>
      <c r="AD385" s="1">
        <v>3</v>
      </c>
      <c r="AE385" s="1">
        <v>4</v>
      </c>
      <c r="AF385" s="1">
        <f>data[[#This Row],[Nilai Kepentingan Dimensi Kompetensi Pelaksana]]-data[[#This Row],[Nilai Kepuasan Dimensi Kompetensi Pelaksana]]</f>
        <v>1</v>
      </c>
      <c r="AG385" s="1">
        <v>4</v>
      </c>
      <c r="AH385" s="1">
        <v>4</v>
      </c>
      <c r="AI385" s="1">
        <f>data[[#This Row],[Nilai Kepentingan Dimensi Perilaku Pelaksana]]-data[[#This Row],[Nilai Kepuasan Dimensi Perilaku Pelaksana]]</f>
        <v>0</v>
      </c>
      <c r="AJ385" s="1">
        <v>4</v>
      </c>
      <c r="AK385" s="1">
        <v>4</v>
      </c>
      <c r="AL385" s="1">
        <f>data[[#This Row],[Nilai Kepentingan Dimensi Penanganan Pengaduan, Saran &amp; Masukan]]-data[[#This Row],[Nilai Kepuasan Dimensi Penanganan Pengaduan, Saran &amp; Masukan]]</f>
        <v>0</v>
      </c>
      <c r="AM385" s="1">
        <v>4</v>
      </c>
      <c r="AN385" s="1">
        <v>4</v>
      </c>
      <c r="AO385" s="1">
        <f>data[[#This Row],[Nilai Kepentingan Dimensi Kualitas Sarana dan Prasarana]]-data[[#This Row],[Nilai Kepuasan Dimensi Kualitas Sarana dan Prasarana]]</f>
        <v>0</v>
      </c>
      <c r="AP385" s="1">
        <v>4</v>
      </c>
      <c r="AQ385" s="1" t="s">
        <v>75</v>
      </c>
      <c r="AR385" s="1">
        <v>0</v>
      </c>
      <c r="AS385" s="1" t="s">
        <v>69</v>
      </c>
      <c r="AT385" s="1">
        <v>0</v>
      </c>
      <c r="AU385" s="1" t="s">
        <v>69</v>
      </c>
      <c r="AV385" s="1" t="s">
        <v>83</v>
      </c>
      <c r="AW385" s="1" t="s">
        <v>96</v>
      </c>
      <c r="AX385" s="1">
        <v>0</v>
      </c>
      <c r="AY385" s="1">
        <v>0</v>
      </c>
      <c r="AZ385" s="1" t="s">
        <v>98</v>
      </c>
      <c r="BA385" s="1" t="s">
        <v>99</v>
      </c>
      <c r="BB385" s="1" t="s">
        <v>263</v>
      </c>
      <c r="BC385" s="1" t="s">
        <v>99</v>
      </c>
      <c r="BD385" s="1" t="s">
        <v>98</v>
      </c>
      <c r="BE385" s="1" t="s">
        <v>99</v>
      </c>
      <c r="BF385" s="5" t="s">
        <v>98</v>
      </c>
    </row>
    <row r="386" spans="1:58" x14ac:dyDescent="0.35">
      <c r="A386" s="4">
        <v>385</v>
      </c>
      <c r="B386" s="1" t="s">
        <v>2317</v>
      </c>
      <c r="C386" s="1" t="s">
        <v>63</v>
      </c>
      <c r="D386" s="1" t="s">
        <v>149</v>
      </c>
      <c r="E386" s="1" t="s">
        <v>69</v>
      </c>
      <c r="F386" s="1" t="s">
        <v>69</v>
      </c>
      <c r="G386" s="1" t="s">
        <v>69</v>
      </c>
      <c r="H386" s="1" t="s">
        <v>69</v>
      </c>
      <c r="I386" s="1" t="s">
        <v>70</v>
      </c>
      <c r="J386" s="1" t="s">
        <v>1168</v>
      </c>
      <c r="K386" s="1">
        <v>28</v>
      </c>
      <c r="L386" s="1" t="s">
        <v>92</v>
      </c>
      <c r="M386" s="1" t="s">
        <v>93</v>
      </c>
      <c r="N386" s="1" t="s">
        <v>232</v>
      </c>
      <c r="O386" s="1">
        <v>3</v>
      </c>
      <c r="P386" s="1">
        <v>4</v>
      </c>
      <c r="Q386" s="1">
        <f>data[[#This Row],[Nilai Kepentingan Dimensi Persyaratan]]-data[[#This Row],[Nilai Kepuasan Dimensi Persyaratan]]</f>
        <v>1</v>
      </c>
      <c r="R386" s="1">
        <v>4</v>
      </c>
      <c r="S386" s="1">
        <v>4</v>
      </c>
      <c r="T386" s="1">
        <f>data[[#This Row],[Nilai Kepentingan Dimensi Prosedur]]-data[[#This Row],[Nilai Kepuasan Dimensi Prosedur]]</f>
        <v>0</v>
      </c>
      <c r="U386" s="1">
        <v>4</v>
      </c>
      <c r="V386" s="1">
        <v>4</v>
      </c>
      <c r="W386" s="1">
        <f>data[[#This Row],[Nilai Kepentingan Dimensi Waktu Pelayanan/Penyelesaian]]-data[[#This Row],[Nilai Kepuasan Dimensi Waktu Pelayanan/Penyelesaian]]</f>
        <v>0</v>
      </c>
      <c r="X386" s="1">
        <v>0</v>
      </c>
      <c r="Y386" s="1">
        <v>0</v>
      </c>
      <c r="Z386" s="1">
        <f>data[[#This Row],[Nilai Kepentingan Dimensi Tarif/ Biaya]]-data[[#This Row],[Nilai Kepuasan Dimensi Tarif / Biaya]]</f>
        <v>0</v>
      </c>
      <c r="AA386" s="1">
        <v>4</v>
      </c>
      <c r="AB386" s="1">
        <v>4</v>
      </c>
      <c r="AC386" s="1">
        <f>data[[#This Row],[Nilai Kepentingan Dimensi Produk Spesifikasi Jenis Layanan]]-data[[#This Row],[Nilai Kepuasan Dimensi Produk Spesifikasi Jenis Layanan]]</f>
        <v>0</v>
      </c>
      <c r="AD386" s="1">
        <v>4</v>
      </c>
      <c r="AE386" s="1">
        <v>4</v>
      </c>
      <c r="AF386" s="1">
        <f>data[[#This Row],[Nilai Kepentingan Dimensi Kompetensi Pelaksana]]-data[[#This Row],[Nilai Kepuasan Dimensi Kompetensi Pelaksana]]</f>
        <v>0</v>
      </c>
      <c r="AG386" s="1">
        <v>4</v>
      </c>
      <c r="AH386" s="1">
        <v>4</v>
      </c>
      <c r="AI386" s="1">
        <f>data[[#This Row],[Nilai Kepentingan Dimensi Perilaku Pelaksana]]-data[[#This Row],[Nilai Kepuasan Dimensi Perilaku Pelaksana]]</f>
        <v>0</v>
      </c>
      <c r="AJ386" s="1">
        <v>4</v>
      </c>
      <c r="AK386" s="1">
        <v>4</v>
      </c>
      <c r="AL386" s="1">
        <f>data[[#This Row],[Nilai Kepentingan Dimensi Penanganan Pengaduan, Saran &amp; Masukan]]-data[[#This Row],[Nilai Kepuasan Dimensi Penanganan Pengaduan, Saran &amp; Masukan]]</f>
        <v>0</v>
      </c>
      <c r="AM386" s="1">
        <v>3</v>
      </c>
      <c r="AN386" s="1">
        <v>4</v>
      </c>
      <c r="AO386" s="1">
        <f>data[[#This Row],[Nilai Kepentingan Dimensi Kualitas Sarana dan Prasarana]]-data[[#This Row],[Nilai Kepuasan Dimensi Kualitas Sarana dan Prasarana]]</f>
        <v>1</v>
      </c>
      <c r="AP386" s="1">
        <v>0</v>
      </c>
      <c r="AQ386" s="1" t="s">
        <v>69</v>
      </c>
      <c r="AR386" s="1">
        <v>0</v>
      </c>
      <c r="AS386" s="1" t="s">
        <v>69</v>
      </c>
      <c r="AT386" s="1">
        <v>4</v>
      </c>
      <c r="AU386" s="1" t="s">
        <v>75</v>
      </c>
      <c r="AV386" s="1" t="s">
        <v>83</v>
      </c>
      <c r="AW386" s="1" t="s">
        <v>96</v>
      </c>
      <c r="AX386" s="1">
        <v>0</v>
      </c>
      <c r="AY386" s="1">
        <v>0</v>
      </c>
      <c r="AZ386" s="1" t="s">
        <v>503</v>
      </c>
      <c r="BA386" s="1" t="s">
        <v>79</v>
      </c>
      <c r="BB386" s="1" t="s">
        <v>503</v>
      </c>
      <c r="BC386" s="1" t="s">
        <v>79</v>
      </c>
      <c r="BD386" s="1" t="s">
        <v>503</v>
      </c>
      <c r="BE386" s="1" t="s">
        <v>79</v>
      </c>
      <c r="BF386" s="5" t="s">
        <v>83</v>
      </c>
    </row>
    <row r="387" spans="1:58" x14ac:dyDescent="0.35">
      <c r="A387" s="4">
        <v>386</v>
      </c>
      <c r="B387" s="1" t="s">
        <v>2321</v>
      </c>
      <c r="C387" s="1" t="s">
        <v>63</v>
      </c>
      <c r="D387" s="1" t="s">
        <v>2323</v>
      </c>
      <c r="E387" s="1" t="s">
        <v>69</v>
      </c>
      <c r="F387" s="1" t="s">
        <v>69</v>
      </c>
      <c r="G387" s="1" t="s">
        <v>69</v>
      </c>
      <c r="H387" s="1" t="s">
        <v>69</v>
      </c>
      <c r="I387" s="1" t="s">
        <v>106</v>
      </c>
      <c r="J387" s="1" t="s">
        <v>1168</v>
      </c>
      <c r="K387" s="1">
        <v>35</v>
      </c>
      <c r="L387" s="1" t="s">
        <v>109</v>
      </c>
      <c r="M387" s="1" t="s">
        <v>73</v>
      </c>
      <c r="N387" s="1" t="s">
        <v>110</v>
      </c>
      <c r="O387" s="1">
        <v>3</v>
      </c>
      <c r="P387" s="1">
        <v>4</v>
      </c>
      <c r="Q387" s="1">
        <f>data[[#This Row],[Nilai Kepentingan Dimensi Persyaratan]]-data[[#This Row],[Nilai Kepuasan Dimensi Persyaratan]]</f>
        <v>1</v>
      </c>
      <c r="R387" s="1">
        <v>4</v>
      </c>
      <c r="S387" s="1">
        <v>4</v>
      </c>
      <c r="T387" s="1">
        <f>data[[#This Row],[Nilai Kepentingan Dimensi Prosedur]]-data[[#This Row],[Nilai Kepuasan Dimensi Prosedur]]</f>
        <v>0</v>
      </c>
      <c r="U387" s="1">
        <v>4</v>
      </c>
      <c r="V387" s="1">
        <v>4</v>
      </c>
      <c r="W387" s="1">
        <f>data[[#This Row],[Nilai Kepentingan Dimensi Waktu Pelayanan/Penyelesaian]]-data[[#This Row],[Nilai Kepuasan Dimensi Waktu Pelayanan/Penyelesaian]]</f>
        <v>0</v>
      </c>
      <c r="X387" s="1">
        <v>0</v>
      </c>
      <c r="Y387" s="1">
        <v>0</v>
      </c>
      <c r="Z387" s="1">
        <f>data[[#This Row],[Nilai Kepentingan Dimensi Tarif/ Biaya]]-data[[#This Row],[Nilai Kepuasan Dimensi Tarif / Biaya]]</f>
        <v>0</v>
      </c>
      <c r="AA387" s="1">
        <v>4</v>
      </c>
      <c r="AB387" s="1">
        <v>4</v>
      </c>
      <c r="AC387" s="1">
        <f>data[[#This Row],[Nilai Kepentingan Dimensi Produk Spesifikasi Jenis Layanan]]-data[[#This Row],[Nilai Kepuasan Dimensi Produk Spesifikasi Jenis Layanan]]</f>
        <v>0</v>
      </c>
      <c r="AD387" s="1">
        <v>4</v>
      </c>
      <c r="AE387" s="1">
        <v>4</v>
      </c>
      <c r="AF387" s="1">
        <f>data[[#This Row],[Nilai Kepentingan Dimensi Kompetensi Pelaksana]]-data[[#This Row],[Nilai Kepuasan Dimensi Kompetensi Pelaksana]]</f>
        <v>0</v>
      </c>
      <c r="AG387" s="1">
        <v>4</v>
      </c>
      <c r="AH387" s="1">
        <v>4</v>
      </c>
      <c r="AI387" s="1">
        <f>data[[#This Row],[Nilai Kepentingan Dimensi Perilaku Pelaksana]]-data[[#This Row],[Nilai Kepuasan Dimensi Perilaku Pelaksana]]</f>
        <v>0</v>
      </c>
      <c r="AJ387" s="1">
        <v>4</v>
      </c>
      <c r="AK387" s="1">
        <v>4</v>
      </c>
      <c r="AL387" s="1">
        <f>data[[#This Row],[Nilai Kepentingan Dimensi Penanganan Pengaduan, Saran &amp; Masukan]]-data[[#This Row],[Nilai Kepuasan Dimensi Penanganan Pengaduan, Saran &amp; Masukan]]</f>
        <v>0</v>
      </c>
      <c r="AM387" s="1">
        <v>4</v>
      </c>
      <c r="AN387" s="1">
        <v>4</v>
      </c>
      <c r="AO387" s="1">
        <f>data[[#This Row],[Nilai Kepentingan Dimensi Kualitas Sarana dan Prasarana]]-data[[#This Row],[Nilai Kepuasan Dimensi Kualitas Sarana dan Prasarana]]</f>
        <v>0</v>
      </c>
      <c r="AP387" s="1">
        <v>0</v>
      </c>
      <c r="AQ387" s="1" t="s">
        <v>69</v>
      </c>
      <c r="AR387" s="1">
        <v>0</v>
      </c>
      <c r="AS387" s="1" t="s">
        <v>69</v>
      </c>
      <c r="AT387" s="1">
        <v>0</v>
      </c>
      <c r="AU387" s="1" t="s">
        <v>69</v>
      </c>
      <c r="AV387" s="1" t="s">
        <v>144</v>
      </c>
      <c r="AW387" s="1" t="s">
        <v>144</v>
      </c>
      <c r="AX387" s="1">
        <v>3</v>
      </c>
      <c r="AY387" s="1">
        <v>2</v>
      </c>
      <c r="AZ387" s="1" t="s">
        <v>528</v>
      </c>
      <c r="BA387" s="1" t="s">
        <v>79</v>
      </c>
      <c r="BB387" s="1" t="s">
        <v>528</v>
      </c>
      <c r="BC387" s="1" t="s">
        <v>79</v>
      </c>
      <c r="BD387" s="1" t="s">
        <v>528</v>
      </c>
      <c r="BE387" s="1" t="s">
        <v>79</v>
      </c>
      <c r="BF387" s="5" t="s">
        <v>83</v>
      </c>
    </row>
    <row r="388" spans="1:58" x14ac:dyDescent="0.35">
      <c r="A388" s="4">
        <v>387</v>
      </c>
      <c r="B388" s="1" t="s">
        <v>2326</v>
      </c>
      <c r="C388" s="1" t="s">
        <v>63</v>
      </c>
      <c r="D388" s="1" t="s">
        <v>86</v>
      </c>
      <c r="E388" s="1" t="s">
        <v>69</v>
      </c>
      <c r="F388" s="1" t="s">
        <v>69</v>
      </c>
      <c r="G388" s="1" t="s">
        <v>69</v>
      </c>
      <c r="H388" s="1" t="s">
        <v>69</v>
      </c>
      <c r="I388" s="1" t="s">
        <v>106</v>
      </c>
      <c r="J388" s="1" t="s">
        <v>1168</v>
      </c>
      <c r="K388" s="1">
        <v>31</v>
      </c>
      <c r="L388" s="1" t="s">
        <v>109</v>
      </c>
      <c r="M388" s="1" t="s">
        <v>93</v>
      </c>
      <c r="N388" s="1" t="s">
        <v>74</v>
      </c>
      <c r="O388" s="1">
        <v>3</v>
      </c>
      <c r="P388" s="1">
        <v>3</v>
      </c>
      <c r="Q388" s="1">
        <f>data[[#This Row],[Nilai Kepentingan Dimensi Persyaratan]]-data[[#This Row],[Nilai Kepuasan Dimensi Persyaratan]]</f>
        <v>0</v>
      </c>
      <c r="R388" s="1">
        <v>3</v>
      </c>
      <c r="S388" s="1">
        <v>4</v>
      </c>
      <c r="T388" s="1">
        <f>data[[#This Row],[Nilai Kepentingan Dimensi Prosedur]]-data[[#This Row],[Nilai Kepuasan Dimensi Prosedur]]</f>
        <v>1</v>
      </c>
      <c r="U388" s="1">
        <v>3</v>
      </c>
      <c r="V388" s="1">
        <v>3</v>
      </c>
      <c r="W388" s="1">
        <f>data[[#This Row],[Nilai Kepentingan Dimensi Waktu Pelayanan/Penyelesaian]]-data[[#This Row],[Nilai Kepuasan Dimensi Waktu Pelayanan/Penyelesaian]]</f>
        <v>0</v>
      </c>
      <c r="X388" s="1">
        <v>0</v>
      </c>
      <c r="Y388" s="1">
        <v>0</v>
      </c>
      <c r="Z388" s="1">
        <f>data[[#This Row],[Nilai Kepentingan Dimensi Tarif/ Biaya]]-data[[#This Row],[Nilai Kepuasan Dimensi Tarif / Biaya]]</f>
        <v>0</v>
      </c>
      <c r="AA388" s="1">
        <v>3</v>
      </c>
      <c r="AB388" s="1">
        <v>3</v>
      </c>
      <c r="AC388" s="1">
        <f>data[[#This Row],[Nilai Kepentingan Dimensi Produk Spesifikasi Jenis Layanan]]-data[[#This Row],[Nilai Kepuasan Dimensi Produk Spesifikasi Jenis Layanan]]</f>
        <v>0</v>
      </c>
      <c r="AD388" s="1">
        <v>3</v>
      </c>
      <c r="AE388" s="1">
        <v>3</v>
      </c>
      <c r="AF388" s="1">
        <f>data[[#This Row],[Nilai Kepentingan Dimensi Kompetensi Pelaksana]]-data[[#This Row],[Nilai Kepuasan Dimensi Kompetensi Pelaksana]]</f>
        <v>0</v>
      </c>
      <c r="AG388" s="1">
        <v>4</v>
      </c>
      <c r="AH388" s="1">
        <v>3</v>
      </c>
      <c r="AI388" s="1">
        <f>data[[#This Row],[Nilai Kepentingan Dimensi Perilaku Pelaksana]]-data[[#This Row],[Nilai Kepuasan Dimensi Perilaku Pelaksana]]</f>
        <v>-1</v>
      </c>
      <c r="AJ388" s="1">
        <v>3</v>
      </c>
      <c r="AK388" s="1">
        <v>3</v>
      </c>
      <c r="AL388" s="1">
        <f>data[[#This Row],[Nilai Kepentingan Dimensi Penanganan Pengaduan, Saran &amp; Masukan]]-data[[#This Row],[Nilai Kepuasan Dimensi Penanganan Pengaduan, Saran &amp; Masukan]]</f>
        <v>0</v>
      </c>
      <c r="AM388" s="1">
        <v>4</v>
      </c>
      <c r="AN388" s="1">
        <v>3</v>
      </c>
      <c r="AO388" s="1">
        <f>data[[#This Row],[Nilai Kepentingan Dimensi Kualitas Sarana dan Prasarana]]-data[[#This Row],[Nilai Kepuasan Dimensi Kualitas Sarana dan Prasarana]]</f>
        <v>-1</v>
      </c>
      <c r="AP388" s="1">
        <v>0</v>
      </c>
      <c r="AQ388" s="1" t="s">
        <v>69</v>
      </c>
      <c r="AR388" s="1">
        <v>0</v>
      </c>
      <c r="AS388" s="1" t="s">
        <v>69</v>
      </c>
      <c r="AT388" s="1">
        <v>3</v>
      </c>
      <c r="AU388" s="1" t="s">
        <v>69</v>
      </c>
      <c r="AV388" s="1" t="s">
        <v>83</v>
      </c>
      <c r="AW388" s="1" t="s">
        <v>96</v>
      </c>
      <c r="AX388" s="1">
        <v>0</v>
      </c>
      <c r="AY388" s="1">
        <v>0</v>
      </c>
      <c r="AZ388" s="1" t="s">
        <v>503</v>
      </c>
      <c r="BA388" s="1" t="s">
        <v>79</v>
      </c>
      <c r="BB388" s="1" t="s">
        <v>503</v>
      </c>
      <c r="BC388" s="1" t="s">
        <v>79</v>
      </c>
      <c r="BD388" s="1" t="s">
        <v>503</v>
      </c>
      <c r="BE388" s="1" t="s">
        <v>79</v>
      </c>
      <c r="BF388" s="5" t="s">
        <v>83</v>
      </c>
    </row>
    <row r="389" spans="1:58" x14ac:dyDescent="0.35">
      <c r="A389" s="4">
        <v>388</v>
      </c>
      <c r="B389" s="1" t="s">
        <v>2330</v>
      </c>
      <c r="C389" s="1" t="s">
        <v>179</v>
      </c>
      <c r="D389" s="1" t="s">
        <v>63</v>
      </c>
      <c r="E389" s="1" t="s">
        <v>69</v>
      </c>
      <c r="F389" s="1" t="s">
        <v>69</v>
      </c>
      <c r="G389" s="1" t="s">
        <v>69</v>
      </c>
      <c r="H389" s="1" t="s">
        <v>69</v>
      </c>
      <c r="I389" s="1" t="s">
        <v>70</v>
      </c>
      <c r="J389" s="1" t="s">
        <v>1168</v>
      </c>
      <c r="K389" s="1">
        <v>31</v>
      </c>
      <c r="L389" s="1" t="s">
        <v>109</v>
      </c>
      <c r="M389" s="1" t="s">
        <v>93</v>
      </c>
      <c r="N389" s="1" t="s">
        <v>232</v>
      </c>
      <c r="O389" s="1">
        <v>4</v>
      </c>
      <c r="P389" s="1">
        <v>4</v>
      </c>
      <c r="Q389" s="1">
        <f>data[[#This Row],[Nilai Kepentingan Dimensi Persyaratan]]-data[[#This Row],[Nilai Kepuasan Dimensi Persyaratan]]</f>
        <v>0</v>
      </c>
      <c r="R389" s="1">
        <v>4</v>
      </c>
      <c r="S389" s="1">
        <v>4</v>
      </c>
      <c r="T389" s="1">
        <f>data[[#This Row],[Nilai Kepentingan Dimensi Prosedur]]-data[[#This Row],[Nilai Kepuasan Dimensi Prosedur]]</f>
        <v>0</v>
      </c>
      <c r="U389" s="1">
        <v>4</v>
      </c>
      <c r="V389" s="1">
        <v>4</v>
      </c>
      <c r="W389" s="1">
        <f>data[[#This Row],[Nilai Kepentingan Dimensi Waktu Pelayanan/Penyelesaian]]-data[[#This Row],[Nilai Kepuasan Dimensi Waktu Pelayanan/Penyelesaian]]</f>
        <v>0</v>
      </c>
      <c r="X389" s="1">
        <v>0</v>
      </c>
      <c r="Y389" s="1">
        <v>0</v>
      </c>
      <c r="Z389" s="1">
        <f>data[[#This Row],[Nilai Kepentingan Dimensi Tarif/ Biaya]]-data[[#This Row],[Nilai Kepuasan Dimensi Tarif / Biaya]]</f>
        <v>0</v>
      </c>
      <c r="AA389" s="1">
        <v>4</v>
      </c>
      <c r="AB389" s="1">
        <v>4</v>
      </c>
      <c r="AC389" s="1">
        <f>data[[#This Row],[Nilai Kepentingan Dimensi Produk Spesifikasi Jenis Layanan]]-data[[#This Row],[Nilai Kepuasan Dimensi Produk Spesifikasi Jenis Layanan]]</f>
        <v>0</v>
      </c>
      <c r="AD389" s="1">
        <v>4</v>
      </c>
      <c r="AE389" s="1">
        <v>4</v>
      </c>
      <c r="AF389" s="1">
        <f>data[[#This Row],[Nilai Kepentingan Dimensi Kompetensi Pelaksana]]-data[[#This Row],[Nilai Kepuasan Dimensi Kompetensi Pelaksana]]</f>
        <v>0</v>
      </c>
      <c r="AG389" s="1">
        <v>4</v>
      </c>
      <c r="AH389" s="1">
        <v>4</v>
      </c>
      <c r="AI389" s="1">
        <f>data[[#This Row],[Nilai Kepentingan Dimensi Perilaku Pelaksana]]-data[[#This Row],[Nilai Kepuasan Dimensi Perilaku Pelaksana]]</f>
        <v>0</v>
      </c>
      <c r="AJ389" s="1">
        <v>4</v>
      </c>
      <c r="AK389" s="1">
        <v>4</v>
      </c>
      <c r="AL389" s="1">
        <f>data[[#This Row],[Nilai Kepentingan Dimensi Penanganan Pengaduan, Saran &amp; Masukan]]-data[[#This Row],[Nilai Kepuasan Dimensi Penanganan Pengaduan, Saran &amp; Masukan]]</f>
        <v>0</v>
      </c>
      <c r="AM389" s="1">
        <v>4</v>
      </c>
      <c r="AN389" s="1">
        <v>4</v>
      </c>
      <c r="AO389" s="1">
        <f>data[[#This Row],[Nilai Kepentingan Dimensi Kualitas Sarana dan Prasarana]]-data[[#This Row],[Nilai Kepuasan Dimensi Kualitas Sarana dan Prasarana]]</f>
        <v>0</v>
      </c>
      <c r="AP389" s="1">
        <v>0</v>
      </c>
      <c r="AQ389" s="1" t="s">
        <v>69</v>
      </c>
      <c r="AR389" s="1">
        <v>0</v>
      </c>
      <c r="AS389" s="1" t="s">
        <v>69</v>
      </c>
      <c r="AT389" s="1">
        <v>4</v>
      </c>
      <c r="AU389" s="1" t="s">
        <v>75</v>
      </c>
      <c r="AV389" s="1" t="s">
        <v>83</v>
      </c>
      <c r="AW389" s="1" t="s">
        <v>96</v>
      </c>
      <c r="AX389" s="1">
        <v>0</v>
      </c>
      <c r="AY389" s="1">
        <v>0</v>
      </c>
      <c r="AZ389" s="1" t="s">
        <v>248</v>
      </c>
      <c r="BA389" s="1" t="s">
        <v>79</v>
      </c>
      <c r="BB389" s="1" t="s">
        <v>1305</v>
      </c>
      <c r="BC389" s="1" t="s">
        <v>81</v>
      </c>
      <c r="BD389" s="1" t="s">
        <v>2334</v>
      </c>
      <c r="BE389" s="1" t="s">
        <v>79</v>
      </c>
      <c r="BF389" s="5" t="s">
        <v>83</v>
      </c>
    </row>
    <row r="390" spans="1:58" x14ac:dyDescent="0.35">
      <c r="A390" s="4">
        <v>389</v>
      </c>
      <c r="B390" s="1" t="s">
        <v>2335</v>
      </c>
      <c r="C390" s="1" t="s">
        <v>63</v>
      </c>
      <c r="D390" s="1" t="s">
        <v>63</v>
      </c>
      <c r="E390" s="1" t="s">
        <v>69</v>
      </c>
      <c r="F390" s="1" t="s">
        <v>69</v>
      </c>
      <c r="G390" s="1" t="s">
        <v>69</v>
      </c>
      <c r="H390" s="1" t="s">
        <v>69</v>
      </c>
      <c r="I390" s="1" t="s">
        <v>70</v>
      </c>
      <c r="J390" s="1" t="s">
        <v>1168</v>
      </c>
      <c r="K390" s="1">
        <v>28</v>
      </c>
      <c r="L390" s="1" t="s">
        <v>92</v>
      </c>
      <c r="M390" s="1" t="s">
        <v>93</v>
      </c>
      <c r="N390" s="1" t="s">
        <v>232</v>
      </c>
      <c r="O390" s="1">
        <v>3</v>
      </c>
      <c r="P390" s="1">
        <v>4</v>
      </c>
      <c r="Q390" s="1">
        <f>data[[#This Row],[Nilai Kepentingan Dimensi Persyaratan]]-data[[#This Row],[Nilai Kepuasan Dimensi Persyaratan]]</f>
        <v>1</v>
      </c>
      <c r="R390" s="1">
        <v>4</v>
      </c>
      <c r="S390" s="1">
        <v>4</v>
      </c>
      <c r="T390" s="1">
        <f>data[[#This Row],[Nilai Kepentingan Dimensi Prosedur]]-data[[#This Row],[Nilai Kepuasan Dimensi Prosedur]]</f>
        <v>0</v>
      </c>
      <c r="U390" s="1">
        <v>3</v>
      </c>
      <c r="V390" s="1">
        <v>3</v>
      </c>
      <c r="W390" s="1">
        <f>data[[#This Row],[Nilai Kepentingan Dimensi Waktu Pelayanan/Penyelesaian]]-data[[#This Row],[Nilai Kepuasan Dimensi Waktu Pelayanan/Penyelesaian]]</f>
        <v>0</v>
      </c>
      <c r="X390" s="1">
        <v>0</v>
      </c>
      <c r="Y390" s="1">
        <v>0</v>
      </c>
      <c r="Z390" s="1">
        <f>data[[#This Row],[Nilai Kepentingan Dimensi Tarif/ Biaya]]-data[[#This Row],[Nilai Kepuasan Dimensi Tarif / Biaya]]</f>
        <v>0</v>
      </c>
      <c r="AA390" s="1">
        <v>4</v>
      </c>
      <c r="AB390" s="1">
        <v>4</v>
      </c>
      <c r="AC390" s="1">
        <f>data[[#This Row],[Nilai Kepentingan Dimensi Produk Spesifikasi Jenis Layanan]]-data[[#This Row],[Nilai Kepuasan Dimensi Produk Spesifikasi Jenis Layanan]]</f>
        <v>0</v>
      </c>
      <c r="AD390" s="1">
        <v>4</v>
      </c>
      <c r="AE390" s="1">
        <v>4</v>
      </c>
      <c r="AF390" s="1">
        <f>data[[#This Row],[Nilai Kepentingan Dimensi Kompetensi Pelaksana]]-data[[#This Row],[Nilai Kepuasan Dimensi Kompetensi Pelaksana]]</f>
        <v>0</v>
      </c>
      <c r="AG390" s="1">
        <v>3</v>
      </c>
      <c r="AH390" s="1">
        <v>4</v>
      </c>
      <c r="AI390" s="1">
        <f>data[[#This Row],[Nilai Kepentingan Dimensi Perilaku Pelaksana]]-data[[#This Row],[Nilai Kepuasan Dimensi Perilaku Pelaksana]]</f>
        <v>1</v>
      </c>
      <c r="AJ390" s="1">
        <v>4</v>
      </c>
      <c r="AK390" s="1">
        <v>4</v>
      </c>
      <c r="AL390" s="1">
        <f>data[[#This Row],[Nilai Kepentingan Dimensi Penanganan Pengaduan, Saran &amp; Masukan]]-data[[#This Row],[Nilai Kepuasan Dimensi Penanganan Pengaduan, Saran &amp; Masukan]]</f>
        <v>0</v>
      </c>
      <c r="AM390" s="1">
        <v>3</v>
      </c>
      <c r="AN390" s="1">
        <v>4</v>
      </c>
      <c r="AO390" s="1">
        <f>data[[#This Row],[Nilai Kepentingan Dimensi Kualitas Sarana dan Prasarana]]-data[[#This Row],[Nilai Kepuasan Dimensi Kualitas Sarana dan Prasarana]]</f>
        <v>1</v>
      </c>
      <c r="AP390" s="1">
        <v>0</v>
      </c>
      <c r="AQ390" s="1" t="s">
        <v>69</v>
      </c>
      <c r="AR390" s="1">
        <v>0</v>
      </c>
      <c r="AS390" s="1" t="s">
        <v>69</v>
      </c>
      <c r="AT390" s="1">
        <v>4</v>
      </c>
      <c r="AU390" s="1" t="s">
        <v>75</v>
      </c>
      <c r="AV390" s="1" t="s">
        <v>83</v>
      </c>
      <c r="AW390" s="1" t="s">
        <v>96</v>
      </c>
      <c r="AX390" s="1">
        <v>0</v>
      </c>
      <c r="AY390" s="1">
        <v>0</v>
      </c>
      <c r="AZ390" s="1" t="s">
        <v>2339</v>
      </c>
      <c r="BA390" s="1" t="s">
        <v>112</v>
      </c>
      <c r="BB390" s="1" t="s">
        <v>528</v>
      </c>
      <c r="BC390" s="1" t="s">
        <v>79</v>
      </c>
      <c r="BD390" s="1" t="s">
        <v>503</v>
      </c>
      <c r="BE390" s="1" t="s">
        <v>79</v>
      </c>
      <c r="BF390" s="5" t="s">
        <v>83</v>
      </c>
    </row>
    <row r="391" spans="1:58" x14ac:dyDescent="0.35">
      <c r="A391" s="4">
        <v>390</v>
      </c>
      <c r="B391" s="1" t="s">
        <v>2340</v>
      </c>
      <c r="C391" s="1" t="s">
        <v>63</v>
      </c>
      <c r="D391" s="1" t="s">
        <v>136</v>
      </c>
      <c r="E391" s="1" t="s">
        <v>69</v>
      </c>
      <c r="F391" s="1" t="s">
        <v>69</v>
      </c>
      <c r="G391" s="1" t="s">
        <v>69</v>
      </c>
      <c r="H391" s="1" t="s">
        <v>69</v>
      </c>
      <c r="I391" s="1" t="s">
        <v>106</v>
      </c>
      <c r="J391" s="1" t="s">
        <v>1180</v>
      </c>
      <c r="K391" s="1">
        <v>43</v>
      </c>
      <c r="L391" s="1" t="s">
        <v>197</v>
      </c>
      <c r="M391" s="1" t="s">
        <v>93</v>
      </c>
      <c r="N391" s="1" t="s">
        <v>74</v>
      </c>
      <c r="O391" s="1">
        <v>3</v>
      </c>
      <c r="P391" s="1">
        <v>3</v>
      </c>
      <c r="Q391" s="1">
        <f>data[[#This Row],[Nilai Kepentingan Dimensi Persyaratan]]-data[[#This Row],[Nilai Kepuasan Dimensi Persyaratan]]</f>
        <v>0</v>
      </c>
      <c r="R391" s="1">
        <v>3</v>
      </c>
      <c r="S391" s="1">
        <v>3</v>
      </c>
      <c r="T391" s="1">
        <f>data[[#This Row],[Nilai Kepentingan Dimensi Prosedur]]-data[[#This Row],[Nilai Kepuasan Dimensi Prosedur]]</f>
        <v>0</v>
      </c>
      <c r="U391" s="1">
        <v>4</v>
      </c>
      <c r="V391" s="1">
        <v>4</v>
      </c>
      <c r="W391" s="1">
        <f>data[[#This Row],[Nilai Kepentingan Dimensi Waktu Pelayanan/Penyelesaian]]-data[[#This Row],[Nilai Kepuasan Dimensi Waktu Pelayanan/Penyelesaian]]</f>
        <v>0</v>
      </c>
      <c r="X391" s="1">
        <v>0</v>
      </c>
      <c r="Y391" s="1">
        <v>0</v>
      </c>
      <c r="Z391" s="1">
        <f>data[[#This Row],[Nilai Kepentingan Dimensi Tarif/ Biaya]]-data[[#This Row],[Nilai Kepuasan Dimensi Tarif / Biaya]]</f>
        <v>0</v>
      </c>
      <c r="AA391" s="1">
        <v>3</v>
      </c>
      <c r="AB391" s="1">
        <v>3</v>
      </c>
      <c r="AC391" s="1">
        <f>data[[#This Row],[Nilai Kepentingan Dimensi Produk Spesifikasi Jenis Layanan]]-data[[#This Row],[Nilai Kepuasan Dimensi Produk Spesifikasi Jenis Layanan]]</f>
        <v>0</v>
      </c>
      <c r="AD391" s="1">
        <v>3</v>
      </c>
      <c r="AE391" s="1">
        <v>3</v>
      </c>
      <c r="AF391" s="1">
        <f>data[[#This Row],[Nilai Kepentingan Dimensi Kompetensi Pelaksana]]-data[[#This Row],[Nilai Kepuasan Dimensi Kompetensi Pelaksana]]</f>
        <v>0</v>
      </c>
      <c r="AG391" s="1">
        <v>4</v>
      </c>
      <c r="AH391" s="1">
        <v>4</v>
      </c>
      <c r="AI391" s="1">
        <f>data[[#This Row],[Nilai Kepentingan Dimensi Perilaku Pelaksana]]-data[[#This Row],[Nilai Kepuasan Dimensi Perilaku Pelaksana]]</f>
        <v>0</v>
      </c>
      <c r="AJ391" s="1">
        <v>3</v>
      </c>
      <c r="AK391" s="1">
        <v>3</v>
      </c>
      <c r="AL391" s="1">
        <f>data[[#This Row],[Nilai Kepentingan Dimensi Penanganan Pengaduan, Saran &amp; Masukan]]-data[[#This Row],[Nilai Kepuasan Dimensi Penanganan Pengaduan, Saran &amp; Masukan]]</f>
        <v>0</v>
      </c>
      <c r="AM391" s="1">
        <v>3</v>
      </c>
      <c r="AN391" s="1">
        <v>3</v>
      </c>
      <c r="AO391" s="1">
        <f>data[[#This Row],[Nilai Kepentingan Dimensi Kualitas Sarana dan Prasarana]]-data[[#This Row],[Nilai Kepuasan Dimensi Kualitas Sarana dan Prasarana]]</f>
        <v>0</v>
      </c>
      <c r="AP391" s="1">
        <v>0</v>
      </c>
      <c r="AQ391" s="1" t="s">
        <v>69</v>
      </c>
      <c r="AR391" s="1">
        <v>0</v>
      </c>
      <c r="AS391" s="1" t="s">
        <v>69</v>
      </c>
      <c r="AT391" s="1">
        <v>0</v>
      </c>
      <c r="AU391" s="1" t="s">
        <v>69</v>
      </c>
      <c r="AV391" s="1" t="s">
        <v>2344</v>
      </c>
      <c r="AW391" s="1" t="s">
        <v>144</v>
      </c>
      <c r="AX391" s="1">
        <v>1</v>
      </c>
      <c r="AY391" s="1">
        <v>4</v>
      </c>
      <c r="AZ391" s="1" t="s">
        <v>248</v>
      </c>
      <c r="BA391" s="1" t="s">
        <v>79</v>
      </c>
      <c r="BB391" s="1" t="s">
        <v>248</v>
      </c>
      <c r="BC391" s="1" t="s">
        <v>79</v>
      </c>
      <c r="BD391" s="1" t="s">
        <v>2345</v>
      </c>
      <c r="BE391" s="1" t="s">
        <v>146</v>
      </c>
      <c r="BF391" s="5" t="s">
        <v>83</v>
      </c>
    </row>
    <row r="392" spans="1:58" x14ac:dyDescent="0.35">
      <c r="A392" s="4">
        <v>391</v>
      </c>
      <c r="B392" s="1" t="s">
        <v>2346</v>
      </c>
      <c r="C392" s="1" t="s">
        <v>1030</v>
      </c>
      <c r="D392" s="1" t="s">
        <v>2348</v>
      </c>
      <c r="E392" s="1" t="s">
        <v>69</v>
      </c>
      <c r="F392" s="1" t="s">
        <v>69</v>
      </c>
      <c r="G392" s="1" t="s">
        <v>69</v>
      </c>
      <c r="H392" s="1" t="s">
        <v>69</v>
      </c>
      <c r="I392" s="1" t="s">
        <v>70</v>
      </c>
      <c r="J392" s="1" t="s">
        <v>1180</v>
      </c>
      <c r="K392" s="1">
        <v>49</v>
      </c>
      <c r="L392" s="1" t="s">
        <v>225</v>
      </c>
      <c r="M392" s="1" t="s">
        <v>93</v>
      </c>
      <c r="N392" s="1" t="s">
        <v>74</v>
      </c>
      <c r="O392" s="1">
        <v>4</v>
      </c>
      <c r="P392" s="1">
        <v>4</v>
      </c>
      <c r="Q392" s="1">
        <f>data[[#This Row],[Nilai Kepentingan Dimensi Persyaratan]]-data[[#This Row],[Nilai Kepuasan Dimensi Persyaratan]]</f>
        <v>0</v>
      </c>
      <c r="R392" s="1">
        <v>4</v>
      </c>
      <c r="S392" s="1">
        <v>4</v>
      </c>
      <c r="T392" s="1">
        <f>data[[#This Row],[Nilai Kepentingan Dimensi Prosedur]]-data[[#This Row],[Nilai Kepuasan Dimensi Prosedur]]</f>
        <v>0</v>
      </c>
      <c r="U392" s="1">
        <v>4</v>
      </c>
      <c r="V392" s="1">
        <v>4</v>
      </c>
      <c r="W392" s="1">
        <f>data[[#This Row],[Nilai Kepentingan Dimensi Waktu Pelayanan/Penyelesaian]]-data[[#This Row],[Nilai Kepuasan Dimensi Waktu Pelayanan/Penyelesaian]]</f>
        <v>0</v>
      </c>
      <c r="X392" s="1">
        <v>0</v>
      </c>
      <c r="Y392" s="1">
        <v>0</v>
      </c>
      <c r="Z392" s="1">
        <f>data[[#This Row],[Nilai Kepentingan Dimensi Tarif/ Biaya]]-data[[#This Row],[Nilai Kepuasan Dimensi Tarif / Biaya]]</f>
        <v>0</v>
      </c>
      <c r="AA392" s="1">
        <v>4</v>
      </c>
      <c r="AB392" s="1">
        <v>4</v>
      </c>
      <c r="AC392" s="1">
        <f>data[[#This Row],[Nilai Kepentingan Dimensi Produk Spesifikasi Jenis Layanan]]-data[[#This Row],[Nilai Kepuasan Dimensi Produk Spesifikasi Jenis Layanan]]</f>
        <v>0</v>
      </c>
      <c r="AD392" s="1">
        <v>4</v>
      </c>
      <c r="AE392" s="1">
        <v>4</v>
      </c>
      <c r="AF392" s="1">
        <f>data[[#This Row],[Nilai Kepentingan Dimensi Kompetensi Pelaksana]]-data[[#This Row],[Nilai Kepuasan Dimensi Kompetensi Pelaksana]]</f>
        <v>0</v>
      </c>
      <c r="AG392" s="1">
        <v>4</v>
      </c>
      <c r="AH392" s="1">
        <v>4</v>
      </c>
      <c r="AI392" s="1">
        <f>data[[#This Row],[Nilai Kepentingan Dimensi Perilaku Pelaksana]]-data[[#This Row],[Nilai Kepuasan Dimensi Perilaku Pelaksana]]</f>
        <v>0</v>
      </c>
      <c r="AJ392" s="1">
        <v>4</v>
      </c>
      <c r="AK392" s="1">
        <v>4</v>
      </c>
      <c r="AL392" s="1">
        <f>data[[#This Row],[Nilai Kepentingan Dimensi Penanganan Pengaduan, Saran &amp; Masukan]]-data[[#This Row],[Nilai Kepuasan Dimensi Penanganan Pengaduan, Saran &amp; Masukan]]</f>
        <v>0</v>
      </c>
      <c r="AM392" s="1">
        <v>4</v>
      </c>
      <c r="AN392" s="1">
        <v>4</v>
      </c>
      <c r="AO392" s="1">
        <f>data[[#This Row],[Nilai Kepentingan Dimensi Kualitas Sarana dan Prasarana]]-data[[#This Row],[Nilai Kepuasan Dimensi Kualitas Sarana dan Prasarana]]</f>
        <v>0</v>
      </c>
      <c r="AP392" s="1">
        <v>0</v>
      </c>
      <c r="AQ392" s="1" t="s">
        <v>69</v>
      </c>
      <c r="AR392" s="1">
        <v>0</v>
      </c>
      <c r="AS392" s="1" t="s">
        <v>69</v>
      </c>
      <c r="AT392" s="1">
        <v>0</v>
      </c>
      <c r="AU392" s="1" t="s">
        <v>69</v>
      </c>
      <c r="AV392" s="1" t="s">
        <v>2350</v>
      </c>
      <c r="AW392" s="1" t="s">
        <v>186</v>
      </c>
      <c r="AX392" s="1">
        <v>1</v>
      </c>
      <c r="AY392" s="1">
        <v>4</v>
      </c>
      <c r="AZ392" s="1" t="s">
        <v>2351</v>
      </c>
      <c r="BA392" s="1" t="s">
        <v>2352</v>
      </c>
      <c r="BB392" s="1" t="s">
        <v>2353</v>
      </c>
      <c r="BC392" s="1" t="s">
        <v>1755</v>
      </c>
      <c r="BD392" s="1" t="s">
        <v>528</v>
      </c>
      <c r="BE392" s="1" t="s">
        <v>79</v>
      </c>
      <c r="BF392" s="5" t="s">
        <v>83</v>
      </c>
    </row>
    <row r="393" spans="1:58" x14ac:dyDescent="0.35">
      <c r="A393" s="4">
        <v>392</v>
      </c>
      <c r="B393" s="1" t="s">
        <v>2354</v>
      </c>
      <c r="C393" s="1" t="s">
        <v>63</v>
      </c>
      <c r="D393" s="1" t="s">
        <v>338</v>
      </c>
      <c r="E393" s="1" t="s">
        <v>69</v>
      </c>
      <c r="F393" s="1" t="s">
        <v>69</v>
      </c>
      <c r="G393" s="1" t="s">
        <v>69</v>
      </c>
      <c r="H393" s="1" t="s">
        <v>69</v>
      </c>
      <c r="I393" s="1" t="s">
        <v>106</v>
      </c>
      <c r="J393" s="1" t="s">
        <v>1180</v>
      </c>
      <c r="K393" s="1">
        <v>29</v>
      </c>
      <c r="L393" s="1" t="s">
        <v>92</v>
      </c>
      <c r="M393" s="1" t="s">
        <v>73</v>
      </c>
      <c r="N393" s="1" t="s">
        <v>74</v>
      </c>
      <c r="O393" s="1">
        <v>4</v>
      </c>
      <c r="P393" s="1">
        <v>3</v>
      </c>
      <c r="Q393" s="1">
        <f>data[[#This Row],[Nilai Kepentingan Dimensi Persyaratan]]-data[[#This Row],[Nilai Kepuasan Dimensi Persyaratan]]</f>
        <v>-1</v>
      </c>
      <c r="R393" s="1">
        <v>4</v>
      </c>
      <c r="S393" s="1">
        <v>4</v>
      </c>
      <c r="T393" s="1">
        <f>data[[#This Row],[Nilai Kepentingan Dimensi Prosedur]]-data[[#This Row],[Nilai Kepuasan Dimensi Prosedur]]</f>
        <v>0</v>
      </c>
      <c r="U393" s="1">
        <v>4</v>
      </c>
      <c r="V393" s="1">
        <v>3</v>
      </c>
      <c r="W393" s="1">
        <f>data[[#This Row],[Nilai Kepentingan Dimensi Waktu Pelayanan/Penyelesaian]]-data[[#This Row],[Nilai Kepuasan Dimensi Waktu Pelayanan/Penyelesaian]]</f>
        <v>-1</v>
      </c>
      <c r="X393" s="1">
        <v>0</v>
      </c>
      <c r="Y393" s="1">
        <v>0</v>
      </c>
      <c r="Z393" s="1">
        <f>data[[#This Row],[Nilai Kepentingan Dimensi Tarif/ Biaya]]-data[[#This Row],[Nilai Kepuasan Dimensi Tarif / Biaya]]</f>
        <v>0</v>
      </c>
      <c r="AA393" s="1">
        <v>4</v>
      </c>
      <c r="AB393" s="1">
        <v>3</v>
      </c>
      <c r="AC393" s="1">
        <f>data[[#This Row],[Nilai Kepentingan Dimensi Produk Spesifikasi Jenis Layanan]]-data[[#This Row],[Nilai Kepuasan Dimensi Produk Spesifikasi Jenis Layanan]]</f>
        <v>-1</v>
      </c>
      <c r="AD393" s="1">
        <v>4</v>
      </c>
      <c r="AE393" s="1">
        <v>3</v>
      </c>
      <c r="AF393" s="1">
        <f>data[[#This Row],[Nilai Kepentingan Dimensi Kompetensi Pelaksana]]-data[[#This Row],[Nilai Kepuasan Dimensi Kompetensi Pelaksana]]</f>
        <v>-1</v>
      </c>
      <c r="AG393" s="1">
        <v>4</v>
      </c>
      <c r="AH393" s="1">
        <v>3</v>
      </c>
      <c r="AI393" s="1">
        <f>data[[#This Row],[Nilai Kepentingan Dimensi Perilaku Pelaksana]]-data[[#This Row],[Nilai Kepuasan Dimensi Perilaku Pelaksana]]</f>
        <v>-1</v>
      </c>
      <c r="AJ393" s="1">
        <v>4</v>
      </c>
      <c r="AK393" s="1">
        <v>3</v>
      </c>
      <c r="AL393" s="1">
        <f>data[[#This Row],[Nilai Kepentingan Dimensi Penanganan Pengaduan, Saran &amp; Masukan]]-data[[#This Row],[Nilai Kepuasan Dimensi Penanganan Pengaduan, Saran &amp; Masukan]]</f>
        <v>-1</v>
      </c>
      <c r="AM393" s="1">
        <v>4</v>
      </c>
      <c r="AN393" s="1">
        <v>3</v>
      </c>
      <c r="AO393" s="1">
        <f>data[[#This Row],[Nilai Kepentingan Dimensi Kualitas Sarana dan Prasarana]]-data[[#This Row],[Nilai Kepuasan Dimensi Kualitas Sarana dan Prasarana]]</f>
        <v>-1</v>
      </c>
      <c r="AP393" s="1">
        <v>0</v>
      </c>
      <c r="AQ393" s="1" t="s">
        <v>69</v>
      </c>
      <c r="AR393" s="1">
        <v>0</v>
      </c>
      <c r="AS393" s="1" t="s">
        <v>69</v>
      </c>
      <c r="AT393" s="1">
        <v>4</v>
      </c>
      <c r="AU393" s="1" t="s">
        <v>75</v>
      </c>
      <c r="AV393" s="1" t="s">
        <v>83</v>
      </c>
      <c r="AW393" s="1" t="s">
        <v>96</v>
      </c>
      <c r="AX393" s="1">
        <v>0</v>
      </c>
      <c r="AY393" s="1">
        <v>0</v>
      </c>
      <c r="AZ393" s="1" t="s">
        <v>98</v>
      </c>
      <c r="BA393" s="1" t="s">
        <v>99</v>
      </c>
      <c r="BB393" s="1" t="s">
        <v>98</v>
      </c>
      <c r="BC393" s="1" t="s">
        <v>99</v>
      </c>
      <c r="BD393" s="1" t="s">
        <v>98</v>
      </c>
      <c r="BE393" s="1" t="s">
        <v>99</v>
      </c>
      <c r="BF393" s="5" t="s">
        <v>98</v>
      </c>
    </row>
    <row r="394" spans="1:58" x14ac:dyDescent="0.35">
      <c r="A394" s="4">
        <v>393</v>
      </c>
      <c r="B394" s="1" t="s">
        <v>2359</v>
      </c>
      <c r="C394" s="1" t="s">
        <v>63</v>
      </c>
      <c r="D394" s="1" t="s">
        <v>63</v>
      </c>
      <c r="E394" s="1" t="s">
        <v>69</v>
      </c>
      <c r="F394" s="1" t="s">
        <v>69</v>
      </c>
      <c r="G394" s="1" t="s">
        <v>69</v>
      </c>
      <c r="H394" s="1" t="s">
        <v>69</v>
      </c>
      <c r="I394" s="1" t="s">
        <v>106</v>
      </c>
      <c r="J394" s="1" t="s">
        <v>1168</v>
      </c>
      <c r="K394" s="1">
        <v>33</v>
      </c>
      <c r="L394" s="1" t="s">
        <v>109</v>
      </c>
      <c r="M394" s="1" t="s">
        <v>93</v>
      </c>
      <c r="N394" s="1" t="s">
        <v>110</v>
      </c>
      <c r="O394" s="1">
        <v>3</v>
      </c>
      <c r="P394" s="1">
        <v>3</v>
      </c>
      <c r="Q394" s="1">
        <f>data[[#This Row],[Nilai Kepentingan Dimensi Persyaratan]]-data[[#This Row],[Nilai Kepuasan Dimensi Persyaratan]]</f>
        <v>0</v>
      </c>
      <c r="R394" s="1">
        <v>4</v>
      </c>
      <c r="S394" s="1">
        <v>4</v>
      </c>
      <c r="T394" s="1">
        <f>data[[#This Row],[Nilai Kepentingan Dimensi Prosedur]]-data[[#This Row],[Nilai Kepuasan Dimensi Prosedur]]</f>
        <v>0</v>
      </c>
      <c r="U394" s="1">
        <v>4</v>
      </c>
      <c r="V394" s="1">
        <v>4</v>
      </c>
      <c r="W394" s="1">
        <f>data[[#This Row],[Nilai Kepentingan Dimensi Waktu Pelayanan/Penyelesaian]]-data[[#This Row],[Nilai Kepuasan Dimensi Waktu Pelayanan/Penyelesaian]]</f>
        <v>0</v>
      </c>
      <c r="X394" s="1">
        <v>0</v>
      </c>
      <c r="Y394" s="1">
        <v>0</v>
      </c>
      <c r="Z394" s="1">
        <f>data[[#This Row],[Nilai Kepentingan Dimensi Tarif/ Biaya]]-data[[#This Row],[Nilai Kepuasan Dimensi Tarif / Biaya]]</f>
        <v>0</v>
      </c>
      <c r="AA394" s="1">
        <v>4</v>
      </c>
      <c r="AB394" s="1">
        <v>4</v>
      </c>
      <c r="AC394" s="1">
        <f>data[[#This Row],[Nilai Kepentingan Dimensi Produk Spesifikasi Jenis Layanan]]-data[[#This Row],[Nilai Kepuasan Dimensi Produk Spesifikasi Jenis Layanan]]</f>
        <v>0</v>
      </c>
      <c r="AD394" s="1">
        <v>4</v>
      </c>
      <c r="AE394" s="1">
        <v>4</v>
      </c>
      <c r="AF394" s="1">
        <f>data[[#This Row],[Nilai Kepentingan Dimensi Kompetensi Pelaksana]]-data[[#This Row],[Nilai Kepuasan Dimensi Kompetensi Pelaksana]]</f>
        <v>0</v>
      </c>
      <c r="AG394" s="1">
        <v>4</v>
      </c>
      <c r="AH394" s="1">
        <v>4</v>
      </c>
      <c r="AI394" s="1">
        <f>data[[#This Row],[Nilai Kepentingan Dimensi Perilaku Pelaksana]]-data[[#This Row],[Nilai Kepuasan Dimensi Perilaku Pelaksana]]</f>
        <v>0</v>
      </c>
      <c r="AJ394" s="1">
        <v>3</v>
      </c>
      <c r="AK394" s="1">
        <v>3</v>
      </c>
      <c r="AL394" s="1">
        <f>data[[#This Row],[Nilai Kepentingan Dimensi Penanganan Pengaduan, Saran &amp; Masukan]]-data[[#This Row],[Nilai Kepuasan Dimensi Penanganan Pengaduan, Saran &amp; Masukan]]</f>
        <v>0</v>
      </c>
      <c r="AM394" s="1">
        <v>4</v>
      </c>
      <c r="AN394" s="1">
        <v>4</v>
      </c>
      <c r="AO394" s="1">
        <f>data[[#This Row],[Nilai Kepentingan Dimensi Kualitas Sarana dan Prasarana]]-data[[#This Row],[Nilai Kepuasan Dimensi Kualitas Sarana dan Prasarana]]</f>
        <v>0</v>
      </c>
      <c r="AP394" s="1">
        <v>0</v>
      </c>
      <c r="AQ394" s="1" t="s">
        <v>69</v>
      </c>
      <c r="AR394" s="1">
        <v>0</v>
      </c>
      <c r="AS394" s="1" t="s">
        <v>69</v>
      </c>
      <c r="AT394" s="1">
        <v>0</v>
      </c>
      <c r="AU394" s="1" t="s">
        <v>69</v>
      </c>
      <c r="AV394" s="1" t="s">
        <v>2135</v>
      </c>
      <c r="AW394" s="1" t="s">
        <v>144</v>
      </c>
      <c r="AX394" s="1">
        <v>1</v>
      </c>
      <c r="AY394" s="1">
        <v>4</v>
      </c>
      <c r="AZ394" s="1" t="s">
        <v>2362</v>
      </c>
      <c r="BA394" s="1" t="s">
        <v>112</v>
      </c>
      <c r="BB394" s="1" t="s">
        <v>442</v>
      </c>
      <c r="BC394" s="1" t="s">
        <v>79</v>
      </c>
      <c r="BD394" s="1" t="s">
        <v>2363</v>
      </c>
      <c r="BE394" s="1" t="s">
        <v>146</v>
      </c>
      <c r="BF394" s="5" t="s">
        <v>83</v>
      </c>
    </row>
    <row r="395" spans="1:58" x14ac:dyDescent="0.35">
      <c r="A395" s="4">
        <v>394</v>
      </c>
      <c r="B395" s="1" t="s">
        <v>2364</v>
      </c>
      <c r="C395" s="1" t="s">
        <v>2366</v>
      </c>
      <c r="D395" s="1" t="s">
        <v>2367</v>
      </c>
      <c r="E395" s="1" t="s">
        <v>69</v>
      </c>
      <c r="F395" s="1" t="s">
        <v>69</v>
      </c>
      <c r="G395" s="1" t="s">
        <v>69</v>
      </c>
      <c r="H395" s="1" t="s">
        <v>69</v>
      </c>
      <c r="I395" s="1" t="s">
        <v>106</v>
      </c>
      <c r="J395" s="1" t="s">
        <v>1168</v>
      </c>
      <c r="K395" s="1">
        <v>51</v>
      </c>
      <c r="L395" s="1" t="s">
        <v>383</v>
      </c>
      <c r="M395" s="1" t="s">
        <v>1343</v>
      </c>
      <c r="N395" s="1" t="s">
        <v>110</v>
      </c>
      <c r="O395" s="1">
        <v>4</v>
      </c>
      <c r="P395" s="1">
        <v>4</v>
      </c>
      <c r="Q395" s="1">
        <f>data[[#This Row],[Nilai Kepentingan Dimensi Persyaratan]]-data[[#This Row],[Nilai Kepuasan Dimensi Persyaratan]]</f>
        <v>0</v>
      </c>
      <c r="R395" s="1">
        <v>4</v>
      </c>
      <c r="S395" s="1">
        <v>4</v>
      </c>
      <c r="T395" s="1">
        <f>data[[#This Row],[Nilai Kepentingan Dimensi Prosedur]]-data[[#This Row],[Nilai Kepuasan Dimensi Prosedur]]</f>
        <v>0</v>
      </c>
      <c r="U395" s="1">
        <v>4</v>
      </c>
      <c r="V395" s="1">
        <v>4</v>
      </c>
      <c r="W395" s="1">
        <f>data[[#This Row],[Nilai Kepentingan Dimensi Waktu Pelayanan/Penyelesaian]]-data[[#This Row],[Nilai Kepuasan Dimensi Waktu Pelayanan/Penyelesaian]]</f>
        <v>0</v>
      </c>
      <c r="X395" s="1">
        <v>0</v>
      </c>
      <c r="Y395" s="1">
        <v>0</v>
      </c>
      <c r="Z395" s="1">
        <f>data[[#This Row],[Nilai Kepentingan Dimensi Tarif/ Biaya]]-data[[#This Row],[Nilai Kepuasan Dimensi Tarif / Biaya]]</f>
        <v>0</v>
      </c>
      <c r="AA395" s="1">
        <v>4</v>
      </c>
      <c r="AB395" s="1">
        <v>4</v>
      </c>
      <c r="AC395" s="1">
        <f>data[[#This Row],[Nilai Kepentingan Dimensi Produk Spesifikasi Jenis Layanan]]-data[[#This Row],[Nilai Kepuasan Dimensi Produk Spesifikasi Jenis Layanan]]</f>
        <v>0</v>
      </c>
      <c r="AD395" s="1">
        <v>4</v>
      </c>
      <c r="AE395" s="1">
        <v>4</v>
      </c>
      <c r="AF395" s="1">
        <f>data[[#This Row],[Nilai Kepentingan Dimensi Kompetensi Pelaksana]]-data[[#This Row],[Nilai Kepuasan Dimensi Kompetensi Pelaksana]]</f>
        <v>0</v>
      </c>
      <c r="AG395" s="1">
        <v>4</v>
      </c>
      <c r="AH395" s="1">
        <v>4</v>
      </c>
      <c r="AI395" s="1">
        <f>data[[#This Row],[Nilai Kepentingan Dimensi Perilaku Pelaksana]]-data[[#This Row],[Nilai Kepuasan Dimensi Perilaku Pelaksana]]</f>
        <v>0</v>
      </c>
      <c r="AJ395" s="1">
        <v>4</v>
      </c>
      <c r="AK395" s="1">
        <v>4</v>
      </c>
      <c r="AL395" s="1">
        <f>data[[#This Row],[Nilai Kepentingan Dimensi Penanganan Pengaduan, Saran &amp; Masukan]]-data[[#This Row],[Nilai Kepuasan Dimensi Penanganan Pengaduan, Saran &amp; Masukan]]</f>
        <v>0</v>
      </c>
      <c r="AM395" s="1">
        <v>3</v>
      </c>
      <c r="AN395" s="1">
        <v>3</v>
      </c>
      <c r="AO395" s="1">
        <f>data[[#This Row],[Nilai Kepentingan Dimensi Kualitas Sarana dan Prasarana]]-data[[#This Row],[Nilai Kepuasan Dimensi Kualitas Sarana dan Prasarana]]</f>
        <v>0</v>
      </c>
      <c r="AP395" s="1">
        <v>0</v>
      </c>
      <c r="AQ395" s="1" t="s">
        <v>69</v>
      </c>
      <c r="AR395" s="1">
        <v>0</v>
      </c>
      <c r="AS395" s="1" t="s">
        <v>69</v>
      </c>
      <c r="AT395" s="1">
        <v>0</v>
      </c>
      <c r="AU395" s="1" t="s">
        <v>69</v>
      </c>
      <c r="AV395" s="1" t="s">
        <v>2370</v>
      </c>
      <c r="AW395" s="1" t="s">
        <v>186</v>
      </c>
      <c r="AX395" s="1">
        <v>1</v>
      </c>
      <c r="AY395" s="1">
        <v>4</v>
      </c>
      <c r="AZ395" s="1" t="s">
        <v>442</v>
      </c>
      <c r="BA395" s="1" t="s">
        <v>79</v>
      </c>
      <c r="BB395" s="1" t="s">
        <v>442</v>
      </c>
      <c r="BC395" s="1" t="s">
        <v>79</v>
      </c>
      <c r="BD395" s="1" t="s">
        <v>2371</v>
      </c>
      <c r="BE395" s="1" t="s">
        <v>190</v>
      </c>
      <c r="BF395" s="5" t="s">
        <v>83</v>
      </c>
    </row>
    <row r="396" spans="1:58" x14ac:dyDescent="0.35">
      <c r="A396" s="4">
        <v>395</v>
      </c>
      <c r="B396" s="1" t="s">
        <v>2372</v>
      </c>
      <c r="C396" s="1" t="s">
        <v>63</v>
      </c>
      <c r="D396" s="1" t="s">
        <v>125</v>
      </c>
      <c r="E396" s="1" t="s">
        <v>69</v>
      </c>
      <c r="F396" s="1" t="s">
        <v>69</v>
      </c>
      <c r="G396" s="1" t="s">
        <v>69</v>
      </c>
      <c r="H396" s="1" t="s">
        <v>69</v>
      </c>
      <c r="I396" s="1" t="s">
        <v>70</v>
      </c>
      <c r="J396" s="1" t="s">
        <v>1180</v>
      </c>
      <c r="K396" s="1">
        <v>42</v>
      </c>
      <c r="L396" s="1" t="s">
        <v>197</v>
      </c>
      <c r="M396" s="1" t="s">
        <v>73</v>
      </c>
      <c r="N396" s="1" t="s">
        <v>110</v>
      </c>
      <c r="O396" s="1">
        <v>4</v>
      </c>
      <c r="P396" s="1">
        <v>3</v>
      </c>
      <c r="Q396" s="1">
        <f>data[[#This Row],[Nilai Kepentingan Dimensi Persyaratan]]-data[[#This Row],[Nilai Kepuasan Dimensi Persyaratan]]</f>
        <v>-1</v>
      </c>
      <c r="R396" s="1">
        <v>3</v>
      </c>
      <c r="S396" s="1">
        <v>3</v>
      </c>
      <c r="T396" s="1">
        <f>data[[#This Row],[Nilai Kepentingan Dimensi Prosedur]]-data[[#This Row],[Nilai Kepuasan Dimensi Prosedur]]</f>
        <v>0</v>
      </c>
      <c r="U396" s="1">
        <v>4</v>
      </c>
      <c r="V396" s="1">
        <v>4</v>
      </c>
      <c r="W396" s="1">
        <f>data[[#This Row],[Nilai Kepentingan Dimensi Waktu Pelayanan/Penyelesaian]]-data[[#This Row],[Nilai Kepuasan Dimensi Waktu Pelayanan/Penyelesaian]]</f>
        <v>0</v>
      </c>
      <c r="X396" s="1">
        <v>3</v>
      </c>
      <c r="Y396" s="1">
        <v>3</v>
      </c>
      <c r="Z396" s="1">
        <f>data[[#This Row],[Nilai Kepentingan Dimensi Tarif/ Biaya]]-data[[#This Row],[Nilai Kepuasan Dimensi Tarif / Biaya]]</f>
        <v>0</v>
      </c>
      <c r="AA396" s="1">
        <v>4</v>
      </c>
      <c r="AB396" s="1">
        <v>4</v>
      </c>
      <c r="AC396" s="1">
        <f>data[[#This Row],[Nilai Kepentingan Dimensi Produk Spesifikasi Jenis Layanan]]-data[[#This Row],[Nilai Kepuasan Dimensi Produk Spesifikasi Jenis Layanan]]</f>
        <v>0</v>
      </c>
      <c r="AD396" s="1">
        <v>4</v>
      </c>
      <c r="AE396" s="1">
        <v>4</v>
      </c>
      <c r="AF396" s="1">
        <f>data[[#This Row],[Nilai Kepentingan Dimensi Kompetensi Pelaksana]]-data[[#This Row],[Nilai Kepuasan Dimensi Kompetensi Pelaksana]]</f>
        <v>0</v>
      </c>
      <c r="AG396" s="1">
        <v>4</v>
      </c>
      <c r="AH396" s="1">
        <v>4</v>
      </c>
      <c r="AI396" s="1">
        <f>data[[#This Row],[Nilai Kepentingan Dimensi Perilaku Pelaksana]]-data[[#This Row],[Nilai Kepuasan Dimensi Perilaku Pelaksana]]</f>
        <v>0</v>
      </c>
      <c r="AJ396" s="1">
        <v>4</v>
      </c>
      <c r="AK396" s="1">
        <v>4</v>
      </c>
      <c r="AL396" s="1">
        <f>data[[#This Row],[Nilai Kepentingan Dimensi Penanganan Pengaduan, Saran &amp; Masukan]]-data[[#This Row],[Nilai Kepuasan Dimensi Penanganan Pengaduan, Saran &amp; Masukan]]</f>
        <v>0</v>
      </c>
      <c r="AM396" s="1">
        <v>3</v>
      </c>
      <c r="AN396" s="1">
        <v>3</v>
      </c>
      <c r="AO396" s="1">
        <f>data[[#This Row],[Nilai Kepentingan Dimensi Kualitas Sarana dan Prasarana]]-data[[#This Row],[Nilai Kepuasan Dimensi Kualitas Sarana dan Prasarana]]</f>
        <v>0</v>
      </c>
      <c r="AP396" s="1">
        <v>4</v>
      </c>
      <c r="AQ396" s="1" t="s">
        <v>75</v>
      </c>
      <c r="AR396" s="1">
        <v>0</v>
      </c>
      <c r="AS396" s="1" t="s">
        <v>69</v>
      </c>
      <c r="AT396" s="1">
        <v>0</v>
      </c>
      <c r="AU396" s="1" t="s">
        <v>69</v>
      </c>
      <c r="AV396" s="1" t="s">
        <v>83</v>
      </c>
      <c r="AW396" s="1" t="s">
        <v>96</v>
      </c>
      <c r="AX396" s="1">
        <v>0</v>
      </c>
      <c r="AY396" s="1">
        <v>0</v>
      </c>
      <c r="AZ396" s="1" t="s">
        <v>442</v>
      </c>
      <c r="BA396" s="1" t="s">
        <v>79</v>
      </c>
      <c r="BB396" s="1" t="s">
        <v>442</v>
      </c>
      <c r="BC396" s="1" t="s">
        <v>79</v>
      </c>
      <c r="BD396" s="1" t="s">
        <v>2375</v>
      </c>
      <c r="BE396" s="1" t="s">
        <v>190</v>
      </c>
      <c r="BF396" s="5" t="s">
        <v>83</v>
      </c>
    </row>
    <row r="397" spans="1:58" x14ac:dyDescent="0.35">
      <c r="A397" s="4">
        <v>396</v>
      </c>
      <c r="B397" s="1" t="s">
        <v>2376</v>
      </c>
      <c r="C397" s="1" t="s">
        <v>63</v>
      </c>
      <c r="D397" s="1" t="s">
        <v>1372</v>
      </c>
      <c r="E397" s="1" t="s">
        <v>69</v>
      </c>
      <c r="F397" s="1" t="s">
        <v>69</v>
      </c>
      <c r="G397" s="1" t="s">
        <v>69</v>
      </c>
      <c r="H397" s="1" t="s">
        <v>69</v>
      </c>
      <c r="I397" s="1" t="s">
        <v>106</v>
      </c>
      <c r="J397" s="1" t="s">
        <v>1180</v>
      </c>
      <c r="K397" s="1">
        <v>41</v>
      </c>
      <c r="L397" s="1" t="s">
        <v>197</v>
      </c>
      <c r="M397" s="1" t="s">
        <v>73</v>
      </c>
      <c r="N397" s="1" t="s">
        <v>110</v>
      </c>
      <c r="O397" s="1">
        <v>4</v>
      </c>
      <c r="P397" s="1">
        <v>4</v>
      </c>
      <c r="Q397" s="1">
        <f>data[[#This Row],[Nilai Kepentingan Dimensi Persyaratan]]-data[[#This Row],[Nilai Kepuasan Dimensi Persyaratan]]</f>
        <v>0</v>
      </c>
      <c r="R397" s="1">
        <v>4</v>
      </c>
      <c r="S397" s="1">
        <v>4</v>
      </c>
      <c r="T397" s="1">
        <f>data[[#This Row],[Nilai Kepentingan Dimensi Prosedur]]-data[[#This Row],[Nilai Kepuasan Dimensi Prosedur]]</f>
        <v>0</v>
      </c>
      <c r="U397" s="1">
        <v>4</v>
      </c>
      <c r="V397" s="1">
        <v>4</v>
      </c>
      <c r="W397" s="1">
        <f>data[[#This Row],[Nilai Kepentingan Dimensi Waktu Pelayanan/Penyelesaian]]-data[[#This Row],[Nilai Kepuasan Dimensi Waktu Pelayanan/Penyelesaian]]</f>
        <v>0</v>
      </c>
      <c r="X397" s="1">
        <v>4</v>
      </c>
      <c r="Y397" s="1">
        <v>4</v>
      </c>
      <c r="Z397" s="1">
        <f>data[[#This Row],[Nilai Kepentingan Dimensi Tarif/ Biaya]]-data[[#This Row],[Nilai Kepuasan Dimensi Tarif / Biaya]]</f>
        <v>0</v>
      </c>
      <c r="AA397" s="1">
        <v>4</v>
      </c>
      <c r="AB397" s="1">
        <v>4</v>
      </c>
      <c r="AC397" s="1">
        <f>data[[#This Row],[Nilai Kepentingan Dimensi Produk Spesifikasi Jenis Layanan]]-data[[#This Row],[Nilai Kepuasan Dimensi Produk Spesifikasi Jenis Layanan]]</f>
        <v>0</v>
      </c>
      <c r="AD397" s="1">
        <v>4</v>
      </c>
      <c r="AE397" s="1">
        <v>4</v>
      </c>
      <c r="AF397" s="1">
        <f>data[[#This Row],[Nilai Kepentingan Dimensi Kompetensi Pelaksana]]-data[[#This Row],[Nilai Kepuasan Dimensi Kompetensi Pelaksana]]</f>
        <v>0</v>
      </c>
      <c r="AG397" s="1">
        <v>4</v>
      </c>
      <c r="AH397" s="1">
        <v>4</v>
      </c>
      <c r="AI397" s="1">
        <f>data[[#This Row],[Nilai Kepentingan Dimensi Perilaku Pelaksana]]-data[[#This Row],[Nilai Kepuasan Dimensi Perilaku Pelaksana]]</f>
        <v>0</v>
      </c>
      <c r="AJ397" s="1">
        <v>4</v>
      </c>
      <c r="AK397" s="1">
        <v>4</v>
      </c>
      <c r="AL397" s="1">
        <f>data[[#This Row],[Nilai Kepentingan Dimensi Penanganan Pengaduan, Saran &amp; Masukan]]-data[[#This Row],[Nilai Kepuasan Dimensi Penanganan Pengaduan, Saran &amp; Masukan]]</f>
        <v>0</v>
      </c>
      <c r="AM397" s="1">
        <v>4</v>
      </c>
      <c r="AN397" s="1">
        <v>4</v>
      </c>
      <c r="AO397" s="1">
        <f>data[[#This Row],[Nilai Kepentingan Dimensi Kualitas Sarana dan Prasarana]]-data[[#This Row],[Nilai Kepuasan Dimensi Kualitas Sarana dan Prasarana]]</f>
        <v>0</v>
      </c>
      <c r="AP397" s="1">
        <v>0</v>
      </c>
      <c r="AQ397" s="1" t="s">
        <v>69</v>
      </c>
      <c r="AR397" s="1">
        <v>0</v>
      </c>
      <c r="AS397" s="1" t="s">
        <v>69</v>
      </c>
      <c r="AT397" s="1">
        <v>0</v>
      </c>
      <c r="AU397" s="1" t="s">
        <v>69</v>
      </c>
      <c r="AV397" s="1" t="s">
        <v>2381</v>
      </c>
      <c r="AW397" s="1" t="s">
        <v>186</v>
      </c>
      <c r="AX397" s="1">
        <v>1</v>
      </c>
      <c r="AY397" s="1">
        <v>4</v>
      </c>
      <c r="AZ397" s="1" t="s">
        <v>2382</v>
      </c>
      <c r="BA397" s="1" t="s">
        <v>79</v>
      </c>
      <c r="BB397" s="1" t="s">
        <v>442</v>
      </c>
      <c r="BC397" s="1" t="s">
        <v>79</v>
      </c>
      <c r="BD397" s="1" t="s">
        <v>442</v>
      </c>
      <c r="BE397" s="1" t="s">
        <v>79</v>
      </c>
      <c r="BF397" s="5" t="s">
        <v>83</v>
      </c>
    </row>
    <row r="398" spans="1:58" x14ac:dyDescent="0.35">
      <c r="A398" s="4">
        <v>397</v>
      </c>
      <c r="B398" s="1" t="s">
        <v>2383</v>
      </c>
      <c r="C398" s="1" t="s">
        <v>63</v>
      </c>
      <c r="D398" s="1" t="s">
        <v>179</v>
      </c>
      <c r="E398" s="1" t="s">
        <v>69</v>
      </c>
      <c r="F398" s="1" t="s">
        <v>69</v>
      </c>
      <c r="G398" s="1" t="s">
        <v>69</v>
      </c>
      <c r="H398" s="1" t="s">
        <v>69</v>
      </c>
      <c r="I398" s="1" t="s">
        <v>106</v>
      </c>
      <c r="J398" s="1" t="s">
        <v>1180</v>
      </c>
      <c r="K398" s="1">
        <v>34</v>
      </c>
      <c r="L398" s="1" t="s">
        <v>109</v>
      </c>
      <c r="M398" s="1" t="s">
        <v>93</v>
      </c>
      <c r="N398" s="1" t="s">
        <v>110</v>
      </c>
      <c r="O398" s="1">
        <v>3</v>
      </c>
      <c r="P398" s="1">
        <v>3</v>
      </c>
      <c r="Q398" s="1">
        <f>data[[#This Row],[Nilai Kepentingan Dimensi Persyaratan]]-data[[#This Row],[Nilai Kepuasan Dimensi Persyaratan]]</f>
        <v>0</v>
      </c>
      <c r="R398" s="1">
        <v>3</v>
      </c>
      <c r="S398" s="1">
        <v>3</v>
      </c>
      <c r="T398" s="1">
        <f>data[[#This Row],[Nilai Kepentingan Dimensi Prosedur]]-data[[#This Row],[Nilai Kepuasan Dimensi Prosedur]]</f>
        <v>0</v>
      </c>
      <c r="U398" s="1">
        <v>3</v>
      </c>
      <c r="V398" s="1">
        <v>3</v>
      </c>
      <c r="W398" s="1">
        <f>data[[#This Row],[Nilai Kepentingan Dimensi Waktu Pelayanan/Penyelesaian]]-data[[#This Row],[Nilai Kepuasan Dimensi Waktu Pelayanan/Penyelesaian]]</f>
        <v>0</v>
      </c>
      <c r="X398" s="1">
        <v>3</v>
      </c>
      <c r="Y398" s="1">
        <v>3</v>
      </c>
      <c r="Z398" s="1">
        <f>data[[#This Row],[Nilai Kepentingan Dimensi Tarif/ Biaya]]-data[[#This Row],[Nilai Kepuasan Dimensi Tarif / Biaya]]</f>
        <v>0</v>
      </c>
      <c r="AA398" s="1">
        <v>4</v>
      </c>
      <c r="AB398" s="1">
        <v>4</v>
      </c>
      <c r="AC398" s="1">
        <f>data[[#This Row],[Nilai Kepentingan Dimensi Produk Spesifikasi Jenis Layanan]]-data[[#This Row],[Nilai Kepuasan Dimensi Produk Spesifikasi Jenis Layanan]]</f>
        <v>0</v>
      </c>
      <c r="AD398" s="1">
        <v>4</v>
      </c>
      <c r="AE398" s="1">
        <v>4</v>
      </c>
      <c r="AF398" s="1">
        <f>data[[#This Row],[Nilai Kepentingan Dimensi Kompetensi Pelaksana]]-data[[#This Row],[Nilai Kepuasan Dimensi Kompetensi Pelaksana]]</f>
        <v>0</v>
      </c>
      <c r="AG398" s="1">
        <v>4</v>
      </c>
      <c r="AH398" s="1">
        <v>4</v>
      </c>
      <c r="AI398" s="1">
        <f>data[[#This Row],[Nilai Kepentingan Dimensi Perilaku Pelaksana]]-data[[#This Row],[Nilai Kepuasan Dimensi Perilaku Pelaksana]]</f>
        <v>0</v>
      </c>
      <c r="AJ398" s="1">
        <v>4</v>
      </c>
      <c r="AK398" s="1">
        <v>4</v>
      </c>
      <c r="AL398" s="1">
        <f>data[[#This Row],[Nilai Kepentingan Dimensi Penanganan Pengaduan, Saran &amp; Masukan]]-data[[#This Row],[Nilai Kepuasan Dimensi Penanganan Pengaduan, Saran &amp; Masukan]]</f>
        <v>0</v>
      </c>
      <c r="AM398" s="1">
        <v>4</v>
      </c>
      <c r="AN398" s="1">
        <v>4</v>
      </c>
      <c r="AO398" s="1">
        <f>data[[#This Row],[Nilai Kepentingan Dimensi Kualitas Sarana dan Prasarana]]-data[[#This Row],[Nilai Kepuasan Dimensi Kualitas Sarana dan Prasarana]]</f>
        <v>0</v>
      </c>
      <c r="AP398" s="1">
        <v>0</v>
      </c>
      <c r="AQ398" s="1" t="s">
        <v>75</v>
      </c>
      <c r="AR398" s="1">
        <v>0</v>
      </c>
      <c r="AS398" s="1" t="s">
        <v>69</v>
      </c>
      <c r="AT398" s="1">
        <v>4</v>
      </c>
      <c r="AU398" s="1" t="s">
        <v>69</v>
      </c>
      <c r="AV398" s="1" t="s">
        <v>83</v>
      </c>
      <c r="AW398" s="1" t="s">
        <v>96</v>
      </c>
      <c r="AX398" s="1">
        <v>0</v>
      </c>
      <c r="AY398" s="1">
        <v>0</v>
      </c>
      <c r="AZ398" s="1" t="s">
        <v>442</v>
      </c>
      <c r="BA398" s="1" t="s">
        <v>79</v>
      </c>
      <c r="BB398" s="1" t="s">
        <v>442</v>
      </c>
      <c r="BC398" s="1" t="s">
        <v>79</v>
      </c>
      <c r="BD398" s="1" t="s">
        <v>442</v>
      </c>
      <c r="BE398" s="1" t="s">
        <v>79</v>
      </c>
      <c r="BF398" s="5"/>
    </row>
    <row r="399" spans="1:58" x14ac:dyDescent="0.35">
      <c r="A399" s="4">
        <v>398</v>
      </c>
      <c r="B399" s="1" t="s">
        <v>2386</v>
      </c>
      <c r="C399" s="1" t="s">
        <v>352</v>
      </c>
      <c r="D399" s="1" t="s">
        <v>1409</v>
      </c>
      <c r="E399" s="1" t="s">
        <v>69</v>
      </c>
      <c r="F399" s="1" t="s">
        <v>69</v>
      </c>
      <c r="G399" s="1" t="s">
        <v>69</v>
      </c>
      <c r="H399" s="1" t="s">
        <v>69</v>
      </c>
      <c r="I399" s="1" t="s">
        <v>106</v>
      </c>
      <c r="J399" s="1" t="s">
        <v>1168</v>
      </c>
      <c r="K399" s="1">
        <v>33</v>
      </c>
      <c r="L399" s="1" t="s">
        <v>109</v>
      </c>
      <c r="M399" s="1" t="s">
        <v>73</v>
      </c>
      <c r="N399" s="1" t="s">
        <v>110</v>
      </c>
      <c r="O399" s="1">
        <v>4</v>
      </c>
      <c r="P399" s="1">
        <v>3</v>
      </c>
      <c r="Q399" s="1">
        <f>data[[#This Row],[Nilai Kepentingan Dimensi Persyaratan]]-data[[#This Row],[Nilai Kepuasan Dimensi Persyaratan]]</f>
        <v>-1</v>
      </c>
      <c r="R399" s="1">
        <v>3</v>
      </c>
      <c r="S399" s="1">
        <v>4</v>
      </c>
      <c r="T399" s="1">
        <f>data[[#This Row],[Nilai Kepentingan Dimensi Prosedur]]-data[[#This Row],[Nilai Kepuasan Dimensi Prosedur]]</f>
        <v>1</v>
      </c>
      <c r="U399" s="1">
        <v>2</v>
      </c>
      <c r="V399" s="1">
        <v>3</v>
      </c>
      <c r="W399" s="1">
        <f>data[[#This Row],[Nilai Kepentingan Dimensi Waktu Pelayanan/Penyelesaian]]-data[[#This Row],[Nilai Kepuasan Dimensi Waktu Pelayanan/Penyelesaian]]</f>
        <v>1</v>
      </c>
      <c r="X399" s="1">
        <v>0</v>
      </c>
      <c r="Y399" s="1">
        <v>0</v>
      </c>
      <c r="Z399" s="1">
        <f>data[[#This Row],[Nilai Kepentingan Dimensi Tarif/ Biaya]]-data[[#This Row],[Nilai Kepuasan Dimensi Tarif / Biaya]]</f>
        <v>0</v>
      </c>
      <c r="AA399" s="1">
        <v>3</v>
      </c>
      <c r="AB399" s="1">
        <v>3</v>
      </c>
      <c r="AC399" s="1">
        <f>data[[#This Row],[Nilai Kepentingan Dimensi Produk Spesifikasi Jenis Layanan]]-data[[#This Row],[Nilai Kepuasan Dimensi Produk Spesifikasi Jenis Layanan]]</f>
        <v>0</v>
      </c>
      <c r="AD399" s="1">
        <v>3</v>
      </c>
      <c r="AE399" s="1">
        <v>4</v>
      </c>
      <c r="AF399" s="1">
        <f>data[[#This Row],[Nilai Kepentingan Dimensi Kompetensi Pelaksana]]-data[[#This Row],[Nilai Kepuasan Dimensi Kompetensi Pelaksana]]</f>
        <v>1</v>
      </c>
      <c r="AG399" s="1">
        <v>4</v>
      </c>
      <c r="AH399" s="1">
        <v>4</v>
      </c>
      <c r="AI399" s="1">
        <f>data[[#This Row],[Nilai Kepentingan Dimensi Perilaku Pelaksana]]-data[[#This Row],[Nilai Kepuasan Dimensi Perilaku Pelaksana]]</f>
        <v>0</v>
      </c>
      <c r="AJ399" s="1">
        <v>3</v>
      </c>
      <c r="AK399" s="1">
        <v>3</v>
      </c>
      <c r="AL399" s="1">
        <f>data[[#This Row],[Nilai Kepentingan Dimensi Penanganan Pengaduan, Saran &amp; Masukan]]-data[[#This Row],[Nilai Kepuasan Dimensi Penanganan Pengaduan, Saran &amp; Masukan]]</f>
        <v>0</v>
      </c>
      <c r="AM399" s="1">
        <v>4</v>
      </c>
      <c r="AN399" s="1">
        <v>4</v>
      </c>
      <c r="AO399" s="1">
        <f>data[[#This Row],[Nilai Kepentingan Dimensi Kualitas Sarana dan Prasarana]]-data[[#This Row],[Nilai Kepuasan Dimensi Kualitas Sarana dan Prasarana]]</f>
        <v>0</v>
      </c>
      <c r="AP399" s="1">
        <v>4</v>
      </c>
      <c r="AQ399" s="1" t="s">
        <v>69</v>
      </c>
      <c r="AR399" s="1">
        <v>0</v>
      </c>
      <c r="AS399" s="1" t="s">
        <v>69</v>
      </c>
      <c r="AT399" s="1">
        <v>0</v>
      </c>
      <c r="AU399" s="1" t="s">
        <v>69</v>
      </c>
      <c r="AV399" s="1" t="s">
        <v>83</v>
      </c>
      <c r="AW399" s="1" t="s">
        <v>96</v>
      </c>
      <c r="AX399" s="1">
        <v>0</v>
      </c>
      <c r="AY399" s="1">
        <v>0</v>
      </c>
      <c r="AZ399" s="1" t="s">
        <v>2069</v>
      </c>
      <c r="BA399" s="1" t="s">
        <v>99</v>
      </c>
      <c r="BB399" s="1" t="s">
        <v>2391</v>
      </c>
      <c r="BC399" s="1" t="s">
        <v>157</v>
      </c>
      <c r="BD399" s="1" t="s">
        <v>2069</v>
      </c>
      <c r="BE399" s="1" t="s">
        <v>99</v>
      </c>
      <c r="BF399" s="5"/>
    </row>
    <row r="400" spans="1:58" x14ac:dyDescent="0.35">
      <c r="A400" s="4">
        <v>399</v>
      </c>
      <c r="B400" s="1" t="s">
        <v>2392</v>
      </c>
      <c r="C400" s="1" t="s">
        <v>63</v>
      </c>
      <c r="D400" s="1" t="s">
        <v>63</v>
      </c>
      <c r="E400" s="1" t="s">
        <v>69</v>
      </c>
      <c r="F400" s="1" t="s">
        <v>69</v>
      </c>
      <c r="G400" s="1" t="s">
        <v>69</v>
      </c>
      <c r="H400" s="1" t="s">
        <v>69</v>
      </c>
      <c r="I400" s="1" t="s">
        <v>106</v>
      </c>
      <c r="J400" s="1" t="s">
        <v>1180</v>
      </c>
      <c r="K400" s="1">
        <v>23</v>
      </c>
      <c r="L400" s="1" t="s">
        <v>72</v>
      </c>
      <c r="M400" s="1" t="s">
        <v>73</v>
      </c>
      <c r="N400" s="1" t="s">
        <v>74</v>
      </c>
      <c r="O400" s="1">
        <v>3</v>
      </c>
      <c r="P400" s="1">
        <v>4</v>
      </c>
      <c r="Q400" s="1">
        <f>data[[#This Row],[Nilai Kepentingan Dimensi Persyaratan]]-data[[#This Row],[Nilai Kepuasan Dimensi Persyaratan]]</f>
        <v>1</v>
      </c>
      <c r="R400" s="1">
        <v>4</v>
      </c>
      <c r="S400" s="1">
        <v>4</v>
      </c>
      <c r="T400" s="1">
        <f>data[[#This Row],[Nilai Kepentingan Dimensi Prosedur]]-data[[#This Row],[Nilai Kepuasan Dimensi Prosedur]]</f>
        <v>0</v>
      </c>
      <c r="U400" s="1">
        <v>4</v>
      </c>
      <c r="V400" s="1">
        <v>4</v>
      </c>
      <c r="W400" s="1">
        <f>data[[#This Row],[Nilai Kepentingan Dimensi Waktu Pelayanan/Penyelesaian]]-data[[#This Row],[Nilai Kepuasan Dimensi Waktu Pelayanan/Penyelesaian]]</f>
        <v>0</v>
      </c>
      <c r="X400" s="1">
        <v>0</v>
      </c>
      <c r="Y400" s="1">
        <v>0</v>
      </c>
      <c r="Z400" s="1">
        <f>data[[#This Row],[Nilai Kepentingan Dimensi Tarif/ Biaya]]-data[[#This Row],[Nilai Kepuasan Dimensi Tarif / Biaya]]</f>
        <v>0</v>
      </c>
      <c r="AA400" s="1">
        <v>3</v>
      </c>
      <c r="AB400" s="1">
        <v>3</v>
      </c>
      <c r="AC400" s="1">
        <f>data[[#This Row],[Nilai Kepentingan Dimensi Produk Spesifikasi Jenis Layanan]]-data[[#This Row],[Nilai Kepuasan Dimensi Produk Spesifikasi Jenis Layanan]]</f>
        <v>0</v>
      </c>
      <c r="AD400" s="1">
        <v>4</v>
      </c>
      <c r="AE400" s="1">
        <v>4</v>
      </c>
      <c r="AF400" s="1">
        <f>data[[#This Row],[Nilai Kepentingan Dimensi Kompetensi Pelaksana]]-data[[#This Row],[Nilai Kepuasan Dimensi Kompetensi Pelaksana]]</f>
        <v>0</v>
      </c>
      <c r="AG400" s="1">
        <v>4</v>
      </c>
      <c r="AH400" s="1">
        <v>4</v>
      </c>
      <c r="AI400" s="1">
        <f>data[[#This Row],[Nilai Kepentingan Dimensi Perilaku Pelaksana]]-data[[#This Row],[Nilai Kepuasan Dimensi Perilaku Pelaksana]]</f>
        <v>0</v>
      </c>
      <c r="AJ400" s="1">
        <v>4</v>
      </c>
      <c r="AK400" s="1">
        <v>4</v>
      </c>
      <c r="AL400" s="1">
        <f>data[[#This Row],[Nilai Kepentingan Dimensi Penanganan Pengaduan, Saran &amp; Masukan]]-data[[#This Row],[Nilai Kepuasan Dimensi Penanganan Pengaduan, Saran &amp; Masukan]]</f>
        <v>0</v>
      </c>
      <c r="AM400" s="1">
        <v>4</v>
      </c>
      <c r="AN400" s="1">
        <v>4</v>
      </c>
      <c r="AO400" s="1">
        <f>data[[#This Row],[Nilai Kepentingan Dimensi Kualitas Sarana dan Prasarana]]-data[[#This Row],[Nilai Kepuasan Dimensi Kualitas Sarana dan Prasarana]]</f>
        <v>0</v>
      </c>
      <c r="AP400" s="1">
        <v>0</v>
      </c>
      <c r="AQ400" s="1" t="s">
        <v>69</v>
      </c>
      <c r="AR400" s="1">
        <v>0</v>
      </c>
      <c r="AS400" s="1" t="s">
        <v>69</v>
      </c>
      <c r="AT400" s="1">
        <v>4</v>
      </c>
      <c r="AU400" s="1" t="s">
        <v>69</v>
      </c>
      <c r="AV400" s="1" t="s">
        <v>83</v>
      </c>
      <c r="AW400" s="1" t="s">
        <v>96</v>
      </c>
      <c r="AX400" s="1">
        <v>0</v>
      </c>
      <c r="AY400" s="1">
        <v>0</v>
      </c>
      <c r="AZ400" s="1" t="s">
        <v>2069</v>
      </c>
      <c r="BA400" s="1" t="s">
        <v>99</v>
      </c>
      <c r="BB400" s="1" t="s">
        <v>2069</v>
      </c>
      <c r="BC400" s="1" t="s">
        <v>99</v>
      </c>
      <c r="BD400" s="1" t="s">
        <v>2069</v>
      </c>
      <c r="BE400" s="1" t="s">
        <v>99</v>
      </c>
      <c r="BF400" s="5"/>
    </row>
    <row r="401" spans="1:58" x14ac:dyDescent="0.35">
      <c r="A401" s="4">
        <v>400</v>
      </c>
      <c r="B401" s="1" t="s">
        <v>2396</v>
      </c>
      <c r="C401" s="1" t="s">
        <v>63</v>
      </c>
      <c r="D401" s="1" t="s">
        <v>63</v>
      </c>
      <c r="E401" s="1" t="s">
        <v>69</v>
      </c>
      <c r="F401" s="1" t="s">
        <v>69</v>
      </c>
      <c r="G401" s="1" t="s">
        <v>69</v>
      </c>
      <c r="H401" s="1" t="s">
        <v>69</v>
      </c>
      <c r="I401" s="1" t="s">
        <v>106</v>
      </c>
      <c r="J401" s="1" t="s">
        <v>1180</v>
      </c>
      <c r="K401" s="1">
        <v>31</v>
      </c>
      <c r="L401" s="1" t="s">
        <v>109</v>
      </c>
      <c r="M401" s="1" t="s">
        <v>73</v>
      </c>
      <c r="N401" s="1" t="s">
        <v>74</v>
      </c>
      <c r="O401" s="1">
        <v>4</v>
      </c>
      <c r="P401" s="1">
        <v>4</v>
      </c>
      <c r="Q401" s="1">
        <f>data[[#This Row],[Nilai Kepentingan Dimensi Persyaratan]]-data[[#This Row],[Nilai Kepuasan Dimensi Persyaratan]]</f>
        <v>0</v>
      </c>
      <c r="R401" s="1">
        <v>4</v>
      </c>
      <c r="S401" s="1">
        <v>4</v>
      </c>
      <c r="T401" s="1">
        <f>data[[#This Row],[Nilai Kepentingan Dimensi Prosedur]]-data[[#This Row],[Nilai Kepuasan Dimensi Prosedur]]</f>
        <v>0</v>
      </c>
      <c r="U401" s="1">
        <v>4</v>
      </c>
      <c r="V401" s="1">
        <v>4</v>
      </c>
      <c r="W401" s="1">
        <f>data[[#This Row],[Nilai Kepentingan Dimensi Waktu Pelayanan/Penyelesaian]]-data[[#This Row],[Nilai Kepuasan Dimensi Waktu Pelayanan/Penyelesaian]]</f>
        <v>0</v>
      </c>
      <c r="X401" s="1">
        <v>0</v>
      </c>
      <c r="Y401" s="1">
        <v>0</v>
      </c>
      <c r="Z401" s="1">
        <f>data[[#This Row],[Nilai Kepentingan Dimensi Tarif/ Biaya]]-data[[#This Row],[Nilai Kepuasan Dimensi Tarif / Biaya]]</f>
        <v>0</v>
      </c>
      <c r="AA401" s="1">
        <v>4</v>
      </c>
      <c r="AB401" s="1">
        <v>4</v>
      </c>
      <c r="AC401" s="1">
        <f>data[[#This Row],[Nilai Kepentingan Dimensi Produk Spesifikasi Jenis Layanan]]-data[[#This Row],[Nilai Kepuasan Dimensi Produk Spesifikasi Jenis Layanan]]</f>
        <v>0</v>
      </c>
      <c r="AD401" s="1">
        <v>4</v>
      </c>
      <c r="AE401" s="1">
        <v>4</v>
      </c>
      <c r="AF401" s="1">
        <f>data[[#This Row],[Nilai Kepentingan Dimensi Kompetensi Pelaksana]]-data[[#This Row],[Nilai Kepuasan Dimensi Kompetensi Pelaksana]]</f>
        <v>0</v>
      </c>
      <c r="AG401" s="1">
        <v>4</v>
      </c>
      <c r="AH401" s="1">
        <v>4</v>
      </c>
      <c r="AI401" s="1">
        <f>data[[#This Row],[Nilai Kepentingan Dimensi Perilaku Pelaksana]]-data[[#This Row],[Nilai Kepuasan Dimensi Perilaku Pelaksana]]</f>
        <v>0</v>
      </c>
      <c r="AJ401" s="1">
        <v>4</v>
      </c>
      <c r="AK401" s="1">
        <v>4</v>
      </c>
      <c r="AL401" s="1">
        <f>data[[#This Row],[Nilai Kepentingan Dimensi Penanganan Pengaduan, Saran &amp; Masukan]]-data[[#This Row],[Nilai Kepuasan Dimensi Penanganan Pengaduan, Saran &amp; Masukan]]</f>
        <v>0</v>
      </c>
      <c r="AM401" s="1">
        <v>4</v>
      </c>
      <c r="AN401" s="1">
        <v>4</v>
      </c>
      <c r="AO401" s="1">
        <f>data[[#This Row],[Nilai Kepentingan Dimensi Kualitas Sarana dan Prasarana]]-data[[#This Row],[Nilai Kepuasan Dimensi Kualitas Sarana dan Prasarana]]</f>
        <v>0</v>
      </c>
      <c r="AP401" s="1">
        <v>0</v>
      </c>
      <c r="AQ401" s="1" t="s">
        <v>69</v>
      </c>
      <c r="AR401" s="1">
        <v>0</v>
      </c>
      <c r="AS401" s="1" t="s">
        <v>69</v>
      </c>
      <c r="AT401" s="1">
        <v>0</v>
      </c>
      <c r="AU401" s="1" t="s">
        <v>69</v>
      </c>
      <c r="AV401" s="1" t="s">
        <v>144</v>
      </c>
      <c r="AW401" s="1" t="s">
        <v>144</v>
      </c>
      <c r="AX401" s="1">
        <v>1</v>
      </c>
      <c r="AY401" s="1">
        <v>4</v>
      </c>
      <c r="AZ401" s="1" t="s">
        <v>2400</v>
      </c>
      <c r="BA401" s="1" t="s">
        <v>112</v>
      </c>
      <c r="BB401" s="1" t="s">
        <v>2401</v>
      </c>
      <c r="BC401" s="1" t="s">
        <v>112</v>
      </c>
      <c r="BD401" s="1" t="s">
        <v>442</v>
      </c>
      <c r="BE401" s="1" t="s">
        <v>79</v>
      </c>
      <c r="BF401" s="5"/>
    </row>
    <row r="402" spans="1:58" x14ac:dyDescent="0.35">
      <c r="A402" s="9">
        <v>401</v>
      </c>
      <c r="B402" s="10" t="s">
        <v>2402</v>
      </c>
      <c r="C402" s="10" t="s">
        <v>63</v>
      </c>
      <c r="D402" s="10" t="s">
        <v>240</v>
      </c>
      <c r="E402" s="10" t="s">
        <v>69</v>
      </c>
      <c r="F402" s="10" t="s">
        <v>69</v>
      </c>
      <c r="G402" s="10" t="s">
        <v>69</v>
      </c>
      <c r="H402" s="10" t="s">
        <v>69</v>
      </c>
      <c r="I402" s="10" t="s">
        <v>106</v>
      </c>
      <c r="J402" s="10" t="s">
        <v>1180</v>
      </c>
      <c r="K402" s="10">
        <v>38</v>
      </c>
      <c r="L402" s="10" t="s">
        <v>153</v>
      </c>
      <c r="M402" s="10" t="s">
        <v>73</v>
      </c>
      <c r="N402" s="10" t="s">
        <v>74</v>
      </c>
      <c r="O402" s="10">
        <v>4</v>
      </c>
      <c r="P402" s="10">
        <v>4</v>
      </c>
      <c r="Q402" s="10">
        <f>data[[#This Row],[Nilai Kepentingan Dimensi Persyaratan]]-data[[#This Row],[Nilai Kepuasan Dimensi Persyaratan]]</f>
        <v>0</v>
      </c>
      <c r="R402" s="10">
        <v>4</v>
      </c>
      <c r="S402" s="10">
        <v>4</v>
      </c>
      <c r="T402" s="10">
        <f>data[[#This Row],[Nilai Kepentingan Dimensi Prosedur]]-data[[#This Row],[Nilai Kepuasan Dimensi Prosedur]]</f>
        <v>0</v>
      </c>
      <c r="U402" s="10">
        <v>4</v>
      </c>
      <c r="V402" s="10">
        <v>4</v>
      </c>
      <c r="W402" s="10">
        <f>data[[#This Row],[Nilai Kepentingan Dimensi Waktu Pelayanan/Penyelesaian]]-data[[#This Row],[Nilai Kepuasan Dimensi Waktu Pelayanan/Penyelesaian]]</f>
        <v>0</v>
      </c>
      <c r="X402" s="10">
        <v>0</v>
      </c>
      <c r="Y402" s="10">
        <v>0</v>
      </c>
      <c r="Z402" s="10">
        <f>data[[#This Row],[Nilai Kepentingan Dimensi Tarif/ Biaya]]-data[[#This Row],[Nilai Kepuasan Dimensi Tarif / Biaya]]</f>
        <v>0</v>
      </c>
      <c r="AA402" s="10">
        <v>4</v>
      </c>
      <c r="AB402" s="10">
        <v>4</v>
      </c>
      <c r="AC402" s="10">
        <f>data[[#This Row],[Nilai Kepentingan Dimensi Produk Spesifikasi Jenis Layanan]]-data[[#This Row],[Nilai Kepuasan Dimensi Produk Spesifikasi Jenis Layanan]]</f>
        <v>0</v>
      </c>
      <c r="AD402" s="10">
        <v>4</v>
      </c>
      <c r="AE402" s="10">
        <v>4</v>
      </c>
      <c r="AF402" s="10">
        <f>data[[#This Row],[Nilai Kepentingan Dimensi Kompetensi Pelaksana]]-data[[#This Row],[Nilai Kepuasan Dimensi Kompetensi Pelaksana]]</f>
        <v>0</v>
      </c>
      <c r="AG402" s="10">
        <v>4</v>
      </c>
      <c r="AH402" s="10">
        <v>4</v>
      </c>
      <c r="AI402" s="10">
        <f>data[[#This Row],[Nilai Kepentingan Dimensi Perilaku Pelaksana]]-data[[#This Row],[Nilai Kepuasan Dimensi Perilaku Pelaksana]]</f>
        <v>0</v>
      </c>
      <c r="AJ402" s="10">
        <v>4</v>
      </c>
      <c r="AK402" s="10">
        <v>4</v>
      </c>
      <c r="AL402" s="10">
        <f>data[[#This Row],[Nilai Kepentingan Dimensi Penanganan Pengaduan, Saran &amp; Masukan]]-data[[#This Row],[Nilai Kepuasan Dimensi Penanganan Pengaduan, Saran &amp; Masukan]]</f>
        <v>0</v>
      </c>
      <c r="AM402" s="10">
        <v>4</v>
      </c>
      <c r="AN402" s="10">
        <v>4</v>
      </c>
      <c r="AO402" s="10">
        <f>data[[#This Row],[Nilai Kepentingan Dimensi Kualitas Sarana dan Prasarana]]-data[[#This Row],[Nilai Kepuasan Dimensi Kualitas Sarana dan Prasarana]]</f>
        <v>0</v>
      </c>
      <c r="AP402" s="10">
        <v>4</v>
      </c>
      <c r="AQ402" s="10" t="s">
        <v>69</v>
      </c>
      <c r="AR402" s="10">
        <v>0</v>
      </c>
      <c r="AS402" s="10" t="s">
        <v>75</v>
      </c>
      <c r="AT402" s="10">
        <v>0</v>
      </c>
      <c r="AU402" s="10" t="s">
        <v>69</v>
      </c>
      <c r="AV402" s="10" t="s">
        <v>83</v>
      </c>
      <c r="AW402" s="10" t="s">
        <v>96</v>
      </c>
      <c r="AX402" s="10">
        <v>0</v>
      </c>
      <c r="AY402" s="10">
        <v>0</v>
      </c>
      <c r="AZ402" s="10" t="s">
        <v>2069</v>
      </c>
      <c r="BA402" s="10" t="s">
        <v>99</v>
      </c>
      <c r="BB402" s="10" t="s">
        <v>2069</v>
      </c>
      <c r="BC402" s="10" t="s">
        <v>99</v>
      </c>
      <c r="BD402" s="10" t="s">
        <v>2069</v>
      </c>
      <c r="BE402" s="10" t="s">
        <v>99</v>
      </c>
      <c r="BF402"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5365-3206-4038-BBB4-8FC4A92A3C9C}">
  <dimension ref="A2:O191"/>
  <sheetViews>
    <sheetView topLeftCell="B58" zoomScale="87" workbookViewId="0">
      <selection activeCell="AE4" sqref="AE4"/>
    </sheetView>
  </sheetViews>
  <sheetFormatPr defaultRowHeight="14.5" x14ac:dyDescent="0.35"/>
  <cols>
    <col min="1" max="1" width="30.36328125" bestFit="1" customWidth="1"/>
    <col min="2" max="2" width="63.54296875" bestFit="1" customWidth="1"/>
    <col min="3" max="3" width="10.1796875" bestFit="1" customWidth="1"/>
    <col min="4" max="4" width="15.90625" bestFit="1" customWidth="1"/>
    <col min="5" max="5" width="20.7265625" bestFit="1" customWidth="1"/>
    <col min="6" max="6" width="14.08984375" bestFit="1" customWidth="1"/>
    <col min="7" max="7" width="24.54296875" bestFit="1" customWidth="1"/>
    <col min="8" max="8" width="25.1796875" bestFit="1" customWidth="1"/>
    <col min="9" max="9" width="60.26953125" bestFit="1" customWidth="1"/>
    <col min="10" max="10" width="43.26953125" bestFit="1" customWidth="1"/>
    <col min="11" max="11" width="61.36328125" bestFit="1" customWidth="1"/>
    <col min="12" max="12" width="52.7265625" bestFit="1" customWidth="1"/>
    <col min="13" max="13" width="49.54296875" bestFit="1" customWidth="1"/>
    <col min="14" max="14" width="69.36328125" bestFit="1" customWidth="1"/>
    <col min="15" max="15" width="59.1796875" bestFit="1" customWidth="1"/>
  </cols>
  <sheetData>
    <row r="2" spans="1:12" x14ac:dyDescent="0.35">
      <c r="A2" t="s">
        <v>2542</v>
      </c>
      <c r="D2" t="s">
        <v>2555</v>
      </c>
      <c r="G2" t="s">
        <v>2545</v>
      </c>
    </row>
    <row r="3" spans="1:12" x14ac:dyDescent="0.35">
      <c r="A3" s="12" t="s">
        <v>2548</v>
      </c>
      <c r="B3" t="s">
        <v>2550</v>
      </c>
      <c r="D3" s="12" t="s">
        <v>2548</v>
      </c>
      <c r="E3" t="s">
        <v>2556</v>
      </c>
      <c r="G3" s="12" t="s">
        <v>2548</v>
      </c>
      <c r="H3" t="s">
        <v>2563</v>
      </c>
      <c r="J3" s="15" t="s">
        <v>2545</v>
      </c>
      <c r="K3" s="15" t="s">
        <v>2559</v>
      </c>
      <c r="L3" s="15" t="s">
        <v>2558</v>
      </c>
    </row>
    <row r="4" spans="1:12" x14ac:dyDescent="0.35">
      <c r="A4" s="13" t="s">
        <v>106</v>
      </c>
      <c r="B4" s="18">
        <v>2</v>
      </c>
      <c r="D4" s="13" t="s">
        <v>92</v>
      </c>
      <c r="E4" s="18">
        <v>1</v>
      </c>
      <c r="G4" s="13" t="s">
        <v>154</v>
      </c>
      <c r="H4" s="18">
        <v>2</v>
      </c>
      <c r="J4" t="s">
        <v>133</v>
      </c>
      <c r="K4" t="e">
        <f>GETPIVOTDATA("Koding Pekerjaan",$G$3,"Koding Pekerjaan","Belum bekerja")</f>
        <v>#REF!</v>
      </c>
      <c r="L4" s="14" t="e">
        <f>K4/$K$17</f>
        <v>#REF!</v>
      </c>
    </row>
    <row r="5" spans="1:12" x14ac:dyDescent="0.35">
      <c r="A5" s="13" t="s">
        <v>70</v>
      </c>
      <c r="B5" s="18">
        <v>4</v>
      </c>
      <c r="D5" s="13" t="s">
        <v>153</v>
      </c>
      <c r="E5" s="18">
        <v>4</v>
      </c>
      <c r="G5" s="13" t="s">
        <v>74</v>
      </c>
      <c r="H5" s="18">
        <v>1</v>
      </c>
      <c r="J5" t="s">
        <v>1806</v>
      </c>
      <c r="K5" t="e">
        <f>GETPIVOTDATA("Koding Pekerjaan",$G$3,"Koding Pekerjaan","Entetainer")</f>
        <v>#REF!</v>
      </c>
      <c r="L5" s="14" t="e">
        <f t="shared" ref="L5:L16" si="0">K5/$K$17</f>
        <v>#REF!</v>
      </c>
    </row>
    <row r="6" spans="1:12" x14ac:dyDescent="0.35">
      <c r="A6" s="13" t="s">
        <v>2549</v>
      </c>
      <c r="B6" s="18">
        <v>6</v>
      </c>
      <c r="D6" s="13" t="s">
        <v>197</v>
      </c>
      <c r="E6" s="18">
        <v>1</v>
      </c>
      <c r="G6" s="13" t="s">
        <v>110</v>
      </c>
      <c r="H6" s="18">
        <v>3</v>
      </c>
      <c r="J6" t="s">
        <v>246</v>
      </c>
      <c r="K6" t="e">
        <f>GETPIVOTDATA("Koding Pekerjaan",$G$3,"Koding Pekerjaan","Freelance")</f>
        <v>#REF!</v>
      </c>
      <c r="L6" s="14" t="e">
        <f t="shared" si="0"/>
        <v>#REF!</v>
      </c>
    </row>
    <row r="7" spans="1:12" x14ac:dyDescent="0.35">
      <c r="D7" s="13" t="s">
        <v>2549</v>
      </c>
      <c r="E7" s="18">
        <v>6</v>
      </c>
      <c r="G7" s="13" t="s">
        <v>2549</v>
      </c>
      <c r="H7" s="18">
        <v>6</v>
      </c>
      <c r="J7" t="s">
        <v>143</v>
      </c>
      <c r="K7" t="e">
        <f>GETPIVOTDATA("Koding Pekerjaan",$G$3,"Koding Pekerjaan","Guru/Dosen")</f>
        <v>#REF!</v>
      </c>
      <c r="L7" s="14" t="e">
        <f t="shared" si="0"/>
        <v>#REF!</v>
      </c>
    </row>
    <row r="8" spans="1:12" x14ac:dyDescent="0.35">
      <c r="A8" s="13" t="s">
        <v>2551</v>
      </c>
      <c r="J8" t="s">
        <v>232</v>
      </c>
      <c r="K8" t="e">
        <f>GETPIVOTDATA("Koding Pekerjaan",$G$3,"Koding Pekerjaan","Ibu Rumah Tangga")</f>
        <v>#REF!</v>
      </c>
      <c r="L8" s="14" t="e">
        <f t="shared" si="0"/>
        <v>#REF!</v>
      </c>
    </row>
    <row r="9" spans="1:12" x14ac:dyDescent="0.35">
      <c r="A9" s="12" t="s">
        <v>2548</v>
      </c>
      <c r="B9" t="s">
        <v>2552</v>
      </c>
      <c r="J9" t="s">
        <v>413</v>
      </c>
      <c r="K9" t="e">
        <f>GETPIVOTDATA("Koding Pekerjaan",$G$3,"Koding Pekerjaan","Kesehatan")</f>
        <v>#REF!</v>
      </c>
      <c r="L9" s="14" t="e">
        <f t="shared" si="0"/>
        <v>#REF!</v>
      </c>
    </row>
    <row r="10" spans="1:12" x14ac:dyDescent="0.35">
      <c r="A10" s="13" t="s">
        <v>271</v>
      </c>
      <c r="B10" s="18">
        <v>3</v>
      </c>
      <c r="J10" t="s">
        <v>95</v>
      </c>
      <c r="K10" t="e">
        <f>GETPIVOTDATA("Koding Pekerjaan",$G$3,"Koding Pekerjaan","Mahasiswa/Pelajar")</f>
        <v>#REF!</v>
      </c>
      <c r="L10" s="14" t="e">
        <f t="shared" si="0"/>
        <v>#REF!</v>
      </c>
    </row>
    <row r="11" spans="1:12" x14ac:dyDescent="0.35">
      <c r="A11" s="13" t="s">
        <v>292</v>
      </c>
      <c r="B11" s="18">
        <v>1</v>
      </c>
      <c r="J11" t="s">
        <v>154</v>
      </c>
      <c r="K11">
        <f>GETPIVOTDATA("Koding Pekerjaan",$G$3,"Koding Pekerjaan","Pegawai Pemerintahan (PNS)")</f>
        <v>2</v>
      </c>
      <c r="L11" s="14">
        <f t="shared" si="0"/>
        <v>0.33333333333333331</v>
      </c>
    </row>
    <row r="12" spans="1:12" x14ac:dyDescent="0.35">
      <c r="A12" s="13" t="s">
        <v>1168</v>
      </c>
      <c r="B12" s="18">
        <v>6</v>
      </c>
      <c r="J12" t="s">
        <v>74</v>
      </c>
      <c r="K12">
        <f>GETPIVOTDATA("Koding Pekerjaan",$G$3,"Koding Pekerjaan","Pegawai/karyawan swasta")</f>
        <v>1</v>
      </c>
      <c r="L12" s="14">
        <f t="shared" si="0"/>
        <v>0.16666666666666666</v>
      </c>
    </row>
    <row r="13" spans="1:12" x14ac:dyDescent="0.35">
      <c r="A13" s="13" t="s">
        <v>1180</v>
      </c>
      <c r="B13" s="18">
        <v>2</v>
      </c>
      <c r="J13" t="s">
        <v>184</v>
      </c>
      <c r="K13" t="e">
        <f>GETPIVOTDATA("Koding Pekerjaan",$G$3,"Koding Pekerjaan","Pensiunan")</f>
        <v>#REF!</v>
      </c>
      <c r="L13" s="14" t="e">
        <f t="shared" si="0"/>
        <v>#REF!</v>
      </c>
    </row>
    <row r="14" spans="1:12" x14ac:dyDescent="0.35">
      <c r="A14" s="13" t="s">
        <v>71</v>
      </c>
      <c r="B14" s="18">
        <v>4</v>
      </c>
      <c r="J14" t="s">
        <v>274</v>
      </c>
      <c r="K14" t="e">
        <f>GETPIVOTDATA("Koding Pekerjaan",$G$3,"Koding Pekerjaan","Supir")</f>
        <v>#REF!</v>
      </c>
      <c r="L14" s="14" t="e">
        <f t="shared" si="0"/>
        <v>#REF!</v>
      </c>
    </row>
    <row r="15" spans="1:12" x14ac:dyDescent="0.35">
      <c r="A15" s="13" t="s">
        <v>107</v>
      </c>
      <c r="B15" s="18">
        <v>8</v>
      </c>
      <c r="J15" t="s">
        <v>1853</v>
      </c>
      <c r="K15" t="e">
        <f>GETPIVOTDATA("Koding Pekerjaan",$G$3,"Koding Pekerjaan","TNI")</f>
        <v>#REF!</v>
      </c>
      <c r="L15" s="14" t="e">
        <f t="shared" si="0"/>
        <v>#REF!</v>
      </c>
    </row>
    <row r="16" spans="1:12" x14ac:dyDescent="0.35">
      <c r="A16" s="13" t="s">
        <v>2549</v>
      </c>
      <c r="B16" s="18">
        <v>24</v>
      </c>
      <c r="J16" t="s">
        <v>110</v>
      </c>
      <c r="K16">
        <f>GETPIVOTDATA("Koding Pekerjaan",$G$3,"Koding Pekerjaan","Wiraswasta/pengusaha")</f>
        <v>3</v>
      </c>
      <c r="L16" s="14">
        <f t="shared" si="0"/>
        <v>0.5</v>
      </c>
    </row>
    <row r="17" spans="1:15" x14ac:dyDescent="0.35">
      <c r="J17" s="15" t="s">
        <v>2549</v>
      </c>
      <c r="K17">
        <f>GETPIVOTDATA("Koding Pekerjaan",$G$3)</f>
        <v>6</v>
      </c>
    </row>
    <row r="18" spans="1:15" x14ac:dyDescent="0.35">
      <c r="A18" s="13" t="s">
        <v>2554</v>
      </c>
    </row>
    <row r="19" spans="1:15" x14ac:dyDescent="0.35">
      <c r="A19" s="12" t="s">
        <v>2548</v>
      </c>
      <c r="B19" t="s">
        <v>2553</v>
      </c>
      <c r="D19" s="15" t="s">
        <v>2554</v>
      </c>
      <c r="E19" s="15" t="s">
        <v>2559</v>
      </c>
      <c r="F19" s="15" t="s">
        <v>2558</v>
      </c>
    </row>
    <row r="20" spans="1:15" x14ac:dyDescent="0.35">
      <c r="A20" s="13" t="s">
        <v>254</v>
      </c>
      <c r="B20" s="18">
        <v>6</v>
      </c>
      <c r="D20" t="s">
        <v>2557</v>
      </c>
      <c r="E20">
        <f>GETPIVOTDATA("Pendidikan Terakhir ",$A$19,"Pendidikan Terakhir ","Diploma (D1–D3) / Akademi")</f>
        <v>6</v>
      </c>
      <c r="F20" s="14">
        <f>E20/$E$25</f>
        <v>0.06</v>
      </c>
    </row>
    <row r="21" spans="1:15" x14ac:dyDescent="0.35">
      <c r="A21" s="13" t="s">
        <v>1343</v>
      </c>
      <c r="B21" s="18">
        <v>6</v>
      </c>
      <c r="D21" t="s">
        <v>1343</v>
      </c>
      <c r="E21">
        <f>GETPIVOTDATA("Pendidikan Terakhir ",$A$19,"Pendidikan Terakhir ","Pascasarjana (S2)")</f>
        <v>6</v>
      </c>
      <c r="F21" s="14">
        <f>E21/$E$25</f>
        <v>0.06</v>
      </c>
    </row>
    <row r="22" spans="1:15" x14ac:dyDescent="0.35">
      <c r="A22" s="13" t="s">
        <v>93</v>
      </c>
      <c r="B22" s="18">
        <v>35</v>
      </c>
      <c r="D22" t="s">
        <v>93</v>
      </c>
      <c r="E22">
        <f>GETPIVOTDATA("Pendidikan Terakhir ",$A$19,"Pendidikan Terakhir ","Sarjana (S1) / D4")</f>
        <v>35</v>
      </c>
      <c r="F22" s="14">
        <f t="shared" ref="F22:F24" si="1">E22/$E$25</f>
        <v>0.35</v>
      </c>
    </row>
    <row r="23" spans="1:15" x14ac:dyDescent="0.35">
      <c r="A23" s="13" t="s">
        <v>73</v>
      </c>
      <c r="B23" s="18">
        <v>41</v>
      </c>
      <c r="D23" t="s">
        <v>73</v>
      </c>
      <c r="E23">
        <f>GETPIVOTDATA("Pendidikan Terakhir ",$A$19,"Pendidikan Terakhir ","SMA")</f>
        <v>41</v>
      </c>
      <c r="F23" s="14">
        <f t="shared" si="1"/>
        <v>0.41</v>
      </c>
    </row>
    <row r="24" spans="1:15" x14ac:dyDescent="0.35">
      <c r="A24" s="13" t="s">
        <v>273</v>
      </c>
      <c r="B24" s="18">
        <v>12</v>
      </c>
      <c r="D24" t="s">
        <v>273</v>
      </c>
      <c r="E24">
        <f>GETPIVOTDATA("Pendidikan Terakhir ",$A$19,"Pendidikan Terakhir ","SMP")</f>
        <v>12</v>
      </c>
      <c r="F24" s="14">
        <f t="shared" si="1"/>
        <v>0.12</v>
      </c>
    </row>
    <row r="25" spans="1:15" x14ac:dyDescent="0.35">
      <c r="A25" s="13" t="s">
        <v>2549</v>
      </c>
      <c r="B25" s="18">
        <v>100</v>
      </c>
      <c r="D25" s="15" t="s">
        <v>2560</v>
      </c>
      <c r="E25">
        <f>GETPIVOTDATA("Pendidikan Terakhir ",$A$19)</f>
        <v>100</v>
      </c>
    </row>
    <row r="27" spans="1:15" x14ac:dyDescent="0.35">
      <c r="A27" s="13" t="s">
        <v>4</v>
      </c>
      <c r="D27" t="s">
        <v>5</v>
      </c>
    </row>
    <row r="28" spans="1:15" x14ac:dyDescent="0.35">
      <c r="A28" s="12" t="s">
        <v>2548</v>
      </c>
      <c r="B28" t="s">
        <v>2561</v>
      </c>
      <c r="D28" s="12" t="s">
        <v>2548</v>
      </c>
      <c r="E28" t="s">
        <v>2562</v>
      </c>
    </row>
    <row r="29" spans="1:15" x14ac:dyDescent="0.35">
      <c r="A29" s="13" t="s">
        <v>2116</v>
      </c>
      <c r="B29">
        <v>1</v>
      </c>
      <c r="D29" s="13" t="s">
        <v>757</v>
      </c>
      <c r="E29" s="18">
        <v>2</v>
      </c>
    </row>
    <row r="30" spans="1:15" x14ac:dyDescent="0.35">
      <c r="A30" s="13" t="s">
        <v>179</v>
      </c>
      <c r="B30">
        <v>2</v>
      </c>
      <c r="D30" s="13" t="s">
        <v>2127</v>
      </c>
      <c r="E30" s="18">
        <v>1</v>
      </c>
    </row>
    <row r="31" spans="1:15" x14ac:dyDescent="0.35">
      <c r="A31" s="13" t="s">
        <v>1954</v>
      </c>
      <c r="B31">
        <v>1</v>
      </c>
      <c r="D31" s="13" t="s">
        <v>63</v>
      </c>
      <c r="E31" s="18">
        <v>2</v>
      </c>
      <c r="G31" t="s">
        <v>2573</v>
      </c>
    </row>
    <row r="32" spans="1:15" x14ac:dyDescent="0.35">
      <c r="A32" s="13" t="s">
        <v>352</v>
      </c>
      <c r="B32">
        <v>4</v>
      </c>
      <c r="D32" s="13" t="s">
        <v>338</v>
      </c>
      <c r="E32" s="18">
        <v>1</v>
      </c>
      <c r="G32" t="s">
        <v>2574</v>
      </c>
      <c r="H32" t="s">
        <v>2575</v>
      </c>
      <c r="I32" t="s">
        <v>2576</v>
      </c>
      <c r="J32" t="s">
        <v>2577</v>
      </c>
      <c r="K32" t="s">
        <v>2578</v>
      </c>
      <c r="L32" t="s">
        <v>2579</v>
      </c>
      <c r="M32" t="s">
        <v>2580</v>
      </c>
      <c r="N32" t="s">
        <v>2581</v>
      </c>
      <c r="O32" t="s">
        <v>2582</v>
      </c>
    </row>
    <row r="33" spans="1:15" x14ac:dyDescent="0.35">
      <c r="A33" s="13" t="s">
        <v>2366</v>
      </c>
      <c r="B33">
        <v>1</v>
      </c>
      <c r="D33" s="13" t="s">
        <v>2549</v>
      </c>
      <c r="E33" s="18">
        <v>6</v>
      </c>
      <c r="G33" s="18">
        <v>3.8333333333333335</v>
      </c>
      <c r="H33" s="18">
        <v>3.6666666666666665</v>
      </c>
      <c r="I33" s="18">
        <v>3.5</v>
      </c>
      <c r="J33" s="18">
        <v>0</v>
      </c>
      <c r="K33" s="18">
        <v>3.6666666666666665</v>
      </c>
      <c r="L33" s="18">
        <v>3.6666666666666665</v>
      </c>
      <c r="M33" s="18">
        <v>3.8333333333333335</v>
      </c>
      <c r="N33" s="18">
        <v>3.8333333333333335</v>
      </c>
      <c r="O33" s="18">
        <v>3.3333333333333335</v>
      </c>
    </row>
    <row r="34" spans="1:15" x14ac:dyDescent="0.35">
      <c r="A34" s="13" t="s">
        <v>772</v>
      </c>
      <c r="B34">
        <v>6</v>
      </c>
    </row>
    <row r="35" spans="1:15" x14ac:dyDescent="0.35">
      <c r="A35" s="13" t="s">
        <v>1962</v>
      </c>
      <c r="B35">
        <v>1</v>
      </c>
    </row>
    <row r="36" spans="1:15" x14ac:dyDescent="0.35">
      <c r="A36" s="13" t="s">
        <v>466</v>
      </c>
      <c r="B36">
        <v>1</v>
      </c>
    </row>
    <row r="37" spans="1:15" x14ac:dyDescent="0.35">
      <c r="A37" s="13" t="s">
        <v>1621</v>
      </c>
      <c r="B37">
        <v>1</v>
      </c>
      <c r="G37" s="15" t="s">
        <v>2584</v>
      </c>
      <c r="H37" s="15" t="s">
        <v>2583</v>
      </c>
    </row>
    <row r="38" spans="1:15" x14ac:dyDescent="0.35">
      <c r="A38" s="13" t="s">
        <v>1468</v>
      </c>
      <c r="B38">
        <v>2</v>
      </c>
      <c r="G38" t="s">
        <v>2407</v>
      </c>
      <c r="H38">
        <v>3.4962593516209477</v>
      </c>
    </row>
    <row r="39" spans="1:15" x14ac:dyDescent="0.35">
      <c r="A39" s="13" t="s">
        <v>1723</v>
      </c>
      <c r="B39">
        <v>2</v>
      </c>
      <c r="G39" t="s">
        <v>2410</v>
      </c>
      <c r="H39">
        <v>3.5211970074812968</v>
      </c>
    </row>
    <row r="40" spans="1:15" x14ac:dyDescent="0.35">
      <c r="A40" s="13" t="s">
        <v>1030</v>
      </c>
      <c r="B40">
        <v>3</v>
      </c>
      <c r="G40" t="s">
        <v>2413</v>
      </c>
      <c r="H40">
        <v>3.4937655860349128</v>
      </c>
    </row>
    <row r="41" spans="1:15" x14ac:dyDescent="0.35">
      <c r="A41" s="13" t="s">
        <v>375</v>
      </c>
      <c r="B41">
        <v>2</v>
      </c>
      <c r="G41" t="s">
        <v>2585</v>
      </c>
      <c r="H41">
        <v>2.0922693266832919</v>
      </c>
    </row>
    <row r="42" spans="1:15" x14ac:dyDescent="0.35">
      <c r="A42" s="13" t="s">
        <v>1841</v>
      </c>
      <c r="B42">
        <v>3</v>
      </c>
      <c r="G42" t="s">
        <v>2419</v>
      </c>
      <c r="H42">
        <v>3.5985037406483791</v>
      </c>
    </row>
    <row r="43" spans="1:15" x14ac:dyDescent="0.35">
      <c r="A43" s="13" t="s">
        <v>267</v>
      </c>
      <c r="B43">
        <v>2</v>
      </c>
      <c r="G43" t="s">
        <v>2422</v>
      </c>
      <c r="H43">
        <v>3.6134663341645887</v>
      </c>
    </row>
    <row r="44" spans="1:15" x14ac:dyDescent="0.35">
      <c r="A44" s="13" t="s">
        <v>1588</v>
      </c>
      <c r="B44">
        <v>1</v>
      </c>
      <c r="G44" t="s">
        <v>2425</v>
      </c>
      <c r="H44">
        <v>3.6708229426433916</v>
      </c>
    </row>
    <row r="45" spans="1:15" x14ac:dyDescent="0.35">
      <c r="A45" s="13" t="s">
        <v>409</v>
      </c>
      <c r="B45">
        <v>1</v>
      </c>
      <c r="G45" t="s">
        <v>2428</v>
      </c>
      <c r="H45">
        <v>3.5660847880299253</v>
      </c>
    </row>
    <row r="46" spans="1:15" x14ac:dyDescent="0.35">
      <c r="A46" s="13" t="s">
        <v>1486</v>
      </c>
      <c r="B46">
        <v>4</v>
      </c>
      <c r="G46" t="s">
        <v>2431</v>
      </c>
      <c r="H46">
        <v>3.5486284289276808</v>
      </c>
    </row>
    <row r="47" spans="1:15" x14ac:dyDescent="0.35">
      <c r="A47" s="13" t="s">
        <v>63</v>
      </c>
      <c r="B47">
        <v>345</v>
      </c>
    </row>
    <row r="48" spans="1:15" x14ac:dyDescent="0.35">
      <c r="A48" s="13" t="s">
        <v>1883</v>
      </c>
      <c r="B48">
        <v>1</v>
      </c>
    </row>
    <row r="49" spans="1:13" x14ac:dyDescent="0.35">
      <c r="A49" s="13" t="s">
        <v>904</v>
      </c>
      <c r="B49">
        <v>11</v>
      </c>
      <c r="G49" s="15" t="s">
        <v>2586</v>
      </c>
      <c r="H49" s="15" t="s">
        <v>2583</v>
      </c>
    </row>
    <row r="50" spans="1:13" x14ac:dyDescent="0.35">
      <c r="A50" s="13" t="s">
        <v>2144</v>
      </c>
      <c r="B50">
        <v>2</v>
      </c>
      <c r="G50" t="s">
        <v>2408</v>
      </c>
      <c r="H50">
        <v>3.5785536159600997</v>
      </c>
    </row>
    <row r="51" spans="1:13" x14ac:dyDescent="0.35">
      <c r="A51" s="13" t="s">
        <v>338</v>
      </c>
      <c r="B51">
        <v>1</v>
      </c>
      <c r="G51" t="s">
        <v>2411</v>
      </c>
      <c r="H51">
        <v>3.5436408977556111</v>
      </c>
    </row>
    <row r="52" spans="1:13" x14ac:dyDescent="0.35">
      <c r="A52" s="13" t="s">
        <v>289</v>
      </c>
      <c r="B52">
        <v>1</v>
      </c>
      <c r="G52" t="s">
        <v>2414</v>
      </c>
      <c r="H52">
        <v>3.6059850374064837</v>
      </c>
    </row>
    <row r="53" spans="1:13" x14ac:dyDescent="0.35">
      <c r="A53" s="13" t="s">
        <v>1762</v>
      </c>
      <c r="B53">
        <v>1</v>
      </c>
      <c r="G53" t="s">
        <v>2598</v>
      </c>
      <c r="H53">
        <v>2.082294264339152</v>
      </c>
    </row>
    <row r="54" spans="1:13" x14ac:dyDescent="0.35">
      <c r="A54" s="13" t="s">
        <v>1603</v>
      </c>
      <c r="B54">
        <v>1</v>
      </c>
      <c r="G54" t="s">
        <v>2420</v>
      </c>
      <c r="H54">
        <v>3.6658354114713219</v>
      </c>
    </row>
    <row r="55" spans="1:13" x14ac:dyDescent="0.35">
      <c r="A55" s="13" t="s">
        <v>2549</v>
      </c>
      <c r="B55">
        <v>401</v>
      </c>
      <c r="G55" t="s">
        <v>2423</v>
      </c>
      <c r="H55">
        <v>3.6683291770573567</v>
      </c>
    </row>
    <row r="56" spans="1:13" x14ac:dyDescent="0.35">
      <c r="G56" t="s">
        <v>2426</v>
      </c>
      <c r="H56">
        <v>3.7007481296758105</v>
      </c>
    </row>
    <row r="57" spans="1:13" x14ac:dyDescent="0.35">
      <c r="G57" t="s">
        <v>2429</v>
      </c>
      <c r="H57">
        <v>3.6259351620947631</v>
      </c>
    </row>
    <row r="58" spans="1:13" x14ac:dyDescent="0.35">
      <c r="G58" t="s">
        <v>2432</v>
      </c>
      <c r="H58">
        <v>3.6234413965087282</v>
      </c>
    </row>
    <row r="61" spans="1:13" x14ac:dyDescent="0.35">
      <c r="L61" t="b">
        <v>1</v>
      </c>
      <c r="M61" t="b">
        <v>1</v>
      </c>
    </row>
    <row r="62" spans="1:13" x14ac:dyDescent="0.35">
      <c r="G62" s="15" t="s">
        <v>2588</v>
      </c>
      <c r="H62" s="15" t="s">
        <v>2564</v>
      </c>
      <c r="I62" s="15" t="s">
        <v>2587</v>
      </c>
      <c r="J62" s="15" t="s">
        <v>2629</v>
      </c>
      <c r="K62" s="15" t="s">
        <v>2588</v>
      </c>
      <c r="L62" s="15" t="s">
        <v>2564</v>
      </c>
      <c r="M62" s="15" t="s">
        <v>2587</v>
      </c>
    </row>
    <row r="63" spans="1:13" x14ac:dyDescent="0.35">
      <c r="G63" t="s">
        <v>2589</v>
      </c>
      <c r="H63">
        <f t="array" ref="H63:H71">TRANSPOSE(G75:O75)</f>
        <v>3.3333333333333335</v>
      </c>
      <c r="I63">
        <f t="array" ref="I63:I71">TRANSPOSE(G33:O33)</f>
        <v>3.8333333333333335</v>
      </c>
      <c r="J63" s="14">
        <f>I72-H72</f>
        <v>0.16666666666666607</v>
      </c>
      <c r="K63" t="s">
        <v>2589</v>
      </c>
      <c r="L63" s="16">
        <f>IF($L$61=TRUE,VLOOKUP(K63,$G$63:$I$71,2,FALSE),"")</f>
        <v>3.3333333333333335</v>
      </c>
      <c r="M63" s="16">
        <f>IF($M$61=TRUE,VLOOKUP(K63,$G$63:$I$71,3,FALSE),"")</f>
        <v>3.8333333333333335</v>
      </c>
    </row>
    <row r="64" spans="1:13" x14ac:dyDescent="0.35">
      <c r="G64" t="s">
        <v>2590</v>
      </c>
      <c r="H64">
        <v>3.6666666666666665</v>
      </c>
      <c r="I64">
        <v>3.6666666666666665</v>
      </c>
      <c r="K64" t="s">
        <v>2590</v>
      </c>
      <c r="L64" s="16">
        <f t="shared" ref="L64:L71" si="2">IF($L$61=TRUE,VLOOKUP(K64,$G$63:$I$71,2,FALSE),"")</f>
        <v>3.6666666666666665</v>
      </c>
      <c r="M64" s="16">
        <f t="shared" ref="M64:M71" si="3">IF($M$61=TRUE,VLOOKUP(K64,$G$63:$I$71,3,FALSE),"")</f>
        <v>3.6666666666666665</v>
      </c>
    </row>
    <row r="65" spans="7:15" x14ac:dyDescent="0.35">
      <c r="G65" t="s">
        <v>2591</v>
      </c>
      <c r="H65">
        <v>3.1666666666666665</v>
      </c>
      <c r="I65">
        <v>3.5</v>
      </c>
      <c r="K65" t="s">
        <v>2591</v>
      </c>
      <c r="L65" s="16">
        <f t="shared" si="2"/>
        <v>3.1666666666666665</v>
      </c>
      <c r="M65" s="16">
        <f t="shared" si="3"/>
        <v>3.5</v>
      </c>
    </row>
    <row r="66" spans="7:15" x14ac:dyDescent="0.35">
      <c r="G66" t="s">
        <v>2592</v>
      </c>
      <c r="H66">
        <v>0</v>
      </c>
      <c r="I66">
        <v>0</v>
      </c>
      <c r="K66" t="s">
        <v>2592</v>
      </c>
      <c r="L66" s="16">
        <f t="shared" si="2"/>
        <v>0</v>
      </c>
      <c r="M66" s="16">
        <f t="shared" si="3"/>
        <v>0</v>
      </c>
    </row>
    <row r="67" spans="7:15" x14ac:dyDescent="0.35">
      <c r="G67" t="s">
        <v>2593</v>
      </c>
      <c r="H67">
        <v>3.3333333333333335</v>
      </c>
      <c r="I67">
        <v>3.6666666666666665</v>
      </c>
      <c r="K67" t="s">
        <v>2593</v>
      </c>
      <c r="L67" s="16">
        <f t="shared" si="2"/>
        <v>3.3333333333333335</v>
      </c>
      <c r="M67" s="16">
        <f t="shared" si="3"/>
        <v>3.6666666666666665</v>
      </c>
    </row>
    <row r="68" spans="7:15" x14ac:dyDescent="0.35">
      <c r="G68" t="s">
        <v>2594</v>
      </c>
      <c r="H68">
        <v>3.5</v>
      </c>
      <c r="I68">
        <v>3.6666666666666665</v>
      </c>
      <c r="K68" t="s">
        <v>2594</v>
      </c>
      <c r="L68" s="16">
        <f t="shared" si="2"/>
        <v>3.5</v>
      </c>
      <c r="M68" s="16">
        <f t="shared" si="3"/>
        <v>3.6666666666666665</v>
      </c>
    </row>
    <row r="69" spans="7:15" x14ac:dyDescent="0.35">
      <c r="G69" t="s">
        <v>2595</v>
      </c>
      <c r="H69">
        <v>3.8333333333333335</v>
      </c>
      <c r="I69">
        <v>3.8333333333333335</v>
      </c>
      <c r="K69" t="s">
        <v>2595</v>
      </c>
      <c r="L69" s="16">
        <f t="shared" si="2"/>
        <v>3.8333333333333335</v>
      </c>
      <c r="M69" s="16">
        <f t="shared" si="3"/>
        <v>3.8333333333333335</v>
      </c>
    </row>
    <row r="70" spans="7:15" x14ac:dyDescent="0.35">
      <c r="G70" t="s">
        <v>2596</v>
      </c>
      <c r="H70">
        <v>3.6666666666666665</v>
      </c>
      <c r="I70">
        <v>3.8333333333333335</v>
      </c>
      <c r="K70" t="s">
        <v>2596</v>
      </c>
      <c r="L70" s="16">
        <f t="shared" si="2"/>
        <v>3.6666666666666665</v>
      </c>
      <c r="M70" s="16">
        <f t="shared" si="3"/>
        <v>3.8333333333333335</v>
      </c>
    </row>
    <row r="71" spans="7:15" x14ac:dyDescent="0.35">
      <c r="G71" t="s">
        <v>2597</v>
      </c>
      <c r="H71">
        <v>3.3333333333333335</v>
      </c>
      <c r="I71">
        <v>3.3333333333333335</v>
      </c>
      <c r="K71" t="s">
        <v>2597</v>
      </c>
      <c r="L71" s="16">
        <f t="shared" si="2"/>
        <v>3.3333333333333335</v>
      </c>
      <c r="M71" s="16">
        <f t="shared" si="3"/>
        <v>3.3333333333333335</v>
      </c>
    </row>
    <row r="72" spans="7:15" x14ac:dyDescent="0.35">
      <c r="H72" s="16">
        <f>AVERAGE(H63:H71)</f>
        <v>3.0925925925925926</v>
      </c>
      <c r="I72" s="16">
        <f>AVERAGE(I63:I71)</f>
        <v>3.2592592592592586</v>
      </c>
    </row>
    <row r="73" spans="7:15" x14ac:dyDescent="0.35">
      <c r="G73" t="s">
        <v>2564</v>
      </c>
    </row>
    <row r="74" spans="7:15" x14ac:dyDescent="0.35">
      <c r="G74" t="s">
        <v>2565</v>
      </c>
      <c r="H74" t="s">
        <v>2566</v>
      </c>
      <c r="I74" t="s">
        <v>2567</v>
      </c>
      <c r="J74" t="s">
        <v>2568</v>
      </c>
      <c r="K74" t="s">
        <v>2569</v>
      </c>
      <c r="L74" t="s">
        <v>2570</v>
      </c>
      <c r="M74" t="s">
        <v>2617</v>
      </c>
      <c r="N74" t="s">
        <v>2571</v>
      </c>
      <c r="O74" t="s">
        <v>2572</v>
      </c>
    </row>
    <row r="75" spans="7:15" x14ac:dyDescent="0.35">
      <c r="G75" s="18">
        <v>3.3333333333333335</v>
      </c>
      <c r="H75" s="18">
        <v>3.6666666666666665</v>
      </c>
      <c r="I75" s="18">
        <v>3.1666666666666665</v>
      </c>
      <c r="J75" s="18">
        <v>0</v>
      </c>
      <c r="K75" s="18">
        <v>3.3333333333333335</v>
      </c>
      <c r="L75" s="18">
        <v>3.5</v>
      </c>
      <c r="M75" s="18">
        <v>3.8333333333333335</v>
      </c>
      <c r="N75" s="18">
        <v>3.6666666666666665</v>
      </c>
      <c r="O75" s="18">
        <v>3.3333333333333335</v>
      </c>
    </row>
    <row r="77" spans="7:15" x14ac:dyDescent="0.35">
      <c r="G77" t="s">
        <v>2608</v>
      </c>
    </row>
    <row r="78" spans="7:15" x14ac:dyDescent="0.35">
      <c r="G78" t="s">
        <v>2609</v>
      </c>
      <c r="H78" t="s">
        <v>2610</v>
      </c>
      <c r="I78" t="s">
        <v>2611</v>
      </c>
      <c r="J78" t="s">
        <v>2612</v>
      </c>
      <c r="K78" t="s">
        <v>2613</v>
      </c>
      <c r="L78" t="s">
        <v>2614</v>
      </c>
      <c r="M78" t="s">
        <v>2615</v>
      </c>
      <c r="N78" t="s">
        <v>2618</v>
      </c>
      <c r="O78" t="s">
        <v>2619</v>
      </c>
    </row>
    <row r="79" spans="7:15" x14ac:dyDescent="0.35">
      <c r="G79" s="18">
        <v>0.5</v>
      </c>
      <c r="H79" s="18">
        <v>0</v>
      </c>
      <c r="I79" s="18">
        <v>0.33333333333333331</v>
      </c>
      <c r="J79" s="18">
        <v>0</v>
      </c>
      <c r="K79" s="18">
        <v>0.33333333333333331</v>
      </c>
      <c r="L79" s="18">
        <v>0.16666666666666666</v>
      </c>
      <c r="M79" s="18">
        <v>0</v>
      </c>
      <c r="N79" s="18">
        <v>0.16666666666666666</v>
      </c>
      <c r="O79" s="18">
        <v>0</v>
      </c>
    </row>
    <row r="81" spans="7:10" x14ac:dyDescent="0.35">
      <c r="G81" s="15" t="s">
        <v>2588</v>
      </c>
      <c r="H81" s="15" t="s">
        <v>2620</v>
      </c>
    </row>
    <row r="82" spans="7:10" x14ac:dyDescent="0.35">
      <c r="G82" t="s">
        <v>2589</v>
      </c>
      <c r="H82">
        <f t="array" ref="H82:H90">TRANSPOSE(G79:O79)</f>
        <v>0.5</v>
      </c>
      <c r="I82" s="14">
        <f>H82</f>
        <v>0.5</v>
      </c>
    </row>
    <row r="83" spans="7:10" x14ac:dyDescent="0.35">
      <c r="G83" t="s">
        <v>2590</v>
      </c>
      <c r="H83">
        <v>0</v>
      </c>
      <c r="I83" s="14">
        <f t="shared" ref="I83:I90" si="4">H83</f>
        <v>0</v>
      </c>
    </row>
    <row r="84" spans="7:10" x14ac:dyDescent="0.35">
      <c r="G84" t="s">
        <v>2591</v>
      </c>
      <c r="H84">
        <v>0.33333333333333331</v>
      </c>
      <c r="I84" s="14">
        <f t="shared" si="4"/>
        <v>0.33333333333333331</v>
      </c>
    </row>
    <row r="85" spans="7:10" x14ac:dyDescent="0.35">
      <c r="G85" t="s">
        <v>2592</v>
      </c>
      <c r="H85">
        <v>0</v>
      </c>
      <c r="I85" s="14">
        <f t="shared" si="4"/>
        <v>0</v>
      </c>
    </row>
    <row r="86" spans="7:10" x14ac:dyDescent="0.35">
      <c r="G86" t="s">
        <v>2593</v>
      </c>
      <c r="H86">
        <v>0.33333333333333331</v>
      </c>
      <c r="I86" s="14">
        <f t="shared" si="4"/>
        <v>0.33333333333333331</v>
      </c>
    </row>
    <row r="87" spans="7:10" x14ac:dyDescent="0.35">
      <c r="G87" t="s">
        <v>2594</v>
      </c>
      <c r="H87">
        <v>0.16666666666666666</v>
      </c>
      <c r="I87" s="14">
        <f t="shared" si="4"/>
        <v>0.16666666666666666</v>
      </c>
    </row>
    <row r="88" spans="7:10" x14ac:dyDescent="0.35">
      <c r="G88" t="s">
        <v>2595</v>
      </c>
      <c r="H88">
        <v>0</v>
      </c>
      <c r="I88" s="14">
        <f t="shared" si="4"/>
        <v>0</v>
      </c>
    </row>
    <row r="89" spans="7:10" x14ac:dyDescent="0.35">
      <c r="G89" t="s">
        <v>2596</v>
      </c>
      <c r="H89">
        <v>0.16666666666666666</v>
      </c>
      <c r="I89" s="14">
        <f t="shared" si="4"/>
        <v>0.16666666666666666</v>
      </c>
    </row>
    <row r="90" spans="7:10" x14ac:dyDescent="0.35">
      <c r="G90" t="s">
        <v>2597</v>
      </c>
      <c r="H90">
        <v>0</v>
      </c>
      <c r="I90" s="14">
        <f t="shared" si="4"/>
        <v>0</v>
      </c>
    </row>
    <row r="92" spans="7:10" x14ac:dyDescent="0.35">
      <c r="G92" t="s">
        <v>2621</v>
      </c>
    </row>
    <row r="93" spans="7:10" x14ac:dyDescent="0.35">
      <c r="G93" t="s">
        <v>2622</v>
      </c>
      <c r="H93" t="s">
        <v>2623</v>
      </c>
      <c r="I93" t="s">
        <v>2624</v>
      </c>
      <c r="J93" t="s">
        <v>2625</v>
      </c>
    </row>
    <row r="94" spans="7:10" x14ac:dyDescent="0.35">
      <c r="G94" s="18">
        <v>0</v>
      </c>
      <c r="H94" s="18">
        <v>0</v>
      </c>
      <c r="I94" s="18">
        <v>10</v>
      </c>
      <c r="J94" s="18">
        <v>11</v>
      </c>
    </row>
    <row r="96" spans="7:10" x14ac:dyDescent="0.35">
      <c r="G96" s="15" t="s">
        <v>2621</v>
      </c>
      <c r="H96" s="15" t="s">
        <v>2628</v>
      </c>
      <c r="I96" s="15" t="s">
        <v>2558</v>
      </c>
      <c r="J96" t="s">
        <v>2630</v>
      </c>
    </row>
    <row r="97" spans="1:10" x14ac:dyDescent="0.35">
      <c r="G97" t="s">
        <v>41</v>
      </c>
      <c r="H97">
        <f>GETPIVOTDATA("Jumlah dari Konversi Media Sosial2",$G$93)</f>
        <v>0</v>
      </c>
      <c r="I97" s="14">
        <f>H97/$H$101</f>
        <v>0</v>
      </c>
      <c r="J97" t="s">
        <v>2631</v>
      </c>
    </row>
    <row r="98" spans="1:10" x14ac:dyDescent="0.35">
      <c r="G98" t="s">
        <v>2626</v>
      </c>
      <c r="H98">
        <f>GETPIVOTDATA("Jumlah dari Konversi Website",$G$93)</f>
        <v>0</v>
      </c>
      <c r="I98" s="14">
        <f t="shared" ref="I98:I100" si="5">H98/$H$101</f>
        <v>0</v>
      </c>
      <c r="J98" s="18">
        <v>6</v>
      </c>
    </row>
    <row r="99" spans="1:10" x14ac:dyDescent="0.35">
      <c r="G99" t="s">
        <v>2627</v>
      </c>
      <c r="H99">
        <f>GETPIVOTDATA("Jumlah dari Konversi Pegawai",$G$93)</f>
        <v>10</v>
      </c>
      <c r="I99" s="14">
        <f t="shared" si="5"/>
        <v>0.47619047619047616</v>
      </c>
    </row>
    <row r="100" spans="1:10" x14ac:dyDescent="0.35">
      <c r="G100" t="s">
        <v>50</v>
      </c>
      <c r="H100">
        <f>GETPIVOTDATA("Jumlah dari Konversi Lainnya",$G$93)</f>
        <v>11</v>
      </c>
      <c r="I100" s="14">
        <f t="shared" si="5"/>
        <v>0.52380952380952384</v>
      </c>
    </row>
    <row r="101" spans="1:10" x14ac:dyDescent="0.35">
      <c r="G101" t="s">
        <v>2560</v>
      </c>
      <c r="H101">
        <f>SUM(H97:H100)</f>
        <v>21</v>
      </c>
    </row>
    <row r="102" spans="1:10" x14ac:dyDescent="0.35">
      <c r="G102" s="15" t="s">
        <v>2630</v>
      </c>
    </row>
    <row r="103" spans="1:10" x14ac:dyDescent="0.35">
      <c r="G103">
        <f>GETPIVOTDATA("Nama Responden",$J$97)</f>
        <v>6</v>
      </c>
    </row>
    <row r="105" spans="1:10" x14ac:dyDescent="0.35">
      <c r="A105" s="15" t="s">
        <v>2542</v>
      </c>
      <c r="B105" s="15" t="s">
        <v>2628</v>
      </c>
      <c r="C105" s="15" t="s">
        <v>2558</v>
      </c>
    </row>
    <row r="106" spans="1:10" x14ac:dyDescent="0.35">
      <c r="A106" t="s">
        <v>2632</v>
      </c>
      <c r="B106">
        <f>GETPIVOTDATA("Jenis Kelamin",$A$3,"Jenis Kelamin","Laki-laki")</f>
        <v>2</v>
      </c>
      <c r="C106" s="14">
        <f>B106/$B$108</f>
        <v>0.33333333333333331</v>
      </c>
      <c r="H106" s="15" t="s">
        <v>2551</v>
      </c>
      <c r="I106" s="15" t="s">
        <v>2628</v>
      </c>
      <c r="J106" s="15" t="s">
        <v>2558</v>
      </c>
    </row>
    <row r="107" spans="1:10" x14ac:dyDescent="0.35">
      <c r="A107" t="s">
        <v>70</v>
      </c>
      <c r="B107">
        <f>GETPIVOTDATA("Jenis Kelamin",$A$3,"Jenis Kelamin","Perempuan")</f>
        <v>4</v>
      </c>
      <c r="C107" s="14">
        <f>B107/$B$108</f>
        <v>0.66666666666666663</v>
      </c>
      <c r="H107" t="s">
        <v>2635</v>
      </c>
      <c r="I107">
        <f>GETPIVOTDATA("Jenis layanan yang pernah Anda dapatkan di Polresta Sidoarjo?",$A$9,"Jenis layanan yang pernah Anda dapatkan di Polresta Sidoarjo?","Layanan Pembuatan SIM A")</f>
        <v>3</v>
      </c>
      <c r="J107" s="14">
        <f>I107/$I$113</f>
        <v>0.125</v>
      </c>
    </row>
    <row r="108" spans="1:10" x14ac:dyDescent="0.35">
      <c r="A108" t="s">
        <v>2560</v>
      </c>
      <c r="B108">
        <f>GETPIVOTDATA("Jenis Kelamin",$A$3)</f>
        <v>6</v>
      </c>
      <c r="H108" t="s">
        <v>2636</v>
      </c>
      <c r="I108">
        <f>GETPIVOTDATA("Jenis layanan yang pernah Anda dapatkan di Polresta Sidoarjo?",$A$9,"Jenis layanan yang pernah Anda dapatkan di Polresta Sidoarjo?","Layanan Pembuatan SIM C")</f>
        <v>1</v>
      </c>
      <c r="J108" s="14">
        <f t="shared" ref="J108:J112" si="6">I108/$I$113</f>
        <v>4.1666666666666664E-2</v>
      </c>
    </row>
    <row r="109" spans="1:10" x14ac:dyDescent="0.35">
      <c r="A109" s="15" t="s">
        <v>2555</v>
      </c>
      <c r="B109" s="15" t="s">
        <v>2628</v>
      </c>
      <c r="H109" t="s">
        <v>2633</v>
      </c>
      <c r="I109">
        <f>GETPIVOTDATA("Jenis layanan yang pernah Anda dapatkan di Polresta Sidoarjo?",$A$9,"Jenis layanan yang pernah Anda dapatkan di Polresta Sidoarjo?","Layanan RESKRIM")</f>
        <v>6</v>
      </c>
      <c r="J109" s="14">
        <f t="shared" si="6"/>
        <v>0.25</v>
      </c>
    </row>
    <row r="110" spans="1:10" x14ac:dyDescent="0.35">
      <c r="A110" s="13" t="s">
        <v>131</v>
      </c>
      <c r="B110" t="e">
        <f>GETPIVOTDATA("Koding Usia ",$D$3,"Koding Usia ","18-20 tahun")</f>
        <v>#REF!</v>
      </c>
      <c r="D110" s="15" t="s">
        <v>2554</v>
      </c>
      <c r="E110" s="15" t="s">
        <v>2628</v>
      </c>
      <c r="F110" s="15" t="s">
        <v>2558</v>
      </c>
      <c r="H110" t="s">
        <v>2637</v>
      </c>
      <c r="I110">
        <f>GETPIVOTDATA("Jenis layanan yang pernah Anda dapatkan di Polresta Sidoarjo?",$A$9,"Jenis layanan yang pernah Anda dapatkan di Polresta Sidoarjo?","Layanan SAT INTELKAM (PERIZINAN)")</f>
        <v>2</v>
      </c>
      <c r="J110" s="14">
        <f t="shared" si="6"/>
        <v>8.3333333333333329E-2</v>
      </c>
    </row>
    <row r="111" spans="1:10" x14ac:dyDescent="0.35">
      <c r="A111" s="13" t="s">
        <v>72</v>
      </c>
      <c r="B111" t="e">
        <f>GETPIVOTDATA("Koding Usia ",$D$3,"Koding Usia ","21-25 tahun")</f>
        <v>#REF!</v>
      </c>
      <c r="D111" t="s">
        <v>2557</v>
      </c>
      <c r="E111">
        <f t="shared" ref="E111:E116" si="7">E20</f>
        <v>6</v>
      </c>
      <c r="F111" s="14">
        <f>E111/$E$116</f>
        <v>0.06</v>
      </c>
      <c r="H111" t="s">
        <v>2638</v>
      </c>
      <c r="I111">
        <f>GETPIVOTDATA("Jenis layanan yang pernah Anda dapatkan di Polresta Sidoarjo?",$A$9,"Jenis layanan yang pernah Anda dapatkan di Polresta Sidoarjo?","Layanan SAT INTELKAM (SKCK)")</f>
        <v>4</v>
      </c>
      <c r="J111" s="14">
        <f t="shared" si="6"/>
        <v>0.16666666666666666</v>
      </c>
    </row>
    <row r="112" spans="1:10" x14ac:dyDescent="0.35">
      <c r="A112" s="13" t="s">
        <v>92</v>
      </c>
      <c r="B112">
        <f>GETPIVOTDATA("Koding Usia ",$D$3,"Koding Usia ","26-30 tahun")</f>
        <v>1</v>
      </c>
      <c r="D112" t="s">
        <v>1343</v>
      </c>
      <c r="E112">
        <f t="shared" si="7"/>
        <v>6</v>
      </c>
      <c r="F112" s="14">
        <f t="shared" ref="F112:F115" si="8">E112/$E$116</f>
        <v>0.06</v>
      </c>
      <c r="H112" t="s">
        <v>2634</v>
      </c>
      <c r="I112">
        <f>GETPIVOTDATA("Jenis layanan yang pernah Anda dapatkan di Polresta Sidoarjo?",$A$9,"Jenis layanan yang pernah Anda dapatkan di Polresta Sidoarjo?","Layanan SPKT")</f>
        <v>8</v>
      </c>
      <c r="J112" s="14">
        <f t="shared" si="6"/>
        <v>0.33333333333333331</v>
      </c>
    </row>
    <row r="113" spans="1:9" x14ac:dyDescent="0.35">
      <c r="A113" s="13" t="s">
        <v>109</v>
      </c>
      <c r="B113" t="e">
        <f>GETPIVOTDATA("Koding Usia ",$D$3,"Koding Usia ","31-35 tahun")</f>
        <v>#REF!</v>
      </c>
      <c r="D113" t="s">
        <v>93</v>
      </c>
      <c r="E113">
        <f t="shared" si="7"/>
        <v>35</v>
      </c>
      <c r="F113" s="14">
        <f t="shared" si="8"/>
        <v>0.35</v>
      </c>
      <c r="H113" t="s">
        <v>2549</v>
      </c>
      <c r="I113">
        <f>GETPIVOTDATA("Jenis layanan yang pernah Anda dapatkan di Polresta Sidoarjo?",$A$9)</f>
        <v>24</v>
      </c>
    </row>
    <row r="114" spans="1:9" x14ac:dyDescent="0.35">
      <c r="A114" s="13" t="s">
        <v>153</v>
      </c>
      <c r="B114">
        <f>GETPIVOTDATA("Koding Usia ",$D$3,"Koding Usia ","36-40 tahun")</f>
        <v>4</v>
      </c>
      <c r="D114" t="s">
        <v>73</v>
      </c>
      <c r="E114">
        <f t="shared" si="7"/>
        <v>41</v>
      </c>
      <c r="F114" s="14">
        <f t="shared" si="8"/>
        <v>0.41</v>
      </c>
    </row>
    <row r="115" spans="1:9" x14ac:dyDescent="0.35">
      <c r="A115" s="13" t="s">
        <v>197</v>
      </c>
      <c r="B115">
        <f>GETPIVOTDATA("Koding Usia ",$D$3,"Koding Usia ","41-45 tahun")</f>
        <v>1</v>
      </c>
      <c r="D115" t="s">
        <v>273</v>
      </c>
      <c r="E115">
        <f t="shared" si="7"/>
        <v>12</v>
      </c>
      <c r="F115" s="14">
        <f t="shared" si="8"/>
        <v>0.12</v>
      </c>
    </row>
    <row r="116" spans="1:9" x14ac:dyDescent="0.35">
      <c r="A116" s="13" t="s">
        <v>225</v>
      </c>
      <c r="B116" t="e">
        <f>GETPIVOTDATA("Koding Usia ",$D$3,"Koding Usia ","46-50 tahun")</f>
        <v>#REF!</v>
      </c>
      <c r="D116" s="15" t="s">
        <v>2560</v>
      </c>
      <c r="E116">
        <f t="shared" si="7"/>
        <v>100</v>
      </c>
    </row>
    <row r="117" spans="1:9" x14ac:dyDescent="0.35">
      <c r="A117" s="13" t="s">
        <v>383</v>
      </c>
      <c r="B117" t="e">
        <f>GETPIVOTDATA("Koding Usia ",$D$3,"Koding Usia ","51-55 tahun")</f>
        <v>#REF!</v>
      </c>
    </row>
    <row r="118" spans="1:9" x14ac:dyDescent="0.35">
      <c r="A118" s="13" t="s">
        <v>182</v>
      </c>
      <c r="B118" t="e">
        <f>GETPIVOTDATA("Koding Usia ",$D$3,"Koding Usia ","56-60 tahun")</f>
        <v>#REF!</v>
      </c>
    </row>
    <row r="119" spans="1:9" x14ac:dyDescent="0.35">
      <c r="D119" t="s">
        <v>5</v>
      </c>
      <c r="E119" t="s">
        <v>2628</v>
      </c>
    </row>
    <row r="120" spans="1:9" x14ac:dyDescent="0.35">
      <c r="A120" t="s">
        <v>63</v>
      </c>
      <c r="B120">
        <v>75</v>
      </c>
      <c r="D120" t="s">
        <v>63</v>
      </c>
      <c r="E120">
        <f>GETPIVOTDATA("Kecamatan",$D$28,"Kecamatan","Sidoarjo")</f>
        <v>2</v>
      </c>
    </row>
    <row r="121" spans="1:9" x14ac:dyDescent="0.35">
      <c r="A121" t="s">
        <v>179</v>
      </c>
      <c r="B121">
        <v>52</v>
      </c>
      <c r="D121" t="s">
        <v>179</v>
      </c>
      <c r="E121" t="e">
        <f>GETPIVOTDATA("Kecamatan",$D$28,"Kecamatan","Buduran")</f>
        <v>#REF!</v>
      </c>
    </row>
    <row r="122" spans="1:9" x14ac:dyDescent="0.35">
      <c r="A122" t="s">
        <v>136</v>
      </c>
      <c r="B122">
        <v>38</v>
      </c>
      <c r="D122" t="s">
        <v>136</v>
      </c>
      <c r="E122" t="e">
        <f>GETPIVOTDATA("Kecamatan",$D$28,"Kecamatan","Sukodono")</f>
        <v>#REF!</v>
      </c>
    </row>
    <row r="123" spans="1:9" x14ac:dyDescent="0.35">
      <c r="A123" t="s">
        <v>125</v>
      </c>
      <c r="B123">
        <v>34</v>
      </c>
      <c r="D123" t="s">
        <v>125</v>
      </c>
      <c r="E123" t="e">
        <f>GETPIVOTDATA("Kecamatan",$D$28,"Kecamatan","Tulangan")</f>
        <v>#REF!</v>
      </c>
    </row>
    <row r="124" spans="1:9" x14ac:dyDescent="0.35">
      <c r="A124" t="s">
        <v>86</v>
      </c>
      <c r="B124">
        <v>31</v>
      </c>
      <c r="D124" t="s">
        <v>86</v>
      </c>
      <c r="E124" t="e">
        <f>GETPIVOTDATA("Kecamatan",$D$28,"Kecamatan","Candi")</f>
        <v>#REF!</v>
      </c>
    </row>
    <row r="125" spans="1:9" x14ac:dyDescent="0.35">
      <c r="A125" t="s">
        <v>338</v>
      </c>
      <c r="B125">
        <v>18</v>
      </c>
    </row>
    <row r="126" spans="1:9" x14ac:dyDescent="0.35">
      <c r="A126" t="s">
        <v>240</v>
      </c>
      <c r="B126">
        <v>12</v>
      </c>
    </row>
    <row r="127" spans="1:9" x14ac:dyDescent="0.35">
      <c r="A127" t="s">
        <v>312</v>
      </c>
      <c r="B127">
        <v>11</v>
      </c>
    </row>
    <row r="128" spans="1:9" x14ac:dyDescent="0.35">
      <c r="A128" t="s">
        <v>397</v>
      </c>
      <c r="B128">
        <v>11</v>
      </c>
    </row>
    <row r="129" spans="1:2" x14ac:dyDescent="0.35">
      <c r="A129" t="s">
        <v>149</v>
      </c>
      <c r="B129">
        <v>11</v>
      </c>
    </row>
    <row r="130" spans="1:2" x14ac:dyDescent="0.35">
      <c r="A130" t="s">
        <v>480</v>
      </c>
      <c r="B130">
        <v>11</v>
      </c>
    </row>
    <row r="131" spans="1:2" x14ac:dyDescent="0.35">
      <c r="A131" t="s">
        <v>757</v>
      </c>
      <c r="B131">
        <v>10</v>
      </c>
    </row>
    <row r="132" spans="1:2" x14ac:dyDescent="0.35">
      <c r="A132" t="s">
        <v>416</v>
      </c>
      <c r="B132">
        <v>10</v>
      </c>
    </row>
    <row r="133" spans="1:2" x14ac:dyDescent="0.35">
      <c r="A133" t="s">
        <v>1372</v>
      </c>
      <c r="B133">
        <v>6</v>
      </c>
    </row>
    <row r="134" spans="1:2" x14ac:dyDescent="0.35">
      <c r="A134" t="s">
        <v>1409</v>
      </c>
      <c r="B134">
        <v>3</v>
      </c>
    </row>
    <row r="135" spans="1:2" x14ac:dyDescent="0.35">
      <c r="A135" t="s">
        <v>466</v>
      </c>
      <c r="B135">
        <v>3</v>
      </c>
    </row>
    <row r="136" spans="1:2" x14ac:dyDescent="0.35">
      <c r="A136" t="s">
        <v>765</v>
      </c>
      <c r="B136">
        <v>2</v>
      </c>
    </row>
    <row r="137" spans="1:2" x14ac:dyDescent="0.35">
      <c r="A137" t="s">
        <v>2138</v>
      </c>
      <c r="B137">
        <v>2</v>
      </c>
    </row>
    <row r="138" spans="1:2" x14ac:dyDescent="0.35">
      <c r="A138" t="s">
        <v>1842</v>
      </c>
      <c r="B138">
        <v>2</v>
      </c>
    </row>
    <row r="139" spans="1:2" x14ac:dyDescent="0.35">
      <c r="A139" t="s">
        <v>2283</v>
      </c>
      <c r="B139">
        <v>2</v>
      </c>
    </row>
    <row r="140" spans="1:2" x14ac:dyDescent="0.35">
      <c r="A140" t="s">
        <v>1566</v>
      </c>
      <c r="B140">
        <v>2</v>
      </c>
    </row>
    <row r="141" spans="1:2" x14ac:dyDescent="0.35">
      <c r="A141" t="s">
        <v>558</v>
      </c>
      <c r="B141">
        <v>2</v>
      </c>
    </row>
    <row r="142" spans="1:2" x14ac:dyDescent="0.35">
      <c r="A142" t="s">
        <v>1555</v>
      </c>
      <c r="B142">
        <v>2</v>
      </c>
    </row>
    <row r="143" spans="1:2" x14ac:dyDescent="0.35">
      <c r="A143" t="s">
        <v>1963</v>
      </c>
      <c r="B143">
        <v>2</v>
      </c>
    </row>
    <row r="144" spans="1:2" x14ac:dyDescent="0.35">
      <c r="A144" t="s">
        <v>289</v>
      </c>
      <c r="B144">
        <v>2</v>
      </c>
    </row>
    <row r="145" spans="1:2" x14ac:dyDescent="0.35">
      <c r="A145" t="s">
        <v>2261</v>
      </c>
      <c r="B145">
        <v>1</v>
      </c>
    </row>
    <row r="146" spans="1:2" x14ac:dyDescent="0.35">
      <c r="A146" t="s">
        <v>1677</v>
      </c>
      <c r="B146">
        <v>1</v>
      </c>
    </row>
    <row r="147" spans="1:2" x14ac:dyDescent="0.35">
      <c r="A147" t="s">
        <v>1604</v>
      </c>
      <c r="B147">
        <v>1</v>
      </c>
    </row>
    <row r="148" spans="1:2" x14ac:dyDescent="0.35">
      <c r="A148" t="s">
        <v>2300</v>
      </c>
      <c r="B148">
        <v>1</v>
      </c>
    </row>
    <row r="149" spans="1:2" x14ac:dyDescent="0.35">
      <c r="A149" t="s">
        <v>1622</v>
      </c>
      <c r="B149">
        <v>1</v>
      </c>
    </row>
    <row r="150" spans="1:2" x14ac:dyDescent="0.35">
      <c r="A150" t="s">
        <v>773</v>
      </c>
      <c r="B150">
        <v>1</v>
      </c>
    </row>
    <row r="151" spans="1:2" x14ac:dyDescent="0.35">
      <c r="A151" t="s">
        <v>1702</v>
      </c>
      <c r="B151">
        <v>1</v>
      </c>
    </row>
    <row r="152" spans="1:2" x14ac:dyDescent="0.35">
      <c r="A152" t="s">
        <v>1775</v>
      </c>
      <c r="B152">
        <v>1</v>
      </c>
    </row>
    <row r="153" spans="1:2" x14ac:dyDescent="0.35">
      <c r="A153" t="s">
        <v>1246</v>
      </c>
      <c r="B153">
        <v>1</v>
      </c>
    </row>
    <row r="154" spans="1:2" x14ac:dyDescent="0.35">
      <c r="A154" t="s">
        <v>1275</v>
      </c>
      <c r="B154">
        <v>1</v>
      </c>
    </row>
    <row r="155" spans="1:2" x14ac:dyDescent="0.35">
      <c r="A155" t="s">
        <v>2541</v>
      </c>
      <c r="B155">
        <v>1</v>
      </c>
    </row>
    <row r="156" spans="1:2" x14ac:dyDescent="0.35">
      <c r="A156" t="s">
        <v>1177</v>
      </c>
      <c r="B156">
        <v>1</v>
      </c>
    </row>
    <row r="157" spans="1:2" x14ac:dyDescent="0.35">
      <c r="A157" t="s">
        <v>1582</v>
      </c>
      <c r="B157">
        <v>1</v>
      </c>
    </row>
    <row r="158" spans="1:2" x14ac:dyDescent="0.35">
      <c r="A158" t="s">
        <v>2127</v>
      </c>
      <c r="B158">
        <v>1</v>
      </c>
    </row>
    <row r="159" spans="1:2" x14ac:dyDescent="0.35">
      <c r="A159" t="s">
        <v>1906</v>
      </c>
      <c r="B159">
        <v>1</v>
      </c>
    </row>
    <row r="160" spans="1:2" x14ac:dyDescent="0.35">
      <c r="A160" t="s">
        <v>772</v>
      </c>
      <c r="B160">
        <v>1</v>
      </c>
    </row>
    <row r="161" spans="1:2" x14ac:dyDescent="0.35">
      <c r="A161" t="s">
        <v>1042</v>
      </c>
      <c r="B161">
        <v>1</v>
      </c>
    </row>
    <row r="162" spans="1:2" x14ac:dyDescent="0.35">
      <c r="A162" t="s">
        <v>1724</v>
      </c>
      <c r="B162">
        <v>1</v>
      </c>
    </row>
    <row r="163" spans="1:2" x14ac:dyDescent="0.35">
      <c r="A163" t="s">
        <v>1031</v>
      </c>
      <c r="B163">
        <v>1</v>
      </c>
    </row>
    <row r="164" spans="1:2" x14ac:dyDescent="0.35">
      <c r="A164" t="s">
        <v>410</v>
      </c>
      <c r="B164">
        <v>1</v>
      </c>
    </row>
    <row r="165" spans="1:2" x14ac:dyDescent="0.35">
      <c r="A165" t="s">
        <v>1589</v>
      </c>
      <c r="B165">
        <v>1</v>
      </c>
    </row>
    <row r="166" spans="1:2" x14ac:dyDescent="0.35">
      <c r="A166" t="s">
        <v>2208</v>
      </c>
      <c r="B166">
        <v>1</v>
      </c>
    </row>
    <row r="167" spans="1:2" x14ac:dyDescent="0.35">
      <c r="A167" t="s">
        <v>376</v>
      </c>
      <c r="B167">
        <v>1</v>
      </c>
    </row>
    <row r="168" spans="1:2" x14ac:dyDescent="0.35">
      <c r="A168" t="s">
        <v>1977</v>
      </c>
      <c r="B168">
        <v>1</v>
      </c>
    </row>
    <row r="169" spans="1:2" x14ac:dyDescent="0.35">
      <c r="A169" t="s">
        <v>1994</v>
      </c>
      <c r="B169">
        <v>1</v>
      </c>
    </row>
    <row r="170" spans="1:2" x14ac:dyDescent="0.35">
      <c r="A170" t="s">
        <v>2348</v>
      </c>
      <c r="B170">
        <v>1</v>
      </c>
    </row>
    <row r="171" spans="1:2" x14ac:dyDescent="0.35">
      <c r="A171" t="s">
        <v>268</v>
      </c>
      <c r="B171">
        <v>1</v>
      </c>
    </row>
    <row r="172" spans="1:2" x14ac:dyDescent="0.35">
      <c r="A172" t="s">
        <v>1312</v>
      </c>
      <c r="B172">
        <v>1</v>
      </c>
    </row>
    <row r="173" spans="1:2" x14ac:dyDescent="0.35">
      <c r="A173" t="s">
        <v>1518</v>
      </c>
      <c r="B173">
        <v>1</v>
      </c>
    </row>
    <row r="174" spans="1:2" x14ac:dyDescent="0.35">
      <c r="A174" t="s">
        <v>1924</v>
      </c>
      <c r="B174">
        <v>1</v>
      </c>
    </row>
    <row r="175" spans="1:2" x14ac:dyDescent="0.35">
      <c r="A175" t="s">
        <v>2122</v>
      </c>
      <c r="B175">
        <v>1</v>
      </c>
    </row>
    <row r="176" spans="1:2" x14ac:dyDescent="0.35">
      <c r="A176" t="s">
        <v>1856</v>
      </c>
      <c r="B176">
        <v>1</v>
      </c>
    </row>
    <row r="177" spans="1:2" x14ac:dyDescent="0.35">
      <c r="A177" t="s">
        <v>267</v>
      </c>
      <c r="B177">
        <v>1</v>
      </c>
    </row>
    <row r="178" spans="1:2" x14ac:dyDescent="0.35">
      <c r="A178" t="s">
        <v>2367</v>
      </c>
      <c r="B178">
        <v>1</v>
      </c>
    </row>
    <row r="179" spans="1:2" x14ac:dyDescent="0.35">
      <c r="A179" t="s">
        <v>1010</v>
      </c>
      <c r="B179">
        <v>1</v>
      </c>
    </row>
    <row r="180" spans="1:2" x14ac:dyDescent="0.35">
      <c r="A180" t="s">
        <v>2117</v>
      </c>
      <c r="B180">
        <v>1</v>
      </c>
    </row>
    <row r="181" spans="1:2" x14ac:dyDescent="0.35">
      <c r="A181" t="s">
        <v>619</v>
      </c>
      <c r="B181">
        <v>1</v>
      </c>
    </row>
    <row r="182" spans="1:2" x14ac:dyDescent="0.35">
      <c r="A182" t="s">
        <v>2323</v>
      </c>
      <c r="B182">
        <v>1</v>
      </c>
    </row>
    <row r="183" spans="1:2" x14ac:dyDescent="0.35">
      <c r="A183" t="s">
        <v>1469</v>
      </c>
      <c r="B183">
        <v>1</v>
      </c>
    </row>
    <row r="184" spans="1:2" x14ac:dyDescent="0.35">
      <c r="A184" t="s">
        <v>1707</v>
      </c>
      <c r="B184">
        <v>1</v>
      </c>
    </row>
    <row r="185" spans="1:2" x14ac:dyDescent="0.35">
      <c r="A185" t="s">
        <v>2308</v>
      </c>
      <c r="B185">
        <v>1</v>
      </c>
    </row>
    <row r="186" spans="1:2" x14ac:dyDescent="0.35">
      <c r="A186" t="s">
        <v>1688</v>
      </c>
      <c r="B186">
        <v>1</v>
      </c>
    </row>
    <row r="187" spans="1:2" x14ac:dyDescent="0.35">
      <c r="A187" t="s">
        <v>1632</v>
      </c>
      <c r="B187">
        <v>1</v>
      </c>
    </row>
    <row r="188" spans="1:2" x14ac:dyDescent="0.35">
      <c r="A188" t="s">
        <v>1672</v>
      </c>
      <c r="B188">
        <v>1</v>
      </c>
    </row>
    <row r="189" spans="1:2" x14ac:dyDescent="0.35">
      <c r="A189" t="s">
        <v>1763</v>
      </c>
      <c r="B189">
        <v>1</v>
      </c>
    </row>
    <row r="190" spans="1:2" x14ac:dyDescent="0.35">
      <c r="A190" t="s">
        <v>905</v>
      </c>
      <c r="B190">
        <v>1</v>
      </c>
    </row>
    <row r="191" spans="1:2" x14ac:dyDescent="0.35">
      <c r="A191" t="s">
        <v>353</v>
      </c>
      <c r="B191">
        <v>1</v>
      </c>
    </row>
  </sheetData>
  <sortState xmlns:xlrd2="http://schemas.microsoft.com/office/spreadsheetml/2017/richdata2" ref="A120:B191">
    <sortCondition descending="1" ref="B120:B191"/>
  </sortState>
  <pageMargins left="0.7" right="0.7" top="0.75" bottom="0.75" header="0.3" footer="0.3"/>
  <drawing r:id="rId13"/>
  <legacyDrawing r:id="rId14"/>
  <mc:AlternateContent xmlns:mc="http://schemas.openxmlformats.org/markup-compatibility/2006">
    <mc:Choice Requires="x14">
      <controls>
        <mc:AlternateContent xmlns:mc="http://schemas.openxmlformats.org/markup-compatibility/2006">
          <mc:Choice Requires="x14">
            <control shapeId="5122" r:id="rId15" name="Check Box 2">
              <controlPr defaultSize="0" autoFill="0" autoLine="0" autoPict="0">
                <anchor moveWithCells="1">
                  <from>
                    <xdr:col>7</xdr:col>
                    <xdr:colOff>1066800</xdr:colOff>
                    <xdr:row>58</xdr:row>
                    <xdr:rowOff>57150</xdr:rowOff>
                  </from>
                  <to>
                    <xdr:col>8</xdr:col>
                    <xdr:colOff>292100</xdr:colOff>
                    <xdr:row>59</xdr:row>
                    <xdr:rowOff>82550</xdr:rowOff>
                  </to>
                </anchor>
              </controlPr>
            </control>
          </mc:Choice>
        </mc:AlternateContent>
        <mc:AlternateContent xmlns:mc="http://schemas.openxmlformats.org/markup-compatibility/2006">
          <mc:Choice Requires="x14">
            <control shapeId="5123" r:id="rId16" name="Check Box 3">
              <controlPr defaultSize="0" autoFill="0" autoLine="0" autoPict="0">
                <anchor moveWithCells="1">
                  <from>
                    <xdr:col>8</xdr:col>
                    <xdr:colOff>1066800</xdr:colOff>
                    <xdr:row>58</xdr:row>
                    <xdr:rowOff>57150</xdr:rowOff>
                  </from>
                  <to>
                    <xdr:col>8</xdr:col>
                    <xdr:colOff>2051050</xdr:colOff>
                    <xdr:row>59</xdr:row>
                    <xdr:rowOff>82550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A336-03D8-49E4-872C-60AAFBF147C2}">
  <dimension ref="A1:AD46"/>
  <sheetViews>
    <sheetView tabSelected="1" topLeftCell="A5" zoomScale="58" zoomScaleNormal="71" workbookViewId="0">
      <selection activeCell="AF17" sqref="AF17"/>
    </sheetView>
  </sheetViews>
  <sheetFormatPr defaultRowHeight="14.5" x14ac:dyDescent="0.35"/>
  <sheetData>
    <row r="1" spans="1:30" x14ac:dyDescent="0.3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0"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row>
    <row r="4" spans="1:30"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row>
    <row r="5" spans="1:30"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row>
    <row r="6" spans="1:30"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1:30"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row>
    <row r="8" spans="1:30"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0"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0"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1:30"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0"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1:30"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0"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1:30"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row>
    <row r="17" spans="1:30"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1:30"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1:30"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1:30"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1:30"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1:30"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1:30"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1:30"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1:30"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row>
    <row r="31" spans="1:30"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row>
    <row r="32" spans="1:30"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row>
    <row r="33" spans="1:30"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row>
    <row r="34" spans="1:30"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row>
    <row r="35" spans="1:30"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row>
    <row r="36" spans="1:30"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row>
    <row r="37" spans="1:30"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row>
    <row r="38" spans="1:30"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row>
    <row r="39" spans="1:30"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row>
    <row r="40" spans="1:30"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row>
    <row r="41" spans="1:30"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row>
    <row r="42" spans="1:30"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row>
    <row r="43" spans="1:30"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row>
    <row r="44" spans="1:30"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row>
    <row r="45" spans="1:30"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row>
    <row r="46" spans="1:30"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row>
  </sheetData>
  <mergeCells count="1">
    <mergeCell ref="A1:AD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14</xdr:col>
                    <xdr:colOff>527050</xdr:colOff>
                    <xdr:row>10</xdr:row>
                    <xdr:rowOff>101600</xdr:rowOff>
                  </from>
                  <to>
                    <xdr:col>15</xdr:col>
                    <xdr:colOff>146050</xdr:colOff>
                    <xdr:row>11</xdr:row>
                    <xdr:rowOff>139700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from>
                    <xdr:col>13</xdr:col>
                    <xdr:colOff>19050</xdr:colOff>
                    <xdr:row>10</xdr:row>
                    <xdr:rowOff>95250</xdr:rowOff>
                  </from>
                  <to>
                    <xdr:col>13</xdr:col>
                    <xdr:colOff>247650</xdr:colOff>
                    <xdr:row>11</xdr:row>
                    <xdr:rowOff>133350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F868-A538-4C56-8E61-AAB06FADF477}">
  <dimension ref="A1"/>
  <sheetViews>
    <sheetView workbookViewId="0">
      <selection activeCell="A2" sqref="A2:D5"/>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E93E29CCE026D24995420846482710E4" ma:contentTypeVersion="6" ma:contentTypeDescription="Buat sebuah dokumen baru." ma:contentTypeScope="" ma:versionID="2677e85424384c2833ee0cb109acd865">
  <xsd:schema xmlns:xsd="http://www.w3.org/2001/XMLSchema" xmlns:xs="http://www.w3.org/2001/XMLSchema" xmlns:p="http://schemas.microsoft.com/office/2006/metadata/properties" xmlns:ns3="9a2403d9-8efa-47e3-a668-a1bb5fcfc2a5" targetNamespace="http://schemas.microsoft.com/office/2006/metadata/properties" ma:root="true" ma:fieldsID="77cf71411fb44fc6ed70e3213182db6b" ns3:_="">
    <xsd:import namespace="9a2403d9-8efa-47e3-a668-a1bb5fcfc2a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2403d9-8efa-47e3-a668-a1bb5fcfc2a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a2403d9-8efa-47e3-a668-a1bb5fcfc2a5" xsi:nil="true"/>
  </documentManagement>
</p:properties>
</file>

<file path=customXml/itemProps1.xml><?xml version="1.0" encoding="utf-8"?>
<ds:datastoreItem xmlns:ds="http://schemas.openxmlformats.org/officeDocument/2006/customXml" ds:itemID="{65A178FA-C9C0-49D7-A6D6-9ED7188F9EF5}">
  <ds:schemaRefs>
    <ds:schemaRef ds:uri="http://schemas.microsoft.com/sharepoint/v3/contenttype/forms"/>
  </ds:schemaRefs>
</ds:datastoreItem>
</file>

<file path=customXml/itemProps2.xml><?xml version="1.0" encoding="utf-8"?>
<ds:datastoreItem xmlns:ds="http://schemas.openxmlformats.org/officeDocument/2006/customXml" ds:itemID="{C7A77BA7-8341-41D2-86D6-9736162CF5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2403d9-8efa-47e3-a668-a1bb5fcfc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EFF707-E872-43F6-A27F-B0B23BCCA2DA}">
  <ds:schemaRefs>
    <ds:schemaRef ds:uri="http://purl.org/dc/elements/1.1/"/>
    <ds:schemaRef ds:uri="http://schemas.openxmlformats.org/package/2006/metadata/core-properties"/>
    <ds:schemaRef ds:uri="http://www.w3.org/XML/1998/namespace"/>
    <ds:schemaRef ds:uri="http://purl.org/dc/terms/"/>
    <ds:schemaRef ds:uri="http://schemas.microsoft.com/office/2006/metadata/properties"/>
    <ds:schemaRef ds:uri="http://purl.org/dc/dcmitype/"/>
    <ds:schemaRef ds:uri="http://schemas.microsoft.com/office/2006/documentManagement/types"/>
    <ds:schemaRef ds:uri="http://schemas.microsoft.com/office/infopath/2007/PartnerControls"/>
    <ds:schemaRef ds:uri="9a2403d9-8efa-47e3-a668-a1bb5fcfc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6</vt:i4>
      </vt:variant>
    </vt:vector>
  </HeadingPairs>
  <TitlesOfParts>
    <vt:vector size="6" baseType="lpstr">
      <vt:lpstr>Database Offline</vt:lpstr>
      <vt:lpstr>Data</vt:lpstr>
      <vt:lpstr>Data Siap Olah</vt:lpstr>
      <vt:lpstr>Pivot</vt:lpstr>
      <vt:lpstr>Dashboard</vt:lpstr>
      <vt:lpstr>Bahan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Ilham Firmansyah</dc:creator>
  <cp:lastModifiedBy>Muhammad Ilham Firmansyah</cp:lastModifiedBy>
  <dcterms:created xsi:type="dcterms:W3CDTF">2025-12-17T07:01:28Z</dcterms:created>
  <dcterms:modified xsi:type="dcterms:W3CDTF">2026-01-06T09:14:55Z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0x010100E93E29CCE026D24995420846482710E4</vt:lpwstr>
  </property>
</Properties>
</file>